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6bd6971ee3a6c5a/Desktop/SAPM/"/>
    </mc:Choice>
  </mc:AlternateContent>
  <xr:revisionPtr revIDLastSave="1" documentId="8_{E29000B7-DE35-4C88-8820-7C48ADCCA85B}" xr6:coauthVersionLast="47" xr6:coauthVersionMax="47" xr10:uidLastSave="{D02553D2-A8D7-4F88-BA3D-5DE61CD7DBC0}"/>
  <bookViews>
    <workbookView xWindow="-108" yWindow="-108" windowWidth="23256" windowHeight="12456" activeTab="4" xr2:uid="{9E5DA258-C522-459B-BFBD-CEC82B1B702D}"/>
  </bookViews>
  <sheets>
    <sheet name="Group Members" sheetId="1" r:id="rId1"/>
    <sheet name="Two-Year Analysis" sheetId="6" r:id="rId2"/>
    <sheet name="Data Used" sheetId="7" r:id="rId3"/>
    <sheet name="Price Movement Analysis" sheetId="3" r:id="rId4"/>
    <sheet name="Portfolio Analysis" sheetId="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8" i="8" l="1"/>
  <c r="T107" i="8"/>
  <c r="T106" i="8"/>
  <c r="T105" i="8"/>
  <c r="T104" i="8"/>
  <c r="T90" i="8"/>
  <c r="T89" i="8"/>
  <c r="T88" i="8"/>
  <c r="T87" i="8"/>
  <c r="T86" i="8"/>
  <c r="M746" i="8"/>
  <c r="L746" i="8"/>
  <c r="K746" i="8"/>
  <c r="J746" i="8"/>
  <c r="I746" i="8"/>
  <c r="H746" i="8"/>
  <c r="M745" i="8"/>
  <c r="L745" i="8"/>
  <c r="K745" i="8"/>
  <c r="J745" i="8"/>
  <c r="I745" i="8"/>
  <c r="H745" i="8"/>
  <c r="M744" i="8"/>
  <c r="L744" i="8"/>
  <c r="K744" i="8"/>
  <c r="J744" i="8"/>
  <c r="I744" i="8"/>
  <c r="H744" i="8"/>
  <c r="M743" i="8"/>
  <c r="L743" i="8"/>
  <c r="K743" i="8"/>
  <c r="J743" i="8"/>
  <c r="I743" i="8"/>
  <c r="H743" i="8"/>
  <c r="M742" i="8"/>
  <c r="L742" i="8"/>
  <c r="K742" i="8"/>
  <c r="J742" i="8"/>
  <c r="I742" i="8"/>
  <c r="H742" i="8"/>
  <c r="M741" i="8"/>
  <c r="L741" i="8"/>
  <c r="K741" i="8"/>
  <c r="J741" i="8"/>
  <c r="I741" i="8"/>
  <c r="H741" i="8"/>
  <c r="M740" i="8"/>
  <c r="L740" i="8"/>
  <c r="K740" i="8"/>
  <c r="J740" i="8"/>
  <c r="I740" i="8"/>
  <c r="H740" i="8"/>
  <c r="M739" i="8"/>
  <c r="L739" i="8"/>
  <c r="K739" i="8"/>
  <c r="J739" i="8"/>
  <c r="I739" i="8"/>
  <c r="H739" i="8"/>
  <c r="M738" i="8"/>
  <c r="L738" i="8"/>
  <c r="K738" i="8"/>
  <c r="J738" i="8"/>
  <c r="I738" i="8"/>
  <c r="H738" i="8"/>
  <c r="M737" i="8"/>
  <c r="L737" i="8"/>
  <c r="K737" i="8"/>
  <c r="J737" i="8"/>
  <c r="I737" i="8"/>
  <c r="H737" i="8"/>
  <c r="M736" i="8"/>
  <c r="L736" i="8"/>
  <c r="K736" i="8"/>
  <c r="J736" i="8"/>
  <c r="I736" i="8"/>
  <c r="H736" i="8"/>
  <c r="M735" i="8"/>
  <c r="L735" i="8"/>
  <c r="K735" i="8"/>
  <c r="J735" i="8"/>
  <c r="I735" i="8"/>
  <c r="H735" i="8"/>
  <c r="M734" i="8"/>
  <c r="L734" i="8"/>
  <c r="K734" i="8"/>
  <c r="J734" i="8"/>
  <c r="I734" i="8"/>
  <c r="H734" i="8"/>
  <c r="M733" i="8"/>
  <c r="L733" i="8"/>
  <c r="K733" i="8"/>
  <c r="J733" i="8"/>
  <c r="I733" i="8"/>
  <c r="H733" i="8"/>
  <c r="M732" i="8"/>
  <c r="L732" i="8"/>
  <c r="K732" i="8"/>
  <c r="J732" i="8"/>
  <c r="I732" i="8"/>
  <c r="H732" i="8"/>
  <c r="M731" i="8"/>
  <c r="L731" i="8"/>
  <c r="K731" i="8"/>
  <c r="J731" i="8"/>
  <c r="I731" i="8"/>
  <c r="H731" i="8"/>
  <c r="M730" i="8"/>
  <c r="L730" i="8"/>
  <c r="K730" i="8"/>
  <c r="J730" i="8"/>
  <c r="I730" i="8"/>
  <c r="H730" i="8"/>
  <c r="M729" i="8"/>
  <c r="L729" i="8"/>
  <c r="K729" i="8"/>
  <c r="J729" i="8"/>
  <c r="I729" i="8"/>
  <c r="H729" i="8"/>
  <c r="M728" i="8"/>
  <c r="L728" i="8"/>
  <c r="K728" i="8"/>
  <c r="J728" i="8"/>
  <c r="I728" i="8"/>
  <c r="H728" i="8"/>
  <c r="M727" i="8"/>
  <c r="L727" i="8"/>
  <c r="K727" i="8"/>
  <c r="J727" i="8"/>
  <c r="I727" i="8"/>
  <c r="H727" i="8"/>
  <c r="M726" i="8"/>
  <c r="L726" i="8"/>
  <c r="K726" i="8"/>
  <c r="J726" i="8"/>
  <c r="I726" i="8"/>
  <c r="H726" i="8"/>
  <c r="M725" i="8"/>
  <c r="L725" i="8"/>
  <c r="P725" i="8" s="1"/>
  <c r="K725" i="8"/>
  <c r="J725" i="8"/>
  <c r="I725" i="8"/>
  <c r="H725" i="8"/>
  <c r="M724" i="8"/>
  <c r="L724" i="8"/>
  <c r="K724" i="8"/>
  <c r="J724" i="8"/>
  <c r="I724" i="8"/>
  <c r="H724" i="8"/>
  <c r="M723" i="8"/>
  <c r="L723" i="8"/>
  <c r="K723" i="8"/>
  <c r="J723" i="8"/>
  <c r="I723" i="8"/>
  <c r="H723" i="8"/>
  <c r="M722" i="8"/>
  <c r="L722" i="8"/>
  <c r="K722" i="8"/>
  <c r="J722" i="8"/>
  <c r="I722" i="8"/>
  <c r="H722" i="8"/>
  <c r="M721" i="8"/>
  <c r="L721" i="8"/>
  <c r="K721" i="8"/>
  <c r="J721" i="8"/>
  <c r="I721" i="8"/>
  <c r="H721" i="8"/>
  <c r="M720" i="8"/>
  <c r="L720" i="8"/>
  <c r="K720" i="8"/>
  <c r="J720" i="8"/>
  <c r="I720" i="8"/>
  <c r="H720" i="8"/>
  <c r="M719" i="8"/>
  <c r="L719" i="8"/>
  <c r="K719" i="8"/>
  <c r="J719" i="8"/>
  <c r="I719" i="8"/>
  <c r="H719" i="8"/>
  <c r="M718" i="8"/>
  <c r="L718" i="8"/>
  <c r="K718" i="8"/>
  <c r="J718" i="8"/>
  <c r="I718" i="8"/>
  <c r="H718" i="8"/>
  <c r="M717" i="8"/>
  <c r="L717" i="8"/>
  <c r="K717" i="8"/>
  <c r="J717" i="8"/>
  <c r="I717" i="8"/>
  <c r="H717" i="8"/>
  <c r="M716" i="8"/>
  <c r="L716" i="8"/>
  <c r="K716" i="8"/>
  <c r="J716" i="8"/>
  <c r="I716" i="8"/>
  <c r="H716" i="8"/>
  <c r="M715" i="8"/>
  <c r="L715" i="8"/>
  <c r="K715" i="8"/>
  <c r="J715" i="8"/>
  <c r="I715" i="8"/>
  <c r="H715" i="8"/>
  <c r="M714" i="8"/>
  <c r="L714" i="8"/>
  <c r="K714" i="8"/>
  <c r="J714" i="8"/>
  <c r="I714" i="8"/>
  <c r="H714" i="8"/>
  <c r="M713" i="8"/>
  <c r="L713" i="8"/>
  <c r="K713" i="8"/>
  <c r="J713" i="8"/>
  <c r="I713" i="8"/>
  <c r="H713" i="8"/>
  <c r="M712" i="8"/>
  <c r="L712" i="8"/>
  <c r="K712" i="8"/>
  <c r="J712" i="8"/>
  <c r="I712" i="8"/>
  <c r="H712" i="8"/>
  <c r="M711" i="8"/>
  <c r="L711" i="8"/>
  <c r="K711" i="8"/>
  <c r="J711" i="8"/>
  <c r="I711" i="8"/>
  <c r="H711" i="8"/>
  <c r="M710" i="8"/>
  <c r="L710" i="8"/>
  <c r="K710" i="8"/>
  <c r="J710" i="8"/>
  <c r="I710" i="8"/>
  <c r="H710" i="8"/>
  <c r="M709" i="8"/>
  <c r="L709" i="8"/>
  <c r="K709" i="8"/>
  <c r="J709" i="8"/>
  <c r="I709" i="8"/>
  <c r="H709" i="8"/>
  <c r="M708" i="8"/>
  <c r="L708" i="8"/>
  <c r="K708" i="8"/>
  <c r="J708" i="8"/>
  <c r="I708" i="8"/>
  <c r="H708" i="8"/>
  <c r="M707" i="8"/>
  <c r="L707" i="8"/>
  <c r="K707" i="8"/>
  <c r="J707" i="8"/>
  <c r="I707" i="8"/>
  <c r="H707" i="8"/>
  <c r="M706" i="8"/>
  <c r="L706" i="8"/>
  <c r="K706" i="8"/>
  <c r="J706" i="8"/>
  <c r="I706" i="8"/>
  <c r="H706" i="8"/>
  <c r="M705" i="8"/>
  <c r="L705" i="8"/>
  <c r="K705" i="8"/>
  <c r="J705" i="8"/>
  <c r="I705" i="8"/>
  <c r="H705" i="8"/>
  <c r="M704" i="8"/>
  <c r="L704" i="8"/>
  <c r="K704" i="8"/>
  <c r="J704" i="8"/>
  <c r="I704" i="8"/>
  <c r="H704" i="8"/>
  <c r="M703" i="8"/>
  <c r="L703" i="8"/>
  <c r="K703" i="8"/>
  <c r="J703" i="8"/>
  <c r="I703" i="8"/>
  <c r="H703" i="8"/>
  <c r="M702" i="8"/>
  <c r="L702" i="8"/>
  <c r="K702" i="8"/>
  <c r="J702" i="8"/>
  <c r="I702" i="8"/>
  <c r="H702" i="8"/>
  <c r="M701" i="8"/>
  <c r="L701" i="8"/>
  <c r="K701" i="8"/>
  <c r="J701" i="8"/>
  <c r="I701" i="8"/>
  <c r="H701" i="8"/>
  <c r="M700" i="8"/>
  <c r="L700" i="8"/>
  <c r="K700" i="8"/>
  <c r="J700" i="8"/>
  <c r="I700" i="8"/>
  <c r="H700" i="8"/>
  <c r="M699" i="8"/>
  <c r="L699" i="8"/>
  <c r="K699" i="8"/>
  <c r="J699" i="8"/>
  <c r="I699" i="8"/>
  <c r="H699" i="8"/>
  <c r="M698" i="8"/>
  <c r="L698" i="8"/>
  <c r="K698" i="8"/>
  <c r="J698" i="8"/>
  <c r="I698" i="8"/>
  <c r="H698" i="8"/>
  <c r="M697" i="8"/>
  <c r="L697" i="8"/>
  <c r="K697" i="8"/>
  <c r="J697" i="8"/>
  <c r="I697" i="8"/>
  <c r="H697" i="8"/>
  <c r="M696" i="8"/>
  <c r="L696" i="8"/>
  <c r="K696" i="8"/>
  <c r="J696" i="8"/>
  <c r="I696" i="8"/>
  <c r="H696" i="8"/>
  <c r="M695" i="8"/>
  <c r="L695" i="8"/>
  <c r="K695" i="8"/>
  <c r="J695" i="8"/>
  <c r="I695" i="8"/>
  <c r="H695" i="8"/>
  <c r="M694" i="8"/>
  <c r="L694" i="8"/>
  <c r="K694" i="8"/>
  <c r="J694" i="8"/>
  <c r="I694" i="8"/>
  <c r="P694" i="8" s="1"/>
  <c r="H694" i="8"/>
  <c r="M693" i="8"/>
  <c r="L693" i="8"/>
  <c r="K693" i="8"/>
  <c r="J693" i="8"/>
  <c r="I693" i="8"/>
  <c r="H693" i="8"/>
  <c r="M692" i="8"/>
  <c r="L692" i="8"/>
  <c r="K692" i="8"/>
  <c r="J692" i="8"/>
  <c r="I692" i="8"/>
  <c r="H692" i="8"/>
  <c r="M691" i="8"/>
  <c r="L691" i="8"/>
  <c r="K691" i="8"/>
  <c r="J691" i="8"/>
  <c r="I691" i="8"/>
  <c r="H691" i="8"/>
  <c r="M690" i="8"/>
  <c r="L690" i="8"/>
  <c r="K690" i="8"/>
  <c r="J690" i="8"/>
  <c r="I690" i="8"/>
  <c r="H690" i="8"/>
  <c r="M689" i="8"/>
  <c r="L689" i="8"/>
  <c r="K689" i="8"/>
  <c r="J689" i="8"/>
  <c r="I689" i="8"/>
  <c r="H689" i="8"/>
  <c r="M688" i="8"/>
  <c r="L688" i="8"/>
  <c r="K688" i="8"/>
  <c r="J688" i="8"/>
  <c r="I688" i="8"/>
  <c r="H688" i="8"/>
  <c r="M687" i="8"/>
  <c r="L687" i="8"/>
  <c r="K687" i="8"/>
  <c r="J687" i="8"/>
  <c r="I687" i="8"/>
  <c r="H687" i="8"/>
  <c r="M686" i="8"/>
  <c r="L686" i="8"/>
  <c r="K686" i="8"/>
  <c r="J686" i="8"/>
  <c r="I686" i="8"/>
  <c r="H686" i="8"/>
  <c r="M685" i="8"/>
  <c r="L685" i="8"/>
  <c r="K685" i="8"/>
  <c r="J685" i="8"/>
  <c r="I685" i="8"/>
  <c r="H685" i="8"/>
  <c r="M684" i="8"/>
  <c r="L684" i="8"/>
  <c r="K684" i="8"/>
  <c r="J684" i="8"/>
  <c r="I684" i="8"/>
  <c r="H684" i="8"/>
  <c r="M683" i="8"/>
  <c r="L683" i="8"/>
  <c r="K683" i="8"/>
  <c r="J683" i="8"/>
  <c r="I683" i="8"/>
  <c r="H683" i="8"/>
  <c r="M682" i="8"/>
  <c r="L682" i="8"/>
  <c r="K682" i="8"/>
  <c r="J682" i="8"/>
  <c r="I682" i="8"/>
  <c r="H682" i="8"/>
  <c r="M681" i="8"/>
  <c r="L681" i="8"/>
  <c r="K681" i="8"/>
  <c r="J681" i="8"/>
  <c r="I681" i="8"/>
  <c r="H681" i="8"/>
  <c r="M680" i="8"/>
  <c r="L680" i="8"/>
  <c r="K680" i="8"/>
  <c r="J680" i="8"/>
  <c r="I680" i="8"/>
  <c r="H680" i="8"/>
  <c r="M679" i="8"/>
  <c r="L679" i="8"/>
  <c r="K679" i="8"/>
  <c r="J679" i="8"/>
  <c r="I679" i="8"/>
  <c r="H679" i="8"/>
  <c r="M678" i="8"/>
  <c r="L678" i="8"/>
  <c r="K678" i="8"/>
  <c r="J678" i="8"/>
  <c r="I678" i="8"/>
  <c r="H678" i="8"/>
  <c r="M677" i="8"/>
  <c r="L677" i="8"/>
  <c r="K677" i="8"/>
  <c r="J677" i="8"/>
  <c r="I677" i="8"/>
  <c r="H677" i="8"/>
  <c r="M676" i="8"/>
  <c r="L676" i="8"/>
  <c r="K676" i="8"/>
  <c r="J676" i="8"/>
  <c r="I676" i="8"/>
  <c r="H676" i="8"/>
  <c r="M675" i="8"/>
  <c r="L675" i="8"/>
  <c r="K675" i="8"/>
  <c r="J675" i="8"/>
  <c r="I675" i="8"/>
  <c r="H675" i="8"/>
  <c r="M674" i="8"/>
  <c r="L674" i="8"/>
  <c r="K674" i="8"/>
  <c r="J674" i="8"/>
  <c r="I674" i="8"/>
  <c r="H674" i="8"/>
  <c r="M673" i="8"/>
  <c r="L673" i="8"/>
  <c r="K673" i="8"/>
  <c r="J673" i="8"/>
  <c r="I673" i="8"/>
  <c r="H673" i="8"/>
  <c r="N673" i="8" s="1"/>
  <c r="M672" i="8"/>
  <c r="L672" i="8"/>
  <c r="K672" i="8"/>
  <c r="J672" i="8"/>
  <c r="I672" i="8"/>
  <c r="H672" i="8"/>
  <c r="M671" i="8"/>
  <c r="L671" i="8"/>
  <c r="K671" i="8"/>
  <c r="J671" i="8"/>
  <c r="I671" i="8"/>
  <c r="H671" i="8"/>
  <c r="M670" i="8"/>
  <c r="L670" i="8"/>
  <c r="K670" i="8"/>
  <c r="J670" i="8"/>
  <c r="I670" i="8"/>
  <c r="H670" i="8"/>
  <c r="M669" i="8"/>
  <c r="L669" i="8"/>
  <c r="K669" i="8"/>
  <c r="J669" i="8"/>
  <c r="I669" i="8"/>
  <c r="H669" i="8"/>
  <c r="O669" i="8" s="1"/>
  <c r="M668" i="8"/>
  <c r="L668" i="8"/>
  <c r="K668" i="8"/>
  <c r="J668" i="8"/>
  <c r="I668" i="8"/>
  <c r="H668" i="8"/>
  <c r="M667" i="8"/>
  <c r="L667" i="8"/>
  <c r="K667" i="8"/>
  <c r="J667" i="8"/>
  <c r="I667" i="8"/>
  <c r="H667" i="8"/>
  <c r="M666" i="8"/>
  <c r="L666" i="8"/>
  <c r="K666" i="8"/>
  <c r="J666" i="8"/>
  <c r="I666" i="8"/>
  <c r="H666" i="8"/>
  <c r="M665" i="8"/>
  <c r="L665" i="8"/>
  <c r="K665" i="8"/>
  <c r="J665" i="8"/>
  <c r="I665" i="8"/>
  <c r="H665" i="8"/>
  <c r="M664" i="8"/>
  <c r="L664" i="8"/>
  <c r="K664" i="8"/>
  <c r="J664" i="8"/>
  <c r="I664" i="8"/>
  <c r="H664" i="8"/>
  <c r="M663" i="8"/>
  <c r="L663" i="8"/>
  <c r="K663" i="8"/>
  <c r="J663" i="8"/>
  <c r="I663" i="8"/>
  <c r="H663" i="8"/>
  <c r="M662" i="8"/>
  <c r="L662" i="8"/>
  <c r="K662" i="8"/>
  <c r="J662" i="8"/>
  <c r="I662" i="8"/>
  <c r="H662" i="8"/>
  <c r="M661" i="8"/>
  <c r="L661" i="8"/>
  <c r="K661" i="8"/>
  <c r="J661" i="8"/>
  <c r="I661" i="8"/>
  <c r="H661" i="8"/>
  <c r="M660" i="8"/>
  <c r="L660" i="8"/>
  <c r="K660" i="8"/>
  <c r="J660" i="8"/>
  <c r="I660" i="8"/>
  <c r="H660" i="8"/>
  <c r="M659" i="8"/>
  <c r="L659" i="8"/>
  <c r="K659" i="8"/>
  <c r="J659" i="8"/>
  <c r="I659" i="8"/>
  <c r="H659" i="8"/>
  <c r="M658" i="8"/>
  <c r="L658" i="8"/>
  <c r="K658" i="8"/>
  <c r="J658" i="8"/>
  <c r="I658" i="8"/>
  <c r="H658" i="8"/>
  <c r="M657" i="8"/>
  <c r="L657" i="8"/>
  <c r="K657" i="8"/>
  <c r="J657" i="8"/>
  <c r="I657" i="8"/>
  <c r="H657" i="8"/>
  <c r="M656" i="8"/>
  <c r="L656" i="8"/>
  <c r="K656" i="8"/>
  <c r="J656" i="8"/>
  <c r="I656" i="8"/>
  <c r="H656" i="8"/>
  <c r="M655" i="8"/>
  <c r="L655" i="8"/>
  <c r="K655" i="8"/>
  <c r="J655" i="8"/>
  <c r="I655" i="8"/>
  <c r="H655" i="8"/>
  <c r="M654" i="8"/>
  <c r="L654" i="8"/>
  <c r="K654" i="8"/>
  <c r="J654" i="8"/>
  <c r="I654" i="8"/>
  <c r="H654" i="8"/>
  <c r="M653" i="8"/>
  <c r="L653" i="8"/>
  <c r="K653" i="8"/>
  <c r="J653" i="8"/>
  <c r="I653" i="8"/>
  <c r="H653" i="8"/>
  <c r="M652" i="8"/>
  <c r="L652" i="8"/>
  <c r="K652" i="8"/>
  <c r="J652" i="8"/>
  <c r="I652" i="8"/>
  <c r="H652" i="8"/>
  <c r="M651" i="8"/>
  <c r="L651" i="8"/>
  <c r="K651" i="8"/>
  <c r="J651" i="8"/>
  <c r="I651" i="8"/>
  <c r="H651" i="8"/>
  <c r="P651" i="8" s="1"/>
  <c r="M650" i="8"/>
  <c r="L650" i="8"/>
  <c r="K650" i="8"/>
  <c r="J650" i="8"/>
  <c r="I650" i="8"/>
  <c r="H650" i="8"/>
  <c r="M649" i="8"/>
  <c r="L649" i="8"/>
  <c r="K649" i="8"/>
  <c r="J649" i="8"/>
  <c r="I649" i="8"/>
  <c r="H649" i="8"/>
  <c r="M648" i="8"/>
  <c r="L648" i="8"/>
  <c r="K648" i="8"/>
  <c r="J648" i="8"/>
  <c r="I648" i="8"/>
  <c r="H648" i="8"/>
  <c r="M647" i="8"/>
  <c r="L647" i="8"/>
  <c r="K647" i="8"/>
  <c r="J647" i="8"/>
  <c r="I647" i="8"/>
  <c r="H647" i="8"/>
  <c r="M646" i="8"/>
  <c r="L646" i="8"/>
  <c r="K646" i="8"/>
  <c r="J646" i="8"/>
  <c r="I646" i="8"/>
  <c r="H646" i="8"/>
  <c r="O646" i="8" s="1"/>
  <c r="M645" i="8"/>
  <c r="L645" i="8"/>
  <c r="K645" i="8"/>
  <c r="J645" i="8"/>
  <c r="I645" i="8"/>
  <c r="H645" i="8"/>
  <c r="M644" i="8"/>
  <c r="L644" i="8"/>
  <c r="K644" i="8"/>
  <c r="J644" i="8"/>
  <c r="I644" i="8"/>
  <c r="H644" i="8"/>
  <c r="M643" i="8"/>
  <c r="L643" i="8"/>
  <c r="K643" i="8"/>
  <c r="J643" i="8"/>
  <c r="I643" i="8"/>
  <c r="H643" i="8"/>
  <c r="M642" i="8"/>
  <c r="L642" i="8"/>
  <c r="K642" i="8"/>
  <c r="J642" i="8"/>
  <c r="I642" i="8"/>
  <c r="H642" i="8"/>
  <c r="M641" i="8"/>
  <c r="L641" i="8"/>
  <c r="K641" i="8"/>
  <c r="J641" i="8"/>
  <c r="I641" i="8"/>
  <c r="H641" i="8"/>
  <c r="M640" i="8"/>
  <c r="L640" i="8"/>
  <c r="K640" i="8"/>
  <c r="J640" i="8"/>
  <c r="I640" i="8"/>
  <c r="H640" i="8"/>
  <c r="M639" i="8"/>
  <c r="L639" i="8"/>
  <c r="K639" i="8"/>
  <c r="J639" i="8"/>
  <c r="I639" i="8"/>
  <c r="H639" i="8"/>
  <c r="M638" i="8"/>
  <c r="L638" i="8"/>
  <c r="K638" i="8"/>
  <c r="J638" i="8"/>
  <c r="I638" i="8"/>
  <c r="H638" i="8"/>
  <c r="M637" i="8"/>
  <c r="L637" i="8"/>
  <c r="K637" i="8"/>
  <c r="J637" i="8"/>
  <c r="I637" i="8"/>
  <c r="H637" i="8"/>
  <c r="M636" i="8"/>
  <c r="L636" i="8"/>
  <c r="K636" i="8"/>
  <c r="J636" i="8"/>
  <c r="I636" i="8"/>
  <c r="H636" i="8"/>
  <c r="M635" i="8"/>
  <c r="L635" i="8"/>
  <c r="K635" i="8"/>
  <c r="J635" i="8"/>
  <c r="I635" i="8"/>
  <c r="H635" i="8"/>
  <c r="M634" i="8"/>
  <c r="L634" i="8"/>
  <c r="K634" i="8"/>
  <c r="J634" i="8"/>
  <c r="I634" i="8"/>
  <c r="H634" i="8"/>
  <c r="M633" i="8"/>
  <c r="L633" i="8"/>
  <c r="K633" i="8"/>
  <c r="J633" i="8"/>
  <c r="I633" i="8"/>
  <c r="H633" i="8"/>
  <c r="M632" i="8"/>
  <c r="L632" i="8"/>
  <c r="K632" i="8"/>
  <c r="J632" i="8"/>
  <c r="I632" i="8"/>
  <c r="H632" i="8"/>
  <c r="M631" i="8"/>
  <c r="L631" i="8"/>
  <c r="K631" i="8"/>
  <c r="J631" i="8"/>
  <c r="I631" i="8"/>
  <c r="H631" i="8"/>
  <c r="M630" i="8"/>
  <c r="L630" i="8"/>
  <c r="K630" i="8"/>
  <c r="J630" i="8"/>
  <c r="I630" i="8"/>
  <c r="H630" i="8"/>
  <c r="M629" i="8"/>
  <c r="L629" i="8"/>
  <c r="K629" i="8"/>
  <c r="J629" i="8"/>
  <c r="I629" i="8"/>
  <c r="H629" i="8"/>
  <c r="M628" i="8"/>
  <c r="L628" i="8"/>
  <c r="K628" i="8"/>
  <c r="J628" i="8"/>
  <c r="I628" i="8"/>
  <c r="P628" i="8" s="1"/>
  <c r="H628" i="8"/>
  <c r="M627" i="8"/>
  <c r="L627" i="8"/>
  <c r="K627" i="8"/>
  <c r="J627" i="8"/>
  <c r="I627" i="8"/>
  <c r="H627" i="8"/>
  <c r="M626" i="8"/>
  <c r="L626" i="8"/>
  <c r="K626" i="8"/>
  <c r="J626" i="8"/>
  <c r="I626" i="8"/>
  <c r="H626" i="8"/>
  <c r="M625" i="8"/>
  <c r="L625" i="8"/>
  <c r="K625" i="8"/>
  <c r="J625" i="8"/>
  <c r="I625" i="8"/>
  <c r="H625" i="8"/>
  <c r="M624" i="8"/>
  <c r="L624" i="8"/>
  <c r="K624" i="8"/>
  <c r="J624" i="8"/>
  <c r="I624" i="8"/>
  <c r="H624" i="8"/>
  <c r="M623" i="8"/>
  <c r="L623" i="8"/>
  <c r="K623" i="8"/>
  <c r="J623" i="8"/>
  <c r="I623" i="8"/>
  <c r="H623" i="8"/>
  <c r="M622" i="8"/>
  <c r="L622" i="8"/>
  <c r="K622" i="8"/>
  <c r="J622" i="8"/>
  <c r="I622" i="8"/>
  <c r="H622" i="8"/>
  <c r="M621" i="8"/>
  <c r="L621" i="8"/>
  <c r="K621" i="8"/>
  <c r="J621" i="8"/>
  <c r="I621" i="8"/>
  <c r="H621" i="8"/>
  <c r="P621" i="8" s="1"/>
  <c r="M620" i="8"/>
  <c r="L620" i="8"/>
  <c r="K620" i="8"/>
  <c r="J620" i="8"/>
  <c r="I620" i="8"/>
  <c r="H620" i="8"/>
  <c r="M619" i="8"/>
  <c r="L619" i="8"/>
  <c r="K619" i="8"/>
  <c r="J619" i="8"/>
  <c r="I619" i="8"/>
  <c r="H619" i="8"/>
  <c r="M618" i="8"/>
  <c r="L618" i="8"/>
  <c r="K618" i="8"/>
  <c r="J618" i="8"/>
  <c r="I618" i="8"/>
  <c r="H618" i="8"/>
  <c r="M617" i="8"/>
  <c r="L617" i="8"/>
  <c r="K617" i="8"/>
  <c r="J617" i="8"/>
  <c r="I617" i="8"/>
  <c r="H617" i="8"/>
  <c r="M616" i="8"/>
  <c r="L616" i="8"/>
  <c r="K616" i="8"/>
  <c r="J616" i="8"/>
  <c r="I616" i="8"/>
  <c r="H616" i="8"/>
  <c r="M615" i="8"/>
  <c r="L615" i="8"/>
  <c r="K615" i="8"/>
  <c r="J615" i="8"/>
  <c r="I615" i="8"/>
  <c r="H615" i="8"/>
  <c r="M614" i="8"/>
  <c r="L614" i="8"/>
  <c r="K614" i="8"/>
  <c r="J614" i="8"/>
  <c r="I614" i="8"/>
  <c r="H614" i="8"/>
  <c r="M613" i="8"/>
  <c r="L613" i="8"/>
  <c r="K613" i="8"/>
  <c r="J613" i="8"/>
  <c r="I613" i="8"/>
  <c r="H613" i="8"/>
  <c r="M612" i="8"/>
  <c r="L612" i="8"/>
  <c r="K612" i="8"/>
  <c r="J612" i="8"/>
  <c r="I612" i="8"/>
  <c r="H612" i="8"/>
  <c r="M611" i="8"/>
  <c r="L611" i="8"/>
  <c r="K611" i="8"/>
  <c r="J611" i="8"/>
  <c r="I611" i="8"/>
  <c r="H611" i="8"/>
  <c r="M610" i="8"/>
  <c r="L610" i="8"/>
  <c r="K610" i="8"/>
  <c r="J610" i="8"/>
  <c r="I610" i="8"/>
  <c r="H610" i="8"/>
  <c r="M609" i="8"/>
  <c r="L609" i="8"/>
  <c r="K609" i="8"/>
  <c r="J609" i="8"/>
  <c r="I609" i="8"/>
  <c r="H609" i="8"/>
  <c r="M608" i="8"/>
  <c r="L608" i="8"/>
  <c r="K608" i="8"/>
  <c r="J608" i="8"/>
  <c r="I608" i="8"/>
  <c r="H608" i="8"/>
  <c r="M607" i="8"/>
  <c r="L607" i="8"/>
  <c r="K607" i="8"/>
  <c r="J607" i="8"/>
  <c r="I607" i="8"/>
  <c r="H607" i="8"/>
  <c r="M606" i="8"/>
  <c r="L606" i="8"/>
  <c r="K606" i="8"/>
  <c r="J606" i="8"/>
  <c r="I606" i="8"/>
  <c r="H606" i="8"/>
  <c r="M605" i="8"/>
  <c r="L605" i="8"/>
  <c r="K605" i="8"/>
  <c r="J605" i="8"/>
  <c r="I605" i="8"/>
  <c r="H605" i="8"/>
  <c r="M604" i="8"/>
  <c r="L604" i="8"/>
  <c r="K604" i="8"/>
  <c r="J604" i="8"/>
  <c r="I604" i="8"/>
  <c r="H604" i="8"/>
  <c r="M603" i="8"/>
  <c r="L603" i="8"/>
  <c r="K603" i="8"/>
  <c r="J603" i="8"/>
  <c r="I603" i="8"/>
  <c r="H603" i="8"/>
  <c r="M602" i="8"/>
  <c r="L602" i="8"/>
  <c r="K602" i="8"/>
  <c r="J602" i="8"/>
  <c r="I602" i="8"/>
  <c r="H602" i="8"/>
  <c r="M601" i="8"/>
  <c r="L601" i="8"/>
  <c r="K601" i="8"/>
  <c r="J601" i="8"/>
  <c r="I601" i="8"/>
  <c r="H601" i="8"/>
  <c r="M600" i="8"/>
  <c r="L600" i="8"/>
  <c r="K600" i="8"/>
  <c r="J600" i="8"/>
  <c r="I600" i="8"/>
  <c r="H600" i="8"/>
  <c r="M599" i="8"/>
  <c r="L599" i="8"/>
  <c r="K599" i="8"/>
  <c r="J599" i="8"/>
  <c r="I599" i="8"/>
  <c r="H599" i="8"/>
  <c r="M598" i="8"/>
  <c r="L598" i="8"/>
  <c r="K598" i="8"/>
  <c r="J598" i="8"/>
  <c r="I598" i="8"/>
  <c r="H598" i="8"/>
  <c r="M597" i="8"/>
  <c r="L597" i="8"/>
  <c r="K597" i="8"/>
  <c r="J597" i="8"/>
  <c r="I597" i="8"/>
  <c r="H597" i="8"/>
  <c r="M596" i="8"/>
  <c r="L596" i="8"/>
  <c r="K596" i="8"/>
  <c r="J596" i="8"/>
  <c r="I596" i="8"/>
  <c r="H596" i="8"/>
  <c r="M595" i="8"/>
  <c r="L595" i="8"/>
  <c r="K595" i="8"/>
  <c r="J595" i="8"/>
  <c r="I595" i="8"/>
  <c r="H595" i="8"/>
  <c r="M594" i="8"/>
  <c r="L594" i="8"/>
  <c r="K594" i="8"/>
  <c r="J594" i="8"/>
  <c r="I594" i="8"/>
  <c r="H594" i="8"/>
  <c r="M593" i="8"/>
  <c r="L593" i="8"/>
  <c r="K593" i="8"/>
  <c r="J593" i="8"/>
  <c r="I593" i="8"/>
  <c r="H593" i="8"/>
  <c r="M592" i="8"/>
  <c r="L592" i="8"/>
  <c r="K592" i="8"/>
  <c r="J592" i="8"/>
  <c r="I592" i="8"/>
  <c r="H592" i="8"/>
  <c r="M591" i="8"/>
  <c r="L591" i="8"/>
  <c r="K591" i="8"/>
  <c r="J591" i="8"/>
  <c r="I591" i="8"/>
  <c r="H591" i="8"/>
  <c r="M590" i="8"/>
  <c r="L590" i="8"/>
  <c r="K590" i="8"/>
  <c r="J590" i="8"/>
  <c r="I590" i="8"/>
  <c r="H590" i="8"/>
  <c r="M589" i="8"/>
  <c r="L589" i="8"/>
  <c r="K589" i="8"/>
  <c r="J589" i="8"/>
  <c r="I589" i="8"/>
  <c r="H589" i="8"/>
  <c r="M588" i="8"/>
  <c r="L588" i="8"/>
  <c r="K588" i="8"/>
  <c r="J588" i="8"/>
  <c r="I588" i="8"/>
  <c r="H588" i="8"/>
  <c r="M587" i="8"/>
  <c r="L587" i="8"/>
  <c r="K587" i="8"/>
  <c r="J587" i="8"/>
  <c r="I587" i="8"/>
  <c r="H587" i="8"/>
  <c r="M586" i="8"/>
  <c r="L586" i="8"/>
  <c r="K586" i="8"/>
  <c r="J586" i="8"/>
  <c r="I586" i="8"/>
  <c r="H586" i="8"/>
  <c r="M585" i="8"/>
  <c r="L585" i="8"/>
  <c r="K585" i="8"/>
  <c r="J585" i="8"/>
  <c r="I585" i="8"/>
  <c r="H585" i="8"/>
  <c r="M584" i="8"/>
  <c r="L584" i="8"/>
  <c r="K584" i="8"/>
  <c r="J584" i="8"/>
  <c r="I584" i="8"/>
  <c r="H584" i="8"/>
  <c r="M583" i="8"/>
  <c r="L583" i="8"/>
  <c r="K583" i="8"/>
  <c r="J583" i="8"/>
  <c r="I583" i="8"/>
  <c r="H583" i="8"/>
  <c r="M582" i="8"/>
  <c r="L582" i="8"/>
  <c r="K582" i="8"/>
  <c r="J582" i="8"/>
  <c r="I582" i="8"/>
  <c r="H582" i="8"/>
  <c r="M581" i="8"/>
  <c r="L581" i="8"/>
  <c r="K581" i="8"/>
  <c r="J581" i="8"/>
  <c r="I581" i="8"/>
  <c r="H581" i="8"/>
  <c r="M580" i="8"/>
  <c r="L580" i="8"/>
  <c r="K580" i="8"/>
  <c r="J580" i="8"/>
  <c r="I580" i="8"/>
  <c r="H580" i="8"/>
  <c r="M579" i="8"/>
  <c r="L579" i="8"/>
  <c r="K579" i="8"/>
  <c r="J579" i="8"/>
  <c r="I579" i="8"/>
  <c r="H579" i="8"/>
  <c r="M578" i="8"/>
  <c r="L578" i="8"/>
  <c r="K578" i="8"/>
  <c r="J578" i="8"/>
  <c r="I578" i="8"/>
  <c r="H578" i="8"/>
  <c r="M577" i="8"/>
  <c r="L577" i="8"/>
  <c r="K577" i="8"/>
  <c r="J577" i="8"/>
  <c r="I577" i="8"/>
  <c r="H577" i="8"/>
  <c r="M576" i="8"/>
  <c r="L576" i="8"/>
  <c r="K576" i="8"/>
  <c r="J576" i="8"/>
  <c r="I576" i="8"/>
  <c r="H576" i="8"/>
  <c r="M575" i="8"/>
  <c r="L575" i="8"/>
  <c r="K575" i="8"/>
  <c r="J575" i="8"/>
  <c r="I575" i="8"/>
  <c r="H575" i="8"/>
  <c r="M574" i="8"/>
  <c r="L574" i="8"/>
  <c r="K574" i="8"/>
  <c r="J574" i="8"/>
  <c r="I574" i="8"/>
  <c r="H574" i="8"/>
  <c r="M573" i="8"/>
  <c r="L573" i="8"/>
  <c r="K573" i="8"/>
  <c r="J573" i="8"/>
  <c r="I573" i="8"/>
  <c r="H573" i="8"/>
  <c r="M572" i="8"/>
  <c r="L572" i="8"/>
  <c r="K572" i="8"/>
  <c r="J572" i="8"/>
  <c r="I572" i="8"/>
  <c r="H572" i="8"/>
  <c r="M571" i="8"/>
  <c r="L571" i="8"/>
  <c r="K571" i="8"/>
  <c r="J571" i="8"/>
  <c r="I571" i="8"/>
  <c r="H571" i="8"/>
  <c r="M570" i="8"/>
  <c r="L570" i="8"/>
  <c r="K570" i="8"/>
  <c r="J570" i="8"/>
  <c r="I570" i="8"/>
  <c r="H570" i="8"/>
  <c r="M569" i="8"/>
  <c r="L569" i="8"/>
  <c r="K569" i="8"/>
  <c r="J569" i="8"/>
  <c r="I569" i="8"/>
  <c r="H569" i="8"/>
  <c r="M568" i="8"/>
  <c r="L568" i="8"/>
  <c r="K568" i="8"/>
  <c r="J568" i="8"/>
  <c r="I568" i="8"/>
  <c r="H568" i="8"/>
  <c r="M567" i="8"/>
  <c r="L567" i="8"/>
  <c r="K567" i="8"/>
  <c r="J567" i="8"/>
  <c r="I567" i="8"/>
  <c r="H567" i="8"/>
  <c r="M566" i="8"/>
  <c r="L566" i="8"/>
  <c r="K566" i="8"/>
  <c r="J566" i="8"/>
  <c r="I566" i="8"/>
  <c r="H566" i="8"/>
  <c r="M565" i="8"/>
  <c r="L565" i="8"/>
  <c r="K565" i="8"/>
  <c r="J565" i="8"/>
  <c r="I565" i="8"/>
  <c r="H565" i="8"/>
  <c r="M564" i="8"/>
  <c r="L564" i="8"/>
  <c r="K564" i="8"/>
  <c r="J564" i="8"/>
  <c r="I564" i="8"/>
  <c r="H564" i="8"/>
  <c r="M563" i="8"/>
  <c r="L563" i="8"/>
  <c r="K563" i="8"/>
  <c r="J563" i="8"/>
  <c r="I563" i="8"/>
  <c r="H563" i="8"/>
  <c r="M562" i="8"/>
  <c r="L562" i="8"/>
  <c r="K562" i="8"/>
  <c r="J562" i="8"/>
  <c r="I562" i="8"/>
  <c r="H562" i="8"/>
  <c r="M561" i="8"/>
  <c r="L561" i="8"/>
  <c r="K561" i="8"/>
  <c r="J561" i="8"/>
  <c r="I561" i="8"/>
  <c r="H561" i="8"/>
  <c r="M560" i="8"/>
  <c r="L560" i="8"/>
  <c r="K560" i="8"/>
  <c r="J560" i="8"/>
  <c r="I560" i="8"/>
  <c r="H560" i="8"/>
  <c r="M559" i="8"/>
  <c r="L559" i="8"/>
  <c r="K559" i="8"/>
  <c r="J559" i="8"/>
  <c r="I559" i="8"/>
  <c r="H559" i="8"/>
  <c r="M558" i="8"/>
  <c r="L558" i="8"/>
  <c r="K558" i="8"/>
  <c r="J558" i="8"/>
  <c r="I558" i="8"/>
  <c r="H558" i="8"/>
  <c r="M557" i="8"/>
  <c r="L557" i="8"/>
  <c r="K557" i="8"/>
  <c r="J557" i="8"/>
  <c r="I557" i="8"/>
  <c r="H557" i="8"/>
  <c r="M556" i="8"/>
  <c r="L556" i="8"/>
  <c r="K556" i="8"/>
  <c r="J556" i="8"/>
  <c r="I556" i="8"/>
  <c r="H556" i="8"/>
  <c r="M555" i="8"/>
  <c r="L555" i="8"/>
  <c r="K555" i="8"/>
  <c r="J555" i="8"/>
  <c r="I555" i="8"/>
  <c r="H555" i="8"/>
  <c r="M554" i="8"/>
  <c r="L554" i="8"/>
  <c r="K554" i="8"/>
  <c r="J554" i="8"/>
  <c r="I554" i="8"/>
  <c r="H554" i="8"/>
  <c r="M553" i="8"/>
  <c r="L553" i="8"/>
  <c r="K553" i="8"/>
  <c r="J553" i="8"/>
  <c r="I553" i="8"/>
  <c r="H553" i="8"/>
  <c r="M552" i="8"/>
  <c r="L552" i="8"/>
  <c r="K552" i="8"/>
  <c r="J552" i="8"/>
  <c r="I552" i="8"/>
  <c r="H552" i="8"/>
  <c r="M551" i="8"/>
  <c r="L551" i="8"/>
  <c r="K551" i="8"/>
  <c r="J551" i="8"/>
  <c r="I551" i="8"/>
  <c r="H551" i="8"/>
  <c r="M550" i="8"/>
  <c r="L550" i="8"/>
  <c r="K550" i="8"/>
  <c r="J550" i="8"/>
  <c r="I550" i="8"/>
  <c r="H550" i="8"/>
  <c r="M549" i="8"/>
  <c r="L549" i="8"/>
  <c r="K549" i="8"/>
  <c r="J549" i="8"/>
  <c r="I549" i="8"/>
  <c r="H549" i="8"/>
  <c r="M548" i="8"/>
  <c r="L548" i="8"/>
  <c r="K548" i="8"/>
  <c r="J548" i="8"/>
  <c r="I548" i="8"/>
  <c r="H548" i="8"/>
  <c r="M547" i="8"/>
  <c r="L547" i="8"/>
  <c r="K547" i="8"/>
  <c r="J547" i="8"/>
  <c r="I547" i="8"/>
  <c r="H547" i="8"/>
  <c r="M546" i="8"/>
  <c r="L546" i="8"/>
  <c r="K546" i="8"/>
  <c r="J546" i="8"/>
  <c r="I546" i="8"/>
  <c r="H546" i="8"/>
  <c r="M545" i="8"/>
  <c r="L545" i="8"/>
  <c r="K545" i="8"/>
  <c r="J545" i="8"/>
  <c r="I545" i="8"/>
  <c r="H545" i="8"/>
  <c r="M544" i="8"/>
  <c r="L544" i="8"/>
  <c r="K544" i="8"/>
  <c r="J544" i="8"/>
  <c r="I544" i="8"/>
  <c r="H544" i="8"/>
  <c r="M543" i="8"/>
  <c r="L543" i="8"/>
  <c r="K543" i="8"/>
  <c r="J543" i="8"/>
  <c r="I543" i="8"/>
  <c r="H543" i="8"/>
  <c r="M542" i="8"/>
  <c r="L542" i="8"/>
  <c r="K542" i="8"/>
  <c r="J542" i="8"/>
  <c r="I542" i="8"/>
  <c r="H542" i="8"/>
  <c r="M541" i="8"/>
  <c r="L541" i="8"/>
  <c r="K541" i="8"/>
  <c r="J541" i="8"/>
  <c r="I541" i="8"/>
  <c r="H541" i="8"/>
  <c r="M540" i="8"/>
  <c r="L540" i="8"/>
  <c r="K540" i="8"/>
  <c r="J540" i="8"/>
  <c r="I540" i="8"/>
  <c r="H540" i="8"/>
  <c r="M539" i="8"/>
  <c r="L539" i="8"/>
  <c r="K539" i="8"/>
  <c r="J539" i="8"/>
  <c r="I539" i="8"/>
  <c r="H539" i="8"/>
  <c r="M538" i="8"/>
  <c r="L538" i="8"/>
  <c r="K538" i="8"/>
  <c r="J538" i="8"/>
  <c r="I538" i="8"/>
  <c r="H538" i="8"/>
  <c r="M537" i="8"/>
  <c r="L537" i="8"/>
  <c r="K537" i="8"/>
  <c r="J537" i="8"/>
  <c r="I537" i="8"/>
  <c r="H537" i="8"/>
  <c r="M536" i="8"/>
  <c r="L536" i="8"/>
  <c r="K536" i="8"/>
  <c r="J536" i="8"/>
  <c r="I536" i="8"/>
  <c r="H536" i="8"/>
  <c r="M535" i="8"/>
  <c r="L535" i="8"/>
  <c r="K535" i="8"/>
  <c r="J535" i="8"/>
  <c r="I535" i="8"/>
  <c r="H535" i="8"/>
  <c r="M534" i="8"/>
  <c r="L534" i="8"/>
  <c r="K534" i="8"/>
  <c r="J534" i="8"/>
  <c r="I534" i="8"/>
  <c r="H534" i="8"/>
  <c r="M533" i="8"/>
  <c r="L533" i="8"/>
  <c r="K533" i="8"/>
  <c r="J533" i="8"/>
  <c r="I533" i="8"/>
  <c r="H533" i="8"/>
  <c r="M532" i="8"/>
  <c r="L532" i="8"/>
  <c r="K532" i="8"/>
  <c r="O532" i="8" s="1"/>
  <c r="J532" i="8"/>
  <c r="I532" i="8"/>
  <c r="H532" i="8"/>
  <c r="M531" i="8"/>
  <c r="L531" i="8"/>
  <c r="K531" i="8"/>
  <c r="J531" i="8"/>
  <c r="I531" i="8"/>
  <c r="H531" i="8"/>
  <c r="M530" i="8"/>
  <c r="L530" i="8"/>
  <c r="K530" i="8"/>
  <c r="J530" i="8"/>
  <c r="I530" i="8"/>
  <c r="H530" i="8"/>
  <c r="M529" i="8"/>
  <c r="L529" i="8"/>
  <c r="K529" i="8"/>
  <c r="J529" i="8"/>
  <c r="I529" i="8"/>
  <c r="H529" i="8"/>
  <c r="M528" i="8"/>
  <c r="L528" i="8"/>
  <c r="K528" i="8"/>
  <c r="J528" i="8"/>
  <c r="I528" i="8"/>
  <c r="H528" i="8"/>
  <c r="M527" i="8"/>
  <c r="L527" i="8"/>
  <c r="K527" i="8"/>
  <c r="J527" i="8"/>
  <c r="I527" i="8"/>
  <c r="H527" i="8"/>
  <c r="M526" i="8"/>
  <c r="L526" i="8"/>
  <c r="K526" i="8"/>
  <c r="J526" i="8"/>
  <c r="I526" i="8"/>
  <c r="H526" i="8"/>
  <c r="M525" i="8"/>
  <c r="L525" i="8"/>
  <c r="K525" i="8"/>
  <c r="J525" i="8"/>
  <c r="I525" i="8"/>
  <c r="H525" i="8"/>
  <c r="M524" i="8"/>
  <c r="L524" i="8"/>
  <c r="K524" i="8"/>
  <c r="J524" i="8"/>
  <c r="I524" i="8"/>
  <c r="H524" i="8"/>
  <c r="M523" i="8"/>
  <c r="L523" i="8"/>
  <c r="K523" i="8"/>
  <c r="J523" i="8"/>
  <c r="I523" i="8"/>
  <c r="H523" i="8"/>
  <c r="M522" i="8"/>
  <c r="L522" i="8"/>
  <c r="K522" i="8"/>
  <c r="J522" i="8"/>
  <c r="I522" i="8"/>
  <c r="H522" i="8"/>
  <c r="M521" i="8"/>
  <c r="L521" i="8"/>
  <c r="K521" i="8"/>
  <c r="J521" i="8"/>
  <c r="I521" i="8"/>
  <c r="H521" i="8"/>
  <c r="M520" i="8"/>
  <c r="L520" i="8"/>
  <c r="K520" i="8"/>
  <c r="J520" i="8"/>
  <c r="I520" i="8"/>
  <c r="H520" i="8"/>
  <c r="M519" i="8"/>
  <c r="L519" i="8"/>
  <c r="K519" i="8"/>
  <c r="J519" i="8"/>
  <c r="I519" i="8"/>
  <c r="H519" i="8"/>
  <c r="M518" i="8"/>
  <c r="L518" i="8"/>
  <c r="K518" i="8"/>
  <c r="J518" i="8"/>
  <c r="I518" i="8"/>
  <c r="H518" i="8"/>
  <c r="M517" i="8"/>
  <c r="L517" i="8"/>
  <c r="K517" i="8"/>
  <c r="J517" i="8"/>
  <c r="I517" i="8"/>
  <c r="H517" i="8"/>
  <c r="M516" i="8"/>
  <c r="L516" i="8"/>
  <c r="K516" i="8"/>
  <c r="J516" i="8"/>
  <c r="I516" i="8"/>
  <c r="H516" i="8"/>
  <c r="M515" i="8"/>
  <c r="L515" i="8"/>
  <c r="K515" i="8"/>
  <c r="J515" i="8"/>
  <c r="I515" i="8"/>
  <c r="H515" i="8"/>
  <c r="M514" i="8"/>
  <c r="L514" i="8"/>
  <c r="K514" i="8"/>
  <c r="J514" i="8"/>
  <c r="I514" i="8"/>
  <c r="H514" i="8"/>
  <c r="M513" i="8"/>
  <c r="L513" i="8"/>
  <c r="K513" i="8"/>
  <c r="J513" i="8"/>
  <c r="I513" i="8"/>
  <c r="H513" i="8"/>
  <c r="M512" i="8"/>
  <c r="L512" i="8"/>
  <c r="K512" i="8"/>
  <c r="J512" i="8"/>
  <c r="I512" i="8"/>
  <c r="H512" i="8"/>
  <c r="M511" i="8"/>
  <c r="L511" i="8"/>
  <c r="K511" i="8"/>
  <c r="J511" i="8"/>
  <c r="I511" i="8"/>
  <c r="H511" i="8"/>
  <c r="P511" i="8" s="1"/>
  <c r="M510" i="8"/>
  <c r="L510" i="8"/>
  <c r="K510" i="8"/>
  <c r="J510" i="8"/>
  <c r="I510" i="8"/>
  <c r="H510" i="8"/>
  <c r="M509" i="8"/>
  <c r="L509" i="8"/>
  <c r="K509" i="8"/>
  <c r="J509" i="8"/>
  <c r="I509" i="8"/>
  <c r="H509" i="8"/>
  <c r="M508" i="8"/>
  <c r="L508" i="8"/>
  <c r="K508" i="8"/>
  <c r="J508" i="8"/>
  <c r="I508" i="8"/>
  <c r="H508" i="8"/>
  <c r="M507" i="8"/>
  <c r="L507" i="8"/>
  <c r="K507" i="8"/>
  <c r="J507" i="8"/>
  <c r="I507" i="8"/>
  <c r="H507" i="8"/>
  <c r="M506" i="8"/>
  <c r="L506" i="8"/>
  <c r="K506" i="8"/>
  <c r="J506" i="8"/>
  <c r="I506" i="8"/>
  <c r="H506" i="8"/>
  <c r="M505" i="8"/>
  <c r="L505" i="8"/>
  <c r="K505" i="8"/>
  <c r="J505" i="8"/>
  <c r="I505" i="8"/>
  <c r="H505" i="8"/>
  <c r="M504" i="8"/>
  <c r="L504" i="8"/>
  <c r="K504" i="8"/>
  <c r="J504" i="8"/>
  <c r="I504" i="8"/>
  <c r="H504" i="8"/>
  <c r="M503" i="8"/>
  <c r="L503" i="8"/>
  <c r="K503" i="8"/>
  <c r="J503" i="8"/>
  <c r="I503" i="8"/>
  <c r="H503" i="8"/>
  <c r="M502" i="8"/>
  <c r="L502" i="8"/>
  <c r="K502" i="8"/>
  <c r="J502" i="8"/>
  <c r="I502" i="8"/>
  <c r="H502" i="8"/>
  <c r="M501" i="8"/>
  <c r="L501" i="8"/>
  <c r="K501" i="8"/>
  <c r="J501" i="8"/>
  <c r="I501" i="8"/>
  <c r="H501" i="8"/>
  <c r="M500" i="8"/>
  <c r="L500" i="8"/>
  <c r="K500" i="8"/>
  <c r="J500" i="8"/>
  <c r="I500" i="8"/>
  <c r="H500" i="8"/>
  <c r="M499" i="8"/>
  <c r="L499" i="8"/>
  <c r="K499" i="8"/>
  <c r="J499" i="8"/>
  <c r="I499" i="8"/>
  <c r="H499" i="8"/>
  <c r="M498" i="8"/>
  <c r="L498" i="8"/>
  <c r="K498" i="8"/>
  <c r="J498" i="8"/>
  <c r="I498" i="8"/>
  <c r="H498" i="8"/>
  <c r="M497" i="8"/>
  <c r="L497" i="8"/>
  <c r="K497" i="8"/>
  <c r="J497" i="8"/>
  <c r="I497" i="8"/>
  <c r="H497" i="8"/>
  <c r="M496" i="8"/>
  <c r="L496" i="8"/>
  <c r="K496" i="8"/>
  <c r="J496" i="8"/>
  <c r="I496" i="8"/>
  <c r="H496" i="8"/>
  <c r="M495" i="8"/>
  <c r="L495" i="8"/>
  <c r="K495" i="8"/>
  <c r="J495" i="8"/>
  <c r="I495" i="8"/>
  <c r="H495" i="8"/>
  <c r="M494" i="8"/>
  <c r="L494" i="8"/>
  <c r="K494" i="8"/>
  <c r="J494" i="8"/>
  <c r="I494" i="8"/>
  <c r="H494" i="8"/>
  <c r="M493" i="8"/>
  <c r="L493" i="8"/>
  <c r="K493" i="8"/>
  <c r="J493" i="8"/>
  <c r="I493" i="8"/>
  <c r="H493" i="8"/>
  <c r="M492" i="8"/>
  <c r="L492" i="8"/>
  <c r="K492" i="8"/>
  <c r="J492" i="8"/>
  <c r="I492" i="8"/>
  <c r="H492" i="8"/>
  <c r="M491" i="8"/>
  <c r="L491" i="8"/>
  <c r="K491" i="8"/>
  <c r="J491" i="8"/>
  <c r="I491" i="8"/>
  <c r="H491" i="8"/>
  <c r="M490" i="8"/>
  <c r="L490" i="8"/>
  <c r="K490" i="8"/>
  <c r="J490" i="8"/>
  <c r="I490" i="8"/>
  <c r="H490" i="8"/>
  <c r="M489" i="8"/>
  <c r="L489" i="8"/>
  <c r="K489" i="8"/>
  <c r="J489" i="8"/>
  <c r="I489" i="8"/>
  <c r="H489" i="8"/>
  <c r="M488" i="8"/>
  <c r="L488" i="8"/>
  <c r="K488" i="8"/>
  <c r="J488" i="8"/>
  <c r="I488" i="8"/>
  <c r="H488" i="8"/>
  <c r="M487" i="8"/>
  <c r="L487" i="8"/>
  <c r="K487" i="8"/>
  <c r="J487" i="8"/>
  <c r="I487" i="8"/>
  <c r="H487" i="8"/>
  <c r="M486" i="8"/>
  <c r="L486" i="8"/>
  <c r="K486" i="8"/>
  <c r="J486" i="8"/>
  <c r="I486" i="8"/>
  <c r="H486" i="8"/>
  <c r="M485" i="8"/>
  <c r="L485" i="8"/>
  <c r="K485" i="8"/>
  <c r="J485" i="8"/>
  <c r="I485" i="8"/>
  <c r="H485" i="8"/>
  <c r="M484" i="8"/>
  <c r="L484" i="8"/>
  <c r="K484" i="8"/>
  <c r="J484" i="8"/>
  <c r="I484" i="8"/>
  <c r="H484" i="8"/>
  <c r="M483" i="8"/>
  <c r="L483" i="8"/>
  <c r="K483" i="8"/>
  <c r="J483" i="8"/>
  <c r="I483" i="8"/>
  <c r="H483" i="8"/>
  <c r="M482" i="8"/>
  <c r="L482" i="8"/>
  <c r="K482" i="8"/>
  <c r="J482" i="8"/>
  <c r="I482" i="8"/>
  <c r="H482" i="8"/>
  <c r="M481" i="8"/>
  <c r="L481" i="8"/>
  <c r="K481" i="8"/>
  <c r="J481" i="8"/>
  <c r="I481" i="8"/>
  <c r="H481" i="8"/>
  <c r="M480" i="8"/>
  <c r="L480" i="8"/>
  <c r="K480" i="8"/>
  <c r="J480" i="8"/>
  <c r="I480" i="8"/>
  <c r="H480" i="8"/>
  <c r="M479" i="8"/>
  <c r="L479" i="8"/>
  <c r="K479" i="8"/>
  <c r="J479" i="8"/>
  <c r="I479" i="8"/>
  <c r="H479" i="8"/>
  <c r="M478" i="8"/>
  <c r="L478" i="8"/>
  <c r="K478" i="8"/>
  <c r="J478" i="8"/>
  <c r="I478" i="8"/>
  <c r="H478" i="8"/>
  <c r="M477" i="8"/>
  <c r="L477" i="8"/>
  <c r="K477" i="8"/>
  <c r="J477" i="8"/>
  <c r="I477" i="8"/>
  <c r="H477" i="8"/>
  <c r="M476" i="8"/>
  <c r="L476" i="8"/>
  <c r="K476" i="8"/>
  <c r="J476" i="8"/>
  <c r="I476" i="8"/>
  <c r="H476" i="8"/>
  <c r="M475" i="8"/>
  <c r="L475" i="8"/>
  <c r="K475" i="8"/>
  <c r="J475" i="8"/>
  <c r="I475" i="8"/>
  <c r="H475" i="8"/>
  <c r="M474" i="8"/>
  <c r="L474" i="8"/>
  <c r="K474" i="8"/>
  <c r="J474" i="8"/>
  <c r="I474" i="8"/>
  <c r="H474" i="8"/>
  <c r="M473" i="8"/>
  <c r="L473" i="8"/>
  <c r="K473" i="8"/>
  <c r="J473" i="8"/>
  <c r="I473" i="8"/>
  <c r="H473" i="8"/>
  <c r="M472" i="8"/>
  <c r="L472" i="8"/>
  <c r="K472" i="8"/>
  <c r="J472" i="8"/>
  <c r="I472" i="8"/>
  <c r="H472" i="8"/>
  <c r="M471" i="8"/>
  <c r="L471" i="8"/>
  <c r="K471" i="8"/>
  <c r="J471" i="8"/>
  <c r="I471" i="8"/>
  <c r="H471" i="8"/>
  <c r="M470" i="8"/>
  <c r="L470" i="8"/>
  <c r="K470" i="8"/>
  <c r="J470" i="8"/>
  <c r="I470" i="8"/>
  <c r="H470" i="8"/>
  <c r="M469" i="8"/>
  <c r="L469" i="8"/>
  <c r="K469" i="8"/>
  <c r="J469" i="8"/>
  <c r="I469" i="8"/>
  <c r="H469" i="8"/>
  <c r="M468" i="8"/>
  <c r="L468" i="8"/>
  <c r="K468" i="8"/>
  <c r="J468" i="8"/>
  <c r="I468" i="8"/>
  <c r="H468" i="8"/>
  <c r="M467" i="8"/>
  <c r="L467" i="8"/>
  <c r="K467" i="8"/>
  <c r="J467" i="8"/>
  <c r="I467" i="8"/>
  <c r="H467" i="8"/>
  <c r="M466" i="8"/>
  <c r="L466" i="8"/>
  <c r="K466" i="8"/>
  <c r="J466" i="8"/>
  <c r="I466" i="8"/>
  <c r="H466" i="8"/>
  <c r="M465" i="8"/>
  <c r="L465" i="8"/>
  <c r="K465" i="8"/>
  <c r="J465" i="8"/>
  <c r="I465" i="8"/>
  <c r="H465" i="8"/>
  <c r="M464" i="8"/>
  <c r="L464" i="8"/>
  <c r="K464" i="8"/>
  <c r="J464" i="8"/>
  <c r="I464" i="8"/>
  <c r="H464" i="8"/>
  <c r="M463" i="8"/>
  <c r="L463" i="8"/>
  <c r="K463" i="8"/>
  <c r="J463" i="8"/>
  <c r="I463" i="8"/>
  <c r="H463" i="8"/>
  <c r="M462" i="8"/>
  <c r="L462" i="8"/>
  <c r="K462" i="8"/>
  <c r="J462" i="8"/>
  <c r="I462" i="8"/>
  <c r="H462" i="8"/>
  <c r="M461" i="8"/>
  <c r="L461" i="8"/>
  <c r="K461" i="8"/>
  <c r="J461" i="8"/>
  <c r="I461" i="8"/>
  <c r="H461" i="8"/>
  <c r="M460" i="8"/>
  <c r="L460" i="8"/>
  <c r="K460" i="8"/>
  <c r="J460" i="8"/>
  <c r="I460" i="8"/>
  <c r="H460" i="8"/>
  <c r="M459" i="8"/>
  <c r="L459" i="8"/>
  <c r="K459" i="8"/>
  <c r="J459" i="8"/>
  <c r="I459" i="8"/>
  <c r="H459" i="8"/>
  <c r="M458" i="8"/>
  <c r="L458" i="8"/>
  <c r="K458" i="8"/>
  <c r="J458" i="8"/>
  <c r="I458" i="8"/>
  <c r="H458" i="8"/>
  <c r="M457" i="8"/>
  <c r="L457" i="8"/>
  <c r="K457" i="8"/>
  <c r="J457" i="8"/>
  <c r="I457" i="8"/>
  <c r="H457" i="8"/>
  <c r="M456" i="8"/>
  <c r="L456" i="8"/>
  <c r="K456" i="8"/>
  <c r="J456" i="8"/>
  <c r="I456" i="8"/>
  <c r="H456" i="8"/>
  <c r="M455" i="8"/>
  <c r="L455" i="8"/>
  <c r="K455" i="8"/>
  <c r="J455" i="8"/>
  <c r="I455" i="8"/>
  <c r="H455" i="8"/>
  <c r="M454" i="8"/>
  <c r="L454" i="8"/>
  <c r="K454" i="8"/>
  <c r="J454" i="8"/>
  <c r="I454" i="8"/>
  <c r="H454" i="8"/>
  <c r="M453" i="8"/>
  <c r="L453" i="8"/>
  <c r="K453" i="8"/>
  <c r="J453" i="8"/>
  <c r="I453" i="8"/>
  <c r="H453" i="8"/>
  <c r="M452" i="8"/>
  <c r="L452" i="8"/>
  <c r="K452" i="8"/>
  <c r="J452" i="8"/>
  <c r="I452" i="8"/>
  <c r="H452" i="8"/>
  <c r="M451" i="8"/>
  <c r="L451" i="8"/>
  <c r="K451" i="8"/>
  <c r="J451" i="8"/>
  <c r="I451" i="8"/>
  <c r="H451" i="8"/>
  <c r="M450" i="8"/>
  <c r="L450" i="8"/>
  <c r="K450" i="8"/>
  <c r="J450" i="8"/>
  <c r="I450" i="8"/>
  <c r="H450" i="8"/>
  <c r="M449" i="8"/>
  <c r="L449" i="8"/>
  <c r="K449" i="8"/>
  <c r="J449" i="8"/>
  <c r="I449" i="8"/>
  <c r="H449" i="8"/>
  <c r="M448" i="8"/>
  <c r="L448" i="8"/>
  <c r="K448" i="8"/>
  <c r="J448" i="8"/>
  <c r="I448" i="8"/>
  <c r="H448" i="8"/>
  <c r="M447" i="8"/>
  <c r="L447" i="8"/>
  <c r="K447" i="8"/>
  <c r="J447" i="8"/>
  <c r="I447" i="8"/>
  <c r="H447" i="8"/>
  <c r="M446" i="8"/>
  <c r="L446" i="8"/>
  <c r="K446" i="8"/>
  <c r="J446" i="8"/>
  <c r="I446" i="8"/>
  <c r="H446" i="8"/>
  <c r="M445" i="8"/>
  <c r="L445" i="8"/>
  <c r="K445" i="8"/>
  <c r="J445" i="8"/>
  <c r="I445" i="8"/>
  <c r="H445" i="8"/>
  <c r="M444" i="8"/>
  <c r="L444" i="8"/>
  <c r="O444" i="8" s="1"/>
  <c r="K444" i="8"/>
  <c r="J444" i="8"/>
  <c r="I444" i="8"/>
  <c r="H444" i="8"/>
  <c r="M443" i="8"/>
  <c r="L443" i="8"/>
  <c r="K443" i="8"/>
  <c r="J443" i="8"/>
  <c r="I443" i="8"/>
  <c r="H443" i="8"/>
  <c r="M442" i="8"/>
  <c r="L442" i="8"/>
  <c r="K442" i="8"/>
  <c r="J442" i="8"/>
  <c r="I442" i="8"/>
  <c r="H442" i="8"/>
  <c r="M441" i="8"/>
  <c r="L441" i="8"/>
  <c r="K441" i="8"/>
  <c r="J441" i="8"/>
  <c r="I441" i="8"/>
  <c r="H441" i="8"/>
  <c r="M440" i="8"/>
  <c r="L440" i="8"/>
  <c r="K440" i="8"/>
  <c r="J440" i="8"/>
  <c r="I440" i="8"/>
  <c r="H440" i="8"/>
  <c r="M439" i="8"/>
  <c r="L439" i="8"/>
  <c r="K439" i="8"/>
  <c r="J439" i="8"/>
  <c r="I439" i="8"/>
  <c r="H439" i="8"/>
  <c r="M438" i="8"/>
  <c r="L438" i="8"/>
  <c r="K438" i="8"/>
  <c r="J438" i="8"/>
  <c r="I438" i="8"/>
  <c r="H438" i="8"/>
  <c r="M437" i="8"/>
  <c r="L437" i="8"/>
  <c r="K437" i="8"/>
  <c r="J437" i="8"/>
  <c r="I437" i="8"/>
  <c r="H437" i="8"/>
  <c r="M436" i="8"/>
  <c r="L436" i="8"/>
  <c r="K436" i="8"/>
  <c r="J436" i="8"/>
  <c r="I436" i="8"/>
  <c r="H436" i="8"/>
  <c r="M435" i="8"/>
  <c r="L435" i="8"/>
  <c r="K435" i="8"/>
  <c r="J435" i="8"/>
  <c r="I435" i="8"/>
  <c r="H435" i="8"/>
  <c r="M434" i="8"/>
  <c r="L434" i="8"/>
  <c r="K434" i="8"/>
  <c r="J434" i="8"/>
  <c r="I434" i="8"/>
  <c r="H434" i="8"/>
  <c r="M433" i="8"/>
  <c r="L433" i="8"/>
  <c r="K433" i="8"/>
  <c r="J433" i="8"/>
  <c r="I433" i="8"/>
  <c r="H433" i="8"/>
  <c r="M432" i="8"/>
  <c r="L432" i="8"/>
  <c r="K432" i="8"/>
  <c r="J432" i="8"/>
  <c r="I432" i="8"/>
  <c r="H432" i="8"/>
  <c r="M431" i="8"/>
  <c r="L431" i="8"/>
  <c r="K431" i="8"/>
  <c r="J431" i="8"/>
  <c r="I431" i="8"/>
  <c r="H431" i="8"/>
  <c r="M430" i="8"/>
  <c r="L430" i="8"/>
  <c r="K430" i="8"/>
  <c r="J430" i="8"/>
  <c r="I430" i="8"/>
  <c r="H430" i="8"/>
  <c r="M429" i="8"/>
  <c r="L429" i="8"/>
  <c r="K429" i="8"/>
  <c r="J429" i="8"/>
  <c r="I429" i="8"/>
  <c r="H429" i="8"/>
  <c r="M428" i="8"/>
  <c r="L428" i="8"/>
  <c r="K428" i="8"/>
  <c r="J428" i="8"/>
  <c r="I428" i="8"/>
  <c r="H428" i="8"/>
  <c r="M427" i="8"/>
  <c r="L427" i="8"/>
  <c r="K427" i="8"/>
  <c r="J427" i="8"/>
  <c r="I427" i="8"/>
  <c r="H427" i="8"/>
  <c r="M426" i="8"/>
  <c r="L426" i="8"/>
  <c r="K426" i="8"/>
  <c r="J426" i="8"/>
  <c r="I426" i="8"/>
  <c r="H426" i="8"/>
  <c r="M425" i="8"/>
  <c r="L425" i="8"/>
  <c r="K425" i="8"/>
  <c r="J425" i="8"/>
  <c r="I425" i="8"/>
  <c r="H425" i="8"/>
  <c r="M424" i="8"/>
  <c r="L424" i="8"/>
  <c r="K424" i="8"/>
  <c r="J424" i="8"/>
  <c r="I424" i="8"/>
  <c r="H424" i="8"/>
  <c r="M423" i="8"/>
  <c r="L423" i="8"/>
  <c r="K423" i="8"/>
  <c r="J423" i="8"/>
  <c r="I423" i="8"/>
  <c r="H423" i="8"/>
  <c r="M422" i="8"/>
  <c r="L422" i="8"/>
  <c r="K422" i="8"/>
  <c r="J422" i="8"/>
  <c r="I422" i="8"/>
  <c r="H422" i="8"/>
  <c r="M421" i="8"/>
  <c r="L421" i="8"/>
  <c r="K421" i="8"/>
  <c r="J421" i="8"/>
  <c r="I421" i="8"/>
  <c r="H421" i="8"/>
  <c r="M420" i="8"/>
  <c r="L420" i="8"/>
  <c r="K420" i="8"/>
  <c r="J420" i="8"/>
  <c r="I420" i="8"/>
  <c r="H420" i="8"/>
  <c r="M419" i="8"/>
  <c r="L419" i="8"/>
  <c r="K419" i="8"/>
  <c r="J419" i="8"/>
  <c r="I419" i="8"/>
  <c r="H419" i="8"/>
  <c r="M418" i="8"/>
  <c r="L418" i="8"/>
  <c r="K418" i="8"/>
  <c r="J418" i="8"/>
  <c r="I418" i="8"/>
  <c r="H418" i="8"/>
  <c r="M417" i="8"/>
  <c r="L417" i="8"/>
  <c r="K417" i="8"/>
  <c r="J417" i="8"/>
  <c r="I417" i="8"/>
  <c r="H417" i="8"/>
  <c r="M416" i="8"/>
  <c r="L416" i="8"/>
  <c r="K416" i="8"/>
  <c r="J416" i="8"/>
  <c r="I416" i="8"/>
  <c r="H416" i="8"/>
  <c r="M415" i="8"/>
  <c r="L415" i="8"/>
  <c r="K415" i="8"/>
  <c r="J415" i="8"/>
  <c r="I415" i="8"/>
  <c r="H415" i="8"/>
  <c r="M414" i="8"/>
  <c r="L414" i="8"/>
  <c r="K414" i="8"/>
  <c r="J414" i="8"/>
  <c r="I414" i="8"/>
  <c r="H414" i="8"/>
  <c r="M413" i="8"/>
  <c r="L413" i="8"/>
  <c r="K413" i="8"/>
  <c r="J413" i="8"/>
  <c r="I413" i="8"/>
  <c r="H413" i="8"/>
  <c r="M412" i="8"/>
  <c r="L412" i="8"/>
  <c r="K412" i="8"/>
  <c r="J412" i="8"/>
  <c r="I412" i="8"/>
  <c r="H412" i="8"/>
  <c r="M411" i="8"/>
  <c r="L411" i="8"/>
  <c r="K411" i="8"/>
  <c r="J411" i="8"/>
  <c r="I411" i="8"/>
  <c r="H411" i="8"/>
  <c r="M410" i="8"/>
  <c r="L410" i="8"/>
  <c r="K410" i="8"/>
  <c r="J410" i="8"/>
  <c r="I410" i="8"/>
  <c r="H410" i="8"/>
  <c r="M409" i="8"/>
  <c r="L409" i="8"/>
  <c r="K409" i="8"/>
  <c r="J409" i="8"/>
  <c r="I409" i="8"/>
  <c r="H409" i="8"/>
  <c r="M408" i="8"/>
  <c r="L408" i="8"/>
  <c r="K408" i="8"/>
  <c r="J408" i="8"/>
  <c r="I408" i="8"/>
  <c r="H408" i="8"/>
  <c r="M407" i="8"/>
  <c r="L407" i="8"/>
  <c r="K407" i="8"/>
  <c r="J407" i="8"/>
  <c r="I407" i="8"/>
  <c r="H407" i="8"/>
  <c r="M406" i="8"/>
  <c r="L406" i="8"/>
  <c r="K406" i="8"/>
  <c r="J406" i="8"/>
  <c r="I406" i="8"/>
  <c r="H406" i="8"/>
  <c r="M405" i="8"/>
  <c r="L405" i="8"/>
  <c r="K405" i="8"/>
  <c r="J405" i="8"/>
  <c r="I405" i="8"/>
  <c r="H405" i="8"/>
  <c r="M404" i="8"/>
  <c r="L404" i="8"/>
  <c r="K404" i="8"/>
  <c r="J404" i="8"/>
  <c r="I404" i="8"/>
  <c r="H404" i="8"/>
  <c r="M403" i="8"/>
  <c r="L403" i="8"/>
  <c r="K403" i="8"/>
  <c r="J403" i="8"/>
  <c r="I403" i="8"/>
  <c r="H403" i="8"/>
  <c r="M402" i="8"/>
  <c r="L402" i="8"/>
  <c r="K402" i="8"/>
  <c r="J402" i="8"/>
  <c r="I402" i="8"/>
  <c r="H402" i="8"/>
  <c r="M401" i="8"/>
  <c r="L401" i="8"/>
  <c r="K401" i="8"/>
  <c r="J401" i="8"/>
  <c r="I401" i="8"/>
  <c r="H401" i="8"/>
  <c r="M400" i="8"/>
  <c r="L400" i="8"/>
  <c r="K400" i="8"/>
  <c r="J400" i="8"/>
  <c r="I400" i="8"/>
  <c r="H400" i="8"/>
  <c r="M399" i="8"/>
  <c r="L399" i="8"/>
  <c r="K399" i="8"/>
  <c r="J399" i="8"/>
  <c r="I399" i="8"/>
  <c r="H399" i="8"/>
  <c r="M398" i="8"/>
  <c r="L398" i="8"/>
  <c r="K398" i="8"/>
  <c r="J398" i="8"/>
  <c r="I398" i="8"/>
  <c r="H398" i="8"/>
  <c r="M397" i="8"/>
  <c r="L397" i="8"/>
  <c r="K397" i="8"/>
  <c r="J397" i="8"/>
  <c r="I397" i="8"/>
  <c r="H397" i="8"/>
  <c r="M396" i="8"/>
  <c r="L396" i="8"/>
  <c r="K396" i="8"/>
  <c r="J396" i="8"/>
  <c r="I396" i="8"/>
  <c r="H396" i="8"/>
  <c r="M395" i="8"/>
  <c r="L395" i="8"/>
  <c r="K395" i="8"/>
  <c r="J395" i="8"/>
  <c r="I395" i="8"/>
  <c r="H395" i="8"/>
  <c r="M394" i="8"/>
  <c r="L394" i="8"/>
  <c r="K394" i="8"/>
  <c r="J394" i="8"/>
  <c r="I394" i="8"/>
  <c r="H394" i="8"/>
  <c r="M393" i="8"/>
  <c r="L393" i="8"/>
  <c r="K393" i="8"/>
  <c r="J393" i="8"/>
  <c r="I393" i="8"/>
  <c r="H393" i="8"/>
  <c r="M392" i="8"/>
  <c r="L392" i="8"/>
  <c r="K392" i="8"/>
  <c r="J392" i="8"/>
  <c r="I392" i="8"/>
  <c r="H392" i="8"/>
  <c r="M391" i="8"/>
  <c r="L391" i="8"/>
  <c r="K391" i="8"/>
  <c r="J391" i="8"/>
  <c r="I391" i="8"/>
  <c r="H391" i="8"/>
  <c r="M390" i="8"/>
  <c r="L390" i="8"/>
  <c r="K390" i="8"/>
  <c r="J390" i="8"/>
  <c r="I390" i="8"/>
  <c r="H390" i="8"/>
  <c r="M389" i="8"/>
  <c r="L389" i="8"/>
  <c r="K389" i="8"/>
  <c r="J389" i="8"/>
  <c r="I389" i="8"/>
  <c r="H389" i="8"/>
  <c r="M388" i="8"/>
  <c r="L388" i="8"/>
  <c r="K388" i="8"/>
  <c r="J388" i="8"/>
  <c r="I388" i="8"/>
  <c r="H388" i="8"/>
  <c r="M387" i="8"/>
  <c r="L387" i="8"/>
  <c r="K387" i="8"/>
  <c r="J387" i="8"/>
  <c r="I387" i="8"/>
  <c r="H387" i="8"/>
  <c r="M386" i="8"/>
  <c r="L386" i="8"/>
  <c r="K386" i="8"/>
  <c r="J386" i="8"/>
  <c r="I386" i="8"/>
  <c r="H386" i="8"/>
  <c r="M385" i="8"/>
  <c r="L385" i="8"/>
  <c r="K385" i="8"/>
  <c r="J385" i="8"/>
  <c r="I385" i="8"/>
  <c r="H385" i="8"/>
  <c r="M384" i="8"/>
  <c r="L384" i="8"/>
  <c r="K384" i="8"/>
  <c r="J384" i="8"/>
  <c r="I384" i="8"/>
  <c r="H384" i="8"/>
  <c r="M383" i="8"/>
  <c r="L383" i="8"/>
  <c r="K383" i="8"/>
  <c r="J383" i="8"/>
  <c r="I383" i="8"/>
  <c r="H383" i="8"/>
  <c r="M382" i="8"/>
  <c r="L382" i="8"/>
  <c r="K382" i="8"/>
  <c r="J382" i="8"/>
  <c r="I382" i="8"/>
  <c r="H382" i="8"/>
  <c r="M381" i="8"/>
  <c r="L381" i="8"/>
  <c r="K381" i="8"/>
  <c r="J381" i="8"/>
  <c r="I381" i="8"/>
  <c r="H381" i="8"/>
  <c r="M380" i="8"/>
  <c r="L380" i="8"/>
  <c r="K380" i="8"/>
  <c r="J380" i="8"/>
  <c r="I380" i="8"/>
  <c r="H380" i="8"/>
  <c r="M379" i="8"/>
  <c r="L379" i="8"/>
  <c r="K379" i="8"/>
  <c r="J379" i="8"/>
  <c r="I379" i="8"/>
  <c r="H379" i="8"/>
  <c r="M378" i="8"/>
  <c r="L378" i="8"/>
  <c r="K378" i="8"/>
  <c r="J378" i="8"/>
  <c r="I378" i="8"/>
  <c r="H378" i="8"/>
  <c r="M377" i="8"/>
  <c r="L377" i="8"/>
  <c r="K377" i="8"/>
  <c r="J377" i="8"/>
  <c r="I377" i="8"/>
  <c r="H377" i="8"/>
  <c r="M376" i="8"/>
  <c r="L376" i="8"/>
  <c r="K376" i="8"/>
  <c r="J376" i="8"/>
  <c r="I376" i="8"/>
  <c r="H376" i="8"/>
  <c r="M375" i="8"/>
  <c r="L375" i="8"/>
  <c r="K375" i="8"/>
  <c r="J375" i="8"/>
  <c r="I375" i="8"/>
  <c r="H375" i="8"/>
  <c r="M374" i="8"/>
  <c r="L374" i="8"/>
  <c r="K374" i="8"/>
  <c r="J374" i="8"/>
  <c r="I374" i="8"/>
  <c r="H374" i="8"/>
  <c r="M373" i="8"/>
  <c r="L373" i="8"/>
  <c r="K373" i="8"/>
  <c r="J373" i="8"/>
  <c r="I373" i="8"/>
  <c r="H373" i="8"/>
  <c r="P372" i="8"/>
  <c r="M372" i="8"/>
  <c r="L372" i="8"/>
  <c r="K372" i="8"/>
  <c r="J372" i="8"/>
  <c r="I372" i="8"/>
  <c r="H372" i="8"/>
  <c r="O372" i="8" s="1"/>
  <c r="M371" i="8"/>
  <c r="L371" i="8"/>
  <c r="K371" i="8"/>
  <c r="J371" i="8"/>
  <c r="I371" i="8"/>
  <c r="H371" i="8"/>
  <c r="M370" i="8"/>
  <c r="L370" i="8"/>
  <c r="K370" i="8"/>
  <c r="J370" i="8"/>
  <c r="I370" i="8"/>
  <c r="H370" i="8"/>
  <c r="N370" i="8" s="1"/>
  <c r="M369" i="8"/>
  <c r="L369" i="8"/>
  <c r="K369" i="8"/>
  <c r="J369" i="8"/>
  <c r="I369" i="8"/>
  <c r="H369" i="8"/>
  <c r="M368" i="8"/>
  <c r="L368" i="8"/>
  <c r="K368" i="8"/>
  <c r="J368" i="8"/>
  <c r="I368" i="8"/>
  <c r="H368" i="8"/>
  <c r="P368" i="8" s="1"/>
  <c r="M367" i="8"/>
  <c r="L367" i="8"/>
  <c r="K367" i="8"/>
  <c r="J367" i="8"/>
  <c r="I367" i="8"/>
  <c r="H367" i="8"/>
  <c r="M366" i="8"/>
  <c r="L366" i="8"/>
  <c r="K366" i="8"/>
  <c r="J366" i="8"/>
  <c r="I366" i="8"/>
  <c r="H366" i="8"/>
  <c r="M365" i="8"/>
  <c r="L365" i="8"/>
  <c r="K365" i="8"/>
  <c r="J365" i="8"/>
  <c r="I365" i="8"/>
  <c r="H365" i="8"/>
  <c r="P365" i="8" s="1"/>
  <c r="M364" i="8"/>
  <c r="L364" i="8"/>
  <c r="K364" i="8"/>
  <c r="J364" i="8"/>
  <c r="I364" i="8"/>
  <c r="H364" i="8"/>
  <c r="M363" i="8"/>
  <c r="L363" i="8"/>
  <c r="K363" i="8"/>
  <c r="J363" i="8"/>
  <c r="I363" i="8"/>
  <c r="H363" i="8"/>
  <c r="M362" i="8"/>
  <c r="L362" i="8"/>
  <c r="K362" i="8"/>
  <c r="J362" i="8"/>
  <c r="I362" i="8"/>
  <c r="H362" i="8"/>
  <c r="M361" i="8"/>
  <c r="L361" i="8"/>
  <c r="K361" i="8"/>
  <c r="J361" i="8"/>
  <c r="I361" i="8"/>
  <c r="H361" i="8"/>
  <c r="M360" i="8"/>
  <c r="L360" i="8"/>
  <c r="K360" i="8"/>
  <c r="J360" i="8"/>
  <c r="I360" i="8"/>
  <c r="H360" i="8"/>
  <c r="M359" i="8"/>
  <c r="L359" i="8"/>
  <c r="K359" i="8"/>
  <c r="J359" i="8"/>
  <c r="I359" i="8"/>
  <c r="H359" i="8"/>
  <c r="M358" i="8"/>
  <c r="L358" i="8"/>
  <c r="K358" i="8"/>
  <c r="J358" i="8"/>
  <c r="I358" i="8"/>
  <c r="H358" i="8"/>
  <c r="P358" i="8" s="1"/>
  <c r="M357" i="8"/>
  <c r="L357" i="8"/>
  <c r="K357" i="8"/>
  <c r="J357" i="8"/>
  <c r="I357" i="8"/>
  <c r="H357" i="8"/>
  <c r="M356" i="8"/>
  <c r="L356" i="8"/>
  <c r="K356" i="8"/>
  <c r="J356" i="8"/>
  <c r="I356" i="8"/>
  <c r="H356" i="8"/>
  <c r="M355" i="8"/>
  <c r="L355" i="8"/>
  <c r="K355" i="8"/>
  <c r="J355" i="8"/>
  <c r="I355" i="8"/>
  <c r="H355" i="8"/>
  <c r="M354" i="8"/>
  <c r="L354" i="8"/>
  <c r="K354" i="8"/>
  <c r="J354" i="8"/>
  <c r="I354" i="8"/>
  <c r="H354" i="8"/>
  <c r="M353" i="8"/>
  <c r="L353" i="8"/>
  <c r="K353" i="8"/>
  <c r="J353" i="8"/>
  <c r="I353" i="8"/>
  <c r="H353" i="8"/>
  <c r="O353" i="8" s="1"/>
  <c r="M352" i="8"/>
  <c r="L352" i="8"/>
  <c r="K352" i="8"/>
  <c r="J352" i="8"/>
  <c r="I352" i="8"/>
  <c r="H352" i="8"/>
  <c r="M351" i="8"/>
  <c r="L351" i="8"/>
  <c r="K351" i="8"/>
  <c r="J351" i="8"/>
  <c r="I351" i="8"/>
  <c r="H351" i="8"/>
  <c r="M350" i="8"/>
  <c r="L350" i="8"/>
  <c r="K350" i="8"/>
  <c r="J350" i="8"/>
  <c r="I350" i="8"/>
  <c r="H350" i="8"/>
  <c r="M349" i="8"/>
  <c r="L349" i="8"/>
  <c r="K349" i="8"/>
  <c r="J349" i="8"/>
  <c r="I349" i="8"/>
  <c r="H349" i="8"/>
  <c r="M348" i="8"/>
  <c r="L348" i="8"/>
  <c r="K348" i="8"/>
  <c r="J348" i="8"/>
  <c r="I348" i="8"/>
  <c r="H348" i="8"/>
  <c r="M347" i="8"/>
  <c r="L347" i="8"/>
  <c r="K347" i="8"/>
  <c r="J347" i="8"/>
  <c r="I347" i="8"/>
  <c r="H347" i="8"/>
  <c r="P347" i="8" s="1"/>
  <c r="M346" i="8"/>
  <c r="L346" i="8"/>
  <c r="K346" i="8"/>
  <c r="J346" i="8"/>
  <c r="I346" i="8"/>
  <c r="H346" i="8"/>
  <c r="M345" i="8"/>
  <c r="L345" i="8"/>
  <c r="K345" i="8"/>
  <c r="J345" i="8"/>
  <c r="I345" i="8"/>
  <c r="H345" i="8"/>
  <c r="M344" i="8"/>
  <c r="L344" i="8"/>
  <c r="K344" i="8"/>
  <c r="J344" i="8"/>
  <c r="I344" i="8"/>
  <c r="H344" i="8"/>
  <c r="M343" i="8"/>
  <c r="L343" i="8"/>
  <c r="K343" i="8"/>
  <c r="J343" i="8"/>
  <c r="I343" i="8"/>
  <c r="H343" i="8"/>
  <c r="M342" i="8"/>
  <c r="L342" i="8"/>
  <c r="K342" i="8"/>
  <c r="J342" i="8"/>
  <c r="I342" i="8"/>
  <c r="H342" i="8"/>
  <c r="M341" i="8"/>
  <c r="L341" i="8"/>
  <c r="K341" i="8"/>
  <c r="J341" i="8"/>
  <c r="I341" i="8"/>
  <c r="H341" i="8"/>
  <c r="M340" i="8"/>
  <c r="L340" i="8"/>
  <c r="K340" i="8"/>
  <c r="J340" i="8"/>
  <c r="I340" i="8"/>
  <c r="H340" i="8"/>
  <c r="M339" i="8"/>
  <c r="L339" i="8"/>
  <c r="K339" i="8"/>
  <c r="J339" i="8"/>
  <c r="I339" i="8"/>
  <c r="H339" i="8"/>
  <c r="M338" i="8"/>
  <c r="L338" i="8"/>
  <c r="K338" i="8"/>
  <c r="J338" i="8"/>
  <c r="I338" i="8"/>
  <c r="H338" i="8"/>
  <c r="M337" i="8"/>
  <c r="L337" i="8"/>
  <c r="K337" i="8"/>
  <c r="J337" i="8"/>
  <c r="I337" i="8"/>
  <c r="H337" i="8"/>
  <c r="N337" i="8" s="1"/>
  <c r="M336" i="8"/>
  <c r="L336" i="8"/>
  <c r="K336" i="8"/>
  <c r="J336" i="8"/>
  <c r="I336" i="8"/>
  <c r="H336" i="8"/>
  <c r="M335" i="8"/>
  <c r="L335" i="8"/>
  <c r="K335" i="8"/>
  <c r="J335" i="8"/>
  <c r="I335" i="8"/>
  <c r="H335" i="8"/>
  <c r="M334" i="8"/>
  <c r="L334" i="8"/>
  <c r="K334" i="8"/>
  <c r="J334" i="8"/>
  <c r="I334" i="8"/>
  <c r="H334" i="8"/>
  <c r="P334" i="8" s="1"/>
  <c r="M333" i="8"/>
  <c r="L333" i="8"/>
  <c r="K333" i="8"/>
  <c r="J333" i="8"/>
  <c r="I333" i="8"/>
  <c r="H333" i="8"/>
  <c r="M332" i="8"/>
  <c r="L332" i="8"/>
  <c r="K332" i="8"/>
  <c r="J332" i="8"/>
  <c r="I332" i="8"/>
  <c r="H332" i="8"/>
  <c r="M331" i="8"/>
  <c r="L331" i="8"/>
  <c r="K331" i="8"/>
  <c r="J331" i="8"/>
  <c r="I331" i="8"/>
  <c r="H331" i="8"/>
  <c r="M330" i="8"/>
  <c r="L330" i="8"/>
  <c r="K330" i="8"/>
  <c r="J330" i="8"/>
  <c r="I330" i="8"/>
  <c r="H330" i="8"/>
  <c r="M329" i="8"/>
  <c r="L329" i="8"/>
  <c r="K329" i="8"/>
  <c r="J329" i="8"/>
  <c r="I329" i="8"/>
  <c r="H329" i="8"/>
  <c r="M328" i="8"/>
  <c r="L328" i="8"/>
  <c r="K328" i="8"/>
  <c r="J328" i="8"/>
  <c r="I328" i="8"/>
  <c r="H328" i="8"/>
  <c r="M327" i="8"/>
  <c r="L327" i="8"/>
  <c r="K327" i="8"/>
  <c r="J327" i="8"/>
  <c r="I327" i="8"/>
  <c r="H327" i="8"/>
  <c r="M326" i="8"/>
  <c r="L326" i="8"/>
  <c r="K326" i="8"/>
  <c r="J326" i="8"/>
  <c r="I326" i="8"/>
  <c r="H326" i="8"/>
  <c r="M325" i="8"/>
  <c r="L325" i="8"/>
  <c r="K325" i="8"/>
  <c r="J325" i="8"/>
  <c r="I325" i="8"/>
  <c r="H325" i="8"/>
  <c r="M324" i="8"/>
  <c r="L324" i="8"/>
  <c r="K324" i="8"/>
  <c r="J324" i="8"/>
  <c r="I324" i="8"/>
  <c r="H324" i="8"/>
  <c r="M323" i="8"/>
  <c r="L323" i="8"/>
  <c r="K323" i="8"/>
  <c r="J323" i="8"/>
  <c r="I323" i="8"/>
  <c r="H323" i="8"/>
  <c r="M322" i="8"/>
  <c r="L322" i="8"/>
  <c r="K322" i="8"/>
  <c r="J322" i="8"/>
  <c r="I322" i="8"/>
  <c r="H322" i="8"/>
  <c r="M321" i="8"/>
  <c r="L321" i="8"/>
  <c r="K321" i="8"/>
  <c r="J321" i="8"/>
  <c r="I321" i="8"/>
  <c r="H321" i="8"/>
  <c r="M320" i="8"/>
  <c r="L320" i="8"/>
  <c r="K320" i="8"/>
  <c r="J320" i="8"/>
  <c r="I320" i="8"/>
  <c r="H320" i="8"/>
  <c r="P320" i="8" s="1"/>
  <c r="M319" i="8"/>
  <c r="L319" i="8"/>
  <c r="K319" i="8"/>
  <c r="J319" i="8"/>
  <c r="I319" i="8"/>
  <c r="H319" i="8"/>
  <c r="M318" i="8"/>
  <c r="L318" i="8"/>
  <c r="K318" i="8"/>
  <c r="J318" i="8"/>
  <c r="I318" i="8"/>
  <c r="H318" i="8"/>
  <c r="M317" i="8"/>
  <c r="L317" i="8"/>
  <c r="K317" i="8"/>
  <c r="J317" i="8"/>
  <c r="I317" i="8"/>
  <c r="H317" i="8"/>
  <c r="M316" i="8"/>
  <c r="L316" i="8"/>
  <c r="K316" i="8"/>
  <c r="J316" i="8"/>
  <c r="I316" i="8"/>
  <c r="H316" i="8"/>
  <c r="M315" i="8"/>
  <c r="L315" i="8"/>
  <c r="K315" i="8"/>
  <c r="J315" i="8"/>
  <c r="I315" i="8"/>
  <c r="H315" i="8"/>
  <c r="M314" i="8"/>
  <c r="L314" i="8"/>
  <c r="K314" i="8"/>
  <c r="J314" i="8"/>
  <c r="I314" i="8"/>
  <c r="H314" i="8"/>
  <c r="M313" i="8"/>
  <c r="L313" i="8"/>
  <c r="K313" i="8"/>
  <c r="J313" i="8"/>
  <c r="I313" i="8"/>
  <c r="H313" i="8"/>
  <c r="M312" i="8"/>
  <c r="L312" i="8"/>
  <c r="K312" i="8"/>
  <c r="J312" i="8"/>
  <c r="I312" i="8"/>
  <c r="H312" i="8"/>
  <c r="P312" i="8" s="1"/>
  <c r="M311" i="8"/>
  <c r="L311" i="8"/>
  <c r="K311" i="8"/>
  <c r="J311" i="8"/>
  <c r="I311" i="8"/>
  <c r="H311" i="8"/>
  <c r="M310" i="8"/>
  <c r="L310" i="8"/>
  <c r="K310" i="8"/>
  <c r="J310" i="8"/>
  <c r="I310" i="8"/>
  <c r="H310" i="8"/>
  <c r="M309" i="8"/>
  <c r="L309" i="8"/>
  <c r="K309" i="8"/>
  <c r="J309" i="8"/>
  <c r="I309" i="8"/>
  <c r="H309" i="8"/>
  <c r="M308" i="8"/>
  <c r="L308" i="8"/>
  <c r="K308" i="8"/>
  <c r="J308" i="8"/>
  <c r="I308" i="8"/>
  <c r="H308" i="8"/>
  <c r="M307" i="8"/>
  <c r="L307" i="8"/>
  <c r="K307" i="8"/>
  <c r="J307" i="8"/>
  <c r="I307" i="8"/>
  <c r="H307" i="8"/>
  <c r="M306" i="8"/>
  <c r="L306" i="8"/>
  <c r="K306" i="8"/>
  <c r="J306" i="8"/>
  <c r="I306" i="8"/>
  <c r="H306" i="8"/>
  <c r="M305" i="8"/>
  <c r="L305" i="8"/>
  <c r="K305" i="8"/>
  <c r="J305" i="8"/>
  <c r="I305" i="8"/>
  <c r="H305" i="8"/>
  <c r="M304" i="8"/>
  <c r="L304" i="8"/>
  <c r="K304" i="8"/>
  <c r="J304" i="8"/>
  <c r="I304" i="8"/>
  <c r="H304" i="8"/>
  <c r="M303" i="8"/>
  <c r="L303" i="8"/>
  <c r="K303" i="8"/>
  <c r="J303" i="8"/>
  <c r="I303" i="8"/>
  <c r="H303" i="8"/>
  <c r="M302" i="8"/>
  <c r="L302" i="8"/>
  <c r="K302" i="8"/>
  <c r="J302" i="8"/>
  <c r="I302" i="8"/>
  <c r="H302" i="8"/>
  <c r="M301" i="8"/>
  <c r="L301" i="8"/>
  <c r="K301" i="8"/>
  <c r="J301" i="8"/>
  <c r="I301" i="8"/>
  <c r="H301" i="8"/>
  <c r="M300" i="8"/>
  <c r="L300" i="8"/>
  <c r="K300" i="8"/>
  <c r="J300" i="8"/>
  <c r="I300" i="8"/>
  <c r="H300" i="8"/>
  <c r="M299" i="8"/>
  <c r="L299" i="8"/>
  <c r="K299" i="8"/>
  <c r="J299" i="8"/>
  <c r="I299" i="8"/>
  <c r="H299" i="8"/>
  <c r="M298" i="8"/>
  <c r="L298" i="8"/>
  <c r="K298" i="8"/>
  <c r="J298" i="8"/>
  <c r="I298" i="8"/>
  <c r="H298" i="8"/>
  <c r="M297" i="8"/>
  <c r="L297" i="8"/>
  <c r="K297" i="8"/>
  <c r="J297" i="8"/>
  <c r="I297" i="8"/>
  <c r="H297" i="8"/>
  <c r="M296" i="8"/>
  <c r="L296" i="8"/>
  <c r="K296" i="8"/>
  <c r="J296" i="8"/>
  <c r="I296" i="8"/>
  <c r="H296" i="8"/>
  <c r="M295" i="8"/>
  <c r="L295" i="8"/>
  <c r="K295" i="8"/>
  <c r="J295" i="8"/>
  <c r="I295" i="8"/>
  <c r="H295" i="8"/>
  <c r="M294" i="8"/>
  <c r="L294" i="8"/>
  <c r="K294" i="8"/>
  <c r="J294" i="8"/>
  <c r="I294" i="8"/>
  <c r="H294" i="8"/>
  <c r="M293" i="8"/>
  <c r="L293" i="8"/>
  <c r="K293" i="8"/>
  <c r="J293" i="8"/>
  <c r="I293" i="8"/>
  <c r="H293" i="8"/>
  <c r="M292" i="8"/>
  <c r="L292" i="8"/>
  <c r="K292" i="8"/>
  <c r="J292" i="8"/>
  <c r="I292" i="8"/>
  <c r="H292" i="8"/>
  <c r="M291" i="8"/>
  <c r="L291" i="8"/>
  <c r="K291" i="8"/>
  <c r="J291" i="8"/>
  <c r="I291" i="8"/>
  <c r="H291" i="8"/>
  <c r="M290" i="8"/>
  <c r="L290" i="8"/>
  <c r="K290" i="8"/>
  <c r="J290" i="8"/>
  <c r="I290" i="8"/>
  <c r="H290" i="8"/>
  <c r="M289" i="8"/>
  <c r="L289" i="8"/>
  <c r="K289" i="8"/>
  <c r="J289" i="8"/>
  <c r="I289" i="8"/>
  <c r="H289" i="8"/>
  <c r="M288" i="8"/>
  <c r="L288" i="8"/>
  <c r="K288" i="8"/>
  <c r="J288" i="8"/>
  <c r="I288" i="8"/>
  <c r="H288" i="8"/>
  <c r="M287" i="8"/>
  <c r="L287" i="8"/>
  <c r="K287" i="8"/>
  <c r="J287" i="8"/>
  <c r="I287" i="8"/>
  <c r="H287" i="8"/>
  <c r="M286" i="8"/>
  <c r="L286" i="8"/>
  <c r="K286" i="8"/>
  <c r="J286" i="8"/>
  <c r="I286" i="8"/>
  <c r="H286" i="8"/>
  <c r="M285" i="8"/>
  <c r="L285" i="8"/>
  <c r="K285" i="8"/>
  <c r="J285" i="8"/>
  <c r="I285" i="8"/>
  <c r="H285" i="8"/>
  <c r="M284" i="8"/>
  <c r="L284" i="8"/>
  <c r="K284" i="8"/>
  <c r="J284" i="8"/>
  <c r="I284" i="8"/>
  <c r="H284" i="8"/>
  <c r="M283" i="8"/>
  <c r="L283" i="8"/>
  <c r="K283" i="8"/>
  <c r="J283" i="8"/>
  <c r="I283" i="8"/>
  <c r="H283" i="8"/>
  <c r="M282" i="8"/>
  <c r="L282" i="8"/>
  <c r="K282" i="8"/>
  <c r="J282" i="8"/>
  <c r="I282" i="8"/>
  <c r="H282" i="8"/>
  <c r="M281" i="8"/>
  <c r="L281" i="8"/>
  <c r="K281" i="8"/>
  <c r="J281" i="8"/>
  <c r="I281" i="8"/>
  <c r="H281" i="8"/>
  <c r="M280" i="8"/>
  <c r="L280" i="8"/>
  <c r="K280" i="8"/>
  <c r="J280" i="8"/>
  <c r="I280" i="8"/>
  <c r="H280" i="8"/>
  <c r="M279" i="8"/>
  <c r="L279" i="8"/>
  <c r="K279" i="8"/>
  <c r="J279" i="8"/>
  <c r="I279" i="8"/>
  <c r="H279" i="8"/>
  <c r="M278" i="8"/>
  <c r="L278" i="8"/>
  <c r="K278" i="8"/>
  <c r="J278" i="8"/>
  <c r="I278" i="8"/>
  <c r="H278" i="8"/>
  <c r="M277" i="8"/>
  <c r="L277" i="8"/>
  <c r="K277" i="8"/>
  <c r="J277" i="8"/>
  <c r="I277" i="8"/>
  <c r="H277" i="8"/>
  <c r="M276" i="8"/>
  <c r="L276" i="8"/>
  <c r="K276" i="8"/>
  <c r="J276" i="8"/>
  <c r="I276" i="8"/>
  <c r="H276" i="8"/>
  <c r="M275" i="8"/>
  <c r="L275" i="8"/>
  <c r="K275" i="8"/>
  <c r="J275" i="8"/>
  <c r="I275" i="8"/>
  <c r="H275" i="8"/>
  <c r="M274" i="8"/>
  <c r="L274" i="8"/>
  <c r="K274" i="8"/>
  <c r="J274" i="8"/>
  <c r="I274" i="8"/>
  <c r="H274" i="8"/>
  <c r="M273" i="8"/>
  <c r="L273" i="8"/>
  <c r="K273" i="8"/>
  <c r="J273" i="8"/>
  <c r="I273" i="8"/>
  <c r="H273" i="8"/>
  <c r="M272" i="8"/>
  <c r="L272" i="8"/>
  <c r="K272" i="8"/>
  <c r="J272" i="8"/>
  <c r="I272" i="8"/>
  <c r="H272" i="8"/>
  <c r="M271" i="8"/>
  <c r="L271" i="8"/>
  <c r="K271" i="8"/>
  <c r="J271" i="8"/>
  <c r="I271" i="8"/>
  <c r="H271" i="8"/>
  <c r="M270" i="8"/>
  <c r="L270" i="8"/>
  <c r="K270" i="8"/>
  <c r="J270" i="8"/>
  <c r="I270" i="8"/>
  <c r="H270" i="8"/>
  <c r="M269" i="8"/>
  <c r="L269" i="8"/>
  <c r="K269" i="8"/>
  <c r="J269" i="8"/>
  <c r="I269" i="8"/>
  <c r="H269" i="8"/>
  <c r="M268" i="8"/>
  <c r="L268" i="8"/>
  <c r="K268" i="8"/>
  <c r="J268" i="8"/>
  <c r="I268" i="8"/>
  <c r="H268" i="8"/>
  <c r="M267" i="8"/>
  <c r="L267" i="8"/>
  <c r="K267" i="8"/>
  <c r="J267" i="8"/>
  <c r="I267" i="8"/>
  <c r="H267" i="8"/>
  <c r="M266" i="8"/>
  <c r="L266" i="8"/>
  <c r="K266" i="8"/>
  <c r="J266" i="8"/>
  <c r="I266" i="8"/>
  <c r="H266" i="8"/>
  <c r="M265" i="8"/>
  <c r="L265" i="8"/>
  <c r="K265" i="8"/>
  <c r="J265" i="8"/>
  <c r="I265" i="8"/>
  <c r="H265" i="8"/>
  <c r="M264" i="8"/>
  <c r="L264" i="8"/>
  <c r="K264" i="8"/>
  <c r="J264" i="8"/>
  <c r="I264" i="8"/>
  <c r="H264" i="8"/>
  <c r="M263" i="8"/>
  <c r="L263" i="8"/>
  <c r="K263" i="8"/>
  <c r="J263" i="8"/>
  <c r="I263" i="8"/>
  <c r="H263" i="8"/>
  <c r="M262" i="8"/>
  <c r="L262" i="8"/>
  <c r="K262" i="8"/>
  <c r="J262" i="8"/>
  <c r="I262" i="8"/>
  <c r="H262" i="8"/>
  <c r="M261" i="8"/>
  <c r="L261" i="8"/>
  <c r="K261" i="8"/>
  <c r="J261" i="8"/>
  <c r="I261" i="8"/>
  <c r="H261" i="8"/>
  <c r="M260" i="8"/>
  <c r="L260" i="8"/>
  <c r="K260" i="8"/>
  <c r="J260" i="8"/>
  <c r="I260" i="8"/>
  <c r="H260" i="8"/>
  <c r="M259" i="8"/>
  <c r="L259" i="8"/>
  <c r="K259" i="8"/>
  <c r="J259" i="8"/>
  <c r="I259" i="8"/>
  <c r="H259" i="8"/>
  <c r="M258" i="8"/>
  <c r="L258" i="8"/>
  <c r="K258" i="8"/>
  <c r="J258" i="8"/>
  <c r="I258" i="8"/>
  <c r="H258" i="8"/>
  <c r="M257" i="8"/>
  <c r="L257" i="8"/>
  <c r="K257" i="8"/>
  <c r="J257" i="8"/>
  <c r="I257" i="8"/>
  <c r="H257" i="8"/>
  <c r="M256" i="8"/>
  <c r="L256" i="8"/>
  <c r="K256" i="8"/>
  <c r="J256" i="8"/>
  <c r="I256" i="8"/>
  <c r="H256" i="8"/>
  <c r="M255" i="8"/>
  <c r="L255" i="8"/>
  <c r="K255" i="8"/>
  <c r="J255" i="8"/>
  <c r="I255" i="8"/>
  <c r="N255" i="8" s="1"/>
  <c r="H255" i="8"/>
  <c r="M254" i="8"/>
  <c r="L254" i="8"/>
  <c r="K254" i="8"/>
  <c r="J254" i="8"/>
  <c r="I254" i="8"/>
  <c r="H254" i="8"/>
  <c r="M253" i="8"/>
  <c r="L253" i="8"/>
  <c r="K253" i="8"/>
  <c r="J253" i="8"/>
  <c r="I253" i="8"/>
  <c r="H253" i="8"/>
  <c r="M252" i="8"/>
  <c r="L252" i="8"/>
  <c r="K252" i="8"/>
  <c r="J252" i="8"/>
  <c r="I252" i="8"/>
  <c r="H252" i="8"/>
  <c r="M251" i="8"/>
  <c r="L251" i="8"/>
  <c r="K251" i="8"/>
  <c r="J251" i="8"/>
  <c r="I251" i="8"/>
  <c r="H251" i="8"/>
  <c r="M250" i="8"/>
  <c r="L250" i="8"/>
  <c r="K250" i="8"/>
  <c r="J250" i="8"/>
  <c r="I250" i="8"/>
  <c r="H250" i="8"/>
  <c r="M249" i="8"/>
  <c r="L249" i="8"/>
  <c r="K249" i="8"/>
  <c r="J249" i="8"/>
  <c r="I249" i="8"/>
  <c r="H249" i="8"/>
  <c r="M248" i="8"/>
  <c r="L248" i="8"/>
  <c r="K248" i="8"/>
  <c r="J248" i="8"/>
  <c r="I248" i="8"/>
  <c r="H248" i="8"/>
  <c r="M247" i="8"/>
  <c r="L247" i="8"/>
  <c r="K247" i="8"/>
  <c r="J247" i="8"/>
  <c r="I247" i="8"/>
  <c r="H247" i="8"/>
  <c r="M246" i="8"/>
  <c r="L246" i="8"/>
  <c r="K246" i="8"/>
  <c r="J246" i="8"/>
  <c r="I246" i="8"/>
  <c r="H246" i="8"/>
  <c r="M245" i="8"/>
  <c r="L245" i="8"/>
  <c r="K245" i="8"/>
  <c r="J245" i="8"/>
  <c r="I245" i="8"/>
  <c r="H245" i="8"/>
  <c r="M244" i="8"/>
  <c r="L244" i="8"/>
  <c r="K244" i="8"/>
  <c r="J244" i="8"/>
  <c r="I244" i="8"/>
  <c r="H244" i="8"/>
  <c r="O244" i="8" s="1"/>
  <c r="M243" i="8"/>
  <c r="L243" i="8"/>
  <c r="K243" i="8"/>
  <c r="J243" i="8"/>
  <c r="I243" i="8"/>
  <c r="H243" i="8"/>
  <c r="M242" i="8"/>
  <c r="L242" i="8"/>
  <c r="K242" i="8"/>
  <c r="J242" i="8"/>
  <c r="I242" i="8"/>
  <c r="H242" i="8"/>
  <c r="M241" i="8"/>
  <c r="L241" i="8"/>
  <c r="K241" i="8"/>
  <c r="J241" i="8"/>
  <c r="I241" i="8"/>
  <c r="H241" i="8"/>
  <c r="M240" i="8"/>
  <c r="L240" i="8"/>
  <c r="K240" i="8"/>
  <c r="J240" i="8"/>
  <c r="I240" i="8"/>
  <c r="H240" i="8"/>
  <c r="M239" i="8"/>
  <c r="L239" i="8"/>
  <c r="K239" i="8"/>
  <c r="J239" i="8"/>
  <c r="I239" i="8"/>
  <c r="H239" i="8"/>
  <c r="M238" i="8"/>
  <c r="L238" i="8"/>
  <c r="K238" i="8"/>
  <c r="J238" i="8"/>
  <c r="I238" i="8"/>
  <c r="H238" i="8"/>
  <c r="M237" i="8"/>
  <c r="L237" i="8"/>
  <c r="K237" i="8"/>
  <c r="J237" i="8"/>
  <c r="I237" i="8"/>
  <c r="H237" i="8"/>
  <c r="M236" i="8"/>
  <c r="L236" i="8"/>
  <c r="K236" i="8"/>
  <c r="J236" i="8"/>
  <c r="I236" i="8"/>
  <c r="H236" i="8"/>
  <c r="M235" i="8"/>
  <c r="L235" i="8"/>
  <c r="K235" i="8"/>
  <c r="J235" i="8"/>
  <c r="I235" i="8"/>
  <c r="H235" i="8"/>
  <c r="M234" i="8"/>
  <c r="L234" i="8"/>
  <c r="K234" i="8"/>
  <c r="J234" i="8"/>
  <c r="I234" i="8"/>
  <c r="H234" i="8"/>
  <c r="M233" i="8"/>
  <c r="L233" i="8"/>
  <c r="K233" i="8"/>
  <c r="J233" i="8"/>
  <c r="I233" i="8"/>
  <c r="H233" i="8"/>
  <c r="M232" i="8"/>
  <c r="L232" i="8"/>
  <c r="K232" i="8"/>
  <c r="J232" i="8"/>
  <c r="I232" i="8"/>
  <c r="H232" i="8"/>
  <c r="M231" i="8"/>
  <c r="L231" i="8"/>
  <c r="K231" i="8"/>
  <c r="J231" i="8"/>
  <c r="I231" i="8"/>
  <c r="H231" i="8"/>
  <c r="M230" i="8"/>
  <c r="L230" i="8"/>
  <c r="K230" i="8"/>
  <c r="J230" i="8"/>
  <c r="I230" i="8"/>
  <c r="H230" i="8"/>
  <c r="M229" i="8"/>
  <c r="L229" i="8"/>
  <c r="K229" i="8"/>
  <c r="J229" i="8"/>
  <c r="I229" i="8"/>
  <c r="H229" i="8"/>
  <c r="M228" i="8"/>
  <c r="L228" i="8"/>
  <c r="K228" i="8"/>
  <c r="J228" i="8"/>
  <c r="I228" i="8"/>
  <c r="H228" i="8"/>
  <c r="M227" i="8"/>
  <c r="L227" i="8"/>
  <c r="K227" i="8"/>
  <c r="J227" i="8"/>
  <c r="I227" i="8"/>
  <c r="H227" i="8"/>
  <c r="M226" i="8"/>
  <c r="L226" i="8"/>
  <c r="K226" i="8"/>
  <c r="J226" i="8"/>
  <c r="I226" i="8"/>
  <c r="H226" i="8"/>
  <c r="M225" i="8"/>
  <c r="L225" i="8"/>
  <c r="K225" i="8"/>
  <c r="J225" i="8"/>
  <c r="I225" i="8"/>
  <c r="H225" i="8"/>
  <c r="M224" i="8"/>
  <c r="L224" i="8"/>
  <c r="K224" i="8"/>
  <c r="J224" i="8"/>
  <c r="I224" i="8"/>
  <c r="H224" i="8"/>
  <c r="M223" i="8"/>
  <c r="L223" i="8"/>
  <c r="K223" i="8"/>
  <c r="J223" i="8"/>
  <c r="I223" i="8"/>
  <c r="H223" i="8"/>
  <c r="M222" i="8"/>
  <c r="L222" i="8"/>
  <c r="K222" i="8"/>
  <c r="J222" i="8"/>
  <c r="I222" i="8"/>
  <c r="H222" i="8"/>
  <c r="M221" i="8"/>
  <c r="L221" i="8"/>
  <c r="K221" i="8"/>
  <c r="J221" i="8"/>
  <c r="I221" i="8"/>
  <c r="H221" i="8"/>
  <c r="M220" i="8"/>
  <c r="L220" i="8"/>
  <c r="K220" i="8"/>
  <c r="J220" i="8"/>
  <c r="I220" i="8"/>
  <c r="H220" i="8"/>
  <c r="M219" i="8"/>
  <c r="L219" i="8"/>
  <c r="K219" i="8"/>
  <c r="J219" i="8"/>
  <c r="I219" i="8"/>
  <c r="H219" i="8"/>
  <c r="M218" i="8"/>
  <c r="L218" i="8"/>
  <c r="K218" i="8"/>
  <c r="J218" i="8"/>
  <c r="I218" i="8"/>
  <c r="H218" i="8"/>
  <c r="M217" i="8"/>
  <c r="L217" i="8"/>
  <c r="K217" i="8"/>
  <c r="J217" i="8"/>
  <c r="I217" i="8"/>
  <c r="H217" i="8"/>
  <c r="M216" i="8"/>
  <c r="L216" i="8"/>
  <c r="K216" i="8"/>
  <c r="J216" i="8"/>
  <c r="I216" i="8"/>
  <c r="H216" i="8"/>
  <c r="M215" i="8"/>
  <c r="L215" i="8"/>
  <c r="K215" i="8"/>
  <c r="J215" i="8"/>
  <c r="I215" i="8"/>
  <c r="H215" i="8"/>
  <c r="M214" i="8"/>
  <c r="L214" i="8"/>
  <c r="K214" i="8"/>
  <c r="J214" i="8"/>
  <c r="I214" i="8"/>
  <c r="H214" i="8"/>
  <c r="M213" i="8"/>
  <c r="L213" i="8"/>
  <c r="K213" i="8"/>
  <c r="J213" i="8"/>
  <c r="I213" i="8"/>
  <c r="H213" i="8"/>
  <c r="M212" i="8"/>
  <c r="L212" i="8"/>
  <c r="K212" i="8"/>
  <c r="J212" i="8"/>
  <c r="I212" i="8"/>
  <c r="H212" i="8"/>
  <c r="M211" i="8"/>
  <c r="L211" i="8"/>
  <c r="K211" i="8"/>
  <c r="J211" i="8"/>
  <c r="I211" i="8"/>
  <c r="H211" i="8"/>
  <c r="M210" i="8"/>
  <c r="L210" i="8"/>
  <c r="K210" i="8"/>
  <c r="J210" i="8"/>
  <c r="I210" i="8"/>
  <c r="H210" i="8"/>
  <c r="M209" i="8"/>
  <c r="L209" i="8"/>
  <c r="K209" i="8"/>
  <c r="J209" i="8"/>
  <c r="I209" i="8"/>
  <c r="H209" i="8"/>
  <c r="M208" i="8"/>
  <c r="L208" i="8"/>
  <c r="K208" i="8"/>
  <c r="J208" i="8"/>
  <c r="I208" i="8"/>
  <c r="H208" i="8"/>
  <c r="M207" i="8"/>
  <c r="L207" i="8"/>
  <c r="K207" i="8"/>
  <c r="J207" i="8"/>
  <c r="I207" i="8"/>
  <c r="H207" i="8"/>
  <c r="M206" i="8"/>
  <c r="L206" i="8"/>
  <c r="K206" i="8"/>
  <c r="J206" i="8"/>
  <c r="I206" i="8"/>
  <c r="H206" i="8"/>
  <c r="M205" i="8"/>
  <c r="L205" i="8"/>
  <c r="K205" i="8"/>
  <c r="J205" i="8"/>
  <c r="I205" i="8"/>
  <c r="H205" i="8"/>
  <c r="M204" i="8"/>
  <c r="L204" i="8"/>
  <c r="K204" i="8"/>
  <c r="J204" i="8"/>
  <c r="I204" i="8"/>
  <c r="H204" i="8"/>
  <c r="M203" i="8"/>
  <c r="L203" i="8"/>
  <c r="K203" i="8"/>
  <c r="J203" i="8"/>
  <c r="I203" i="8"/>
  <c r="H203" i="8"/>
  <c r="M202" i="8"/>
  <c r="L202" i="8"/>
  <c r="K202" i="8"/>
  <c r="J202" i="8"/>
  <c r="I202" i="8"/>
  <c r="H202" i="8"/>
  <c r="M201" i="8"/>
  <c r="L201" i="8"/>
  <c r="K201" i="8"/>
  <c r="J201" i="8"/>
  <c r="I201" i="8"/>
  <c r="H201" i="8"/>
  <c r="M200" i="8"/>
  <c r="L200" i="8"/>
  <c r="K200" i="8"/>
  <c r="J200" i="8"/>
  <c r="I200" i="8"/>
  <c r="H200" i="8"/>
  <c r="M199" i="8"/>
  <c r="L199" i="8"/>
  <c r="K199" i="8"/>
  <c r="J199" i="8"/>
  <c r="I199" i="8"/>
  <c r="H199" i="8"/>
  <c r="M198" i="8"/>
  <c r="L198" i="8"/>
  <c r="K198" i="8"/>
  <c r="J198" i="8"/>
  <c r="I198" i="8"/>
  <c r="H198" i="8"/>
  <c r="M197" i="8"/>
  <c r="L197" i="8"/>
  <c r="K197" i="8"/>
  <c r="J197" i="8"/>
  <c r="I197" i="8"/>
  <c r="H197" i="8"/>
  <c r="M196" i="8"/>
  <c r="L196" i="8"/>
  <c r="K196" i="8"/>
  <c r="J196" i="8"/>
  <c r="I196" i="8"/>
  <c r="H196" i="8"/>
  <c r="M195" i="8"/>
  <c r="L195" i="8"/>
  <c r="K195" i="8"/>
  <c r="J195" i="8"/>
  <c r="I195" i="8"/>
  <c r="H195" i="8"/>
  <c r="M194" i="8"/>
  <c r="L194" i="8"/>
  <c r="K194" i="8"/>
  <c r="J194" i="8"/>
  <c r="I194" i="8"/>
  <c r="H194" i="8"/>
  <c r="M193" i="8"/>
  <c r="L193" i="8"/>
  <c r="K193" i="8"/>
  <c r="J193" i="8"/>
  <c r="I193" i="8"/>
  <c r="H193" i="8"/>
  <c r="M192" i="8"/>
  <c r="L192" i="8"/>
  <c r="K192" i="8"/>
  <c r="J192" i="8"/>
  <c r="I192" i="8"/>
  <c r="H192" i="8"/>
  <c r="M191" i="8"/>
  <c r="L191" i="8"/>
  <c r="K191" i="8"/>
  <c r="J191" i="8"/>
  <c r="I191" i="8"/>
  <c r="H191" i="8"/>
  <c r="M190" i="8"/>
  <c r="L190" i="8"/>
  <c r="K190" i="8"/>
  <c r="J190" i="8"/>
  <c r="I190" i="8"/>
  <c r="H190" i="8"/>
  <c r="M189" i="8"/>
  <c r="L189" i="8"/>
  <c r="K189" i="8"/>
  <c r="J189" i="8"/>
  <c r="I189" i="8"/>
  <c r="H189" i="8"/>
  <c r="M188" i="8"/>
  <c r="L188" i="8"/>
  <c r="K188" i="8"/>
  <c r="J188" i="8"/>
  <c r="I188" i="8"/>
  <c r="H188" i="8"/>
  <c r="M187" i="8"/>
  <c r="L187" i="8"/>
  <c r="K187" i="8"/>
  <c r="J187" i="8"/>
  <c r="I187" i="8"/>
  <c r="H187" i="8"/>
  <c r="M186" i="8"/>
  <c r="L186" i="8"/>
  <c r="K186" i="8"/>
  <c r="J186" i="8"/>
  <c r="I186" i="8"/>
  <c r="H186" i="8"/>
  <c r="M185" i="8"/>
  <c r="L185" i="8"/>
  <c r="K185" i="8"/>
  <c r="J185" i="8"/>
  <c r="I185" i="8"/>
  <c r="H185" i="8"/>
  <c r="M184" i="8"/>
  <c r="L184" i="8"/>
  <c r="K184" i="8"/>
  <c r="J184" i="8"/>
  <c r="I184" i="8"/>
  <c r="H184" i="8"/>
  <c r="M183" i="8"/>
  <c r="L183" i="8"/>
  <c r="K183" i="8"/>
  <c r="J183" i="8"/>
  <c r="I183" i="8"/>
  <c r="O183" i="8" s="1"/>
  <c r="H183" i="8"/>
  <c r="M182" i="8"/>
  <c r="L182" i="8"/>
  <c r="K182" i="8"/>
  <c r="J182" i="8"/>
  <c r="I182" i="8"/>
  <c r="H182" i="8"/>
  <c r="M181" i="8"/>
  <c r="L181" i="8"/>
  <c r="K181" i="8"/>
  <c r="J181" i="8"/>
  <c r="I181" i="8"/>
  <c r="H181" i="8"/>
  <c r="M180" i="8"/>
  <c r="L180" i="8"/>
  <c r="K180" i="8"/>
  <c r="J180" i="8"/>
  <c r="I180" i="8"/>
  <c r="H180" i="8"/>
  <c r="M179" i="8"/>
  <c r="L179" i="8"/>
  <c r="K179" i="8"/>
  <c r="J179" i="8"/>
  <c r="I179" i="8"/>
  <c r="H179" i="8"/>
  <c r="M178" i="8"/>
  <c r="L178" i="8"/>
  <c r="K178" i="8"/>
  <c r="J178" i="8"/>
  <c r="I178" i="8"/>
  <c r="H178" i="8"/>
  <c r="M177" i="8"/>
  <c r="L177" i="8"/>
  <c r="K177" i="8"/>
  <c r="J177" i="8"/>
  <c r="I177" i="8"/>
  <c r="H177" i="8"/>
  <c r="M176" i="8"/>
  <c r="L176" i="8"/>
  <c r="K176" i="8"/>
  <c r="J176" i="8"/>
  <c r="I176" i="8"/>
  <c r="H176" i="8"/>
  <c r="M175" i="8"/>
  <c r="L175" i="8"/>
  <c r="K175" i="8"/>
  <c r="J175" i="8"/>
  <c r="I175" i="8"/>
  <c r="H175" i="8"/>
  <c r="M174" i="8"/>
  <c r="L174" i="8"/>
  <c r="K174" i="8"/>
  <c r="J174" i="8"/>
  <c r="I174" i="8"/>
  <c r="H174" i="8"/>
  <c r="M173" i="8"/>
  <c r="L173" i="8"/>
  <c r="K173" i="8"/>
  <c r="J173" i="8"/>
  <c r="I173" i="8"/>
  <c r="H173" i="8"/>
  <c r="M172" i="8"/>
  <c r="L172" i="8"/>
  <c r="K172" i="8"/>
  <c r="J172" i="8"/>
  <c r="I172" i="8"/>
  <c r="H172" i="8"/>
  <c r="M171" i="8"/>
  <c r="L171" i="8"/>
  <c r="K171" i="8"/>
  <c r="J171" i="8"/>
  <c r="I171" i="8"/>
  <c r="H171" i="8"/>
  <c r="M170" i="8"/>
  <c r="L170" i="8"/>
  <c r="K170" i="8"/>
  <c r="J170" i="8"/>
  <c r="I170" i="8"/>
  <c r="H170" i="8"/>
  <c r="M169" i="8"/>
  <c r="L169" i="8"/>
  <c r="K169" i="8"/>
  <c r="J169" i="8"/>
  <c r="I169" i="8"/>
  <c r="H169" i="8"/>
  <c r="M168" i="8"/>
  <c r="L168" i="8"/>
  <c r="K168" i="8"/>
  <c r="J168" i="8"/>
  <c r="I168" i="8"/>
  <c r="H168" i="8"/>
  <c r="M167" i="8"/>
  <c r="L167" i="8"/>
  <c r="K167" i="8"/>
  <c r="J167" i="8"/>
  <c r="I167" i="8"/>
  <c r="H167" i="8"/>
  <c r="M166" i="8"/>
  <c r="L166" i="8"/>
  <c r="K166" i="8"/>
  <c r="J166" i="8"/>
  <c r="I166" i="8"/>
  <c r="H166" i="8"/>
  <c r="M165" i="8"/>
  <c r="L165" i="8"/>
  <c r="K165" i="8"/>
  <c r="J165" i="8"/>
  <c r="I165" i="8"/>
  <c r="H165" i="8"/>
  <c r="M164" i="8"/>
  <c r="L164" i="8"/>
  <c r="K164" i="8"/>
  <c r="J164" i="8"/>
  <c r="I164" i="8"/>
  <c r="H164" i="8"/>
  <c r="M163" i="8"/>
  <c r="L163" i="8"/>
  <c r="K163" i="8"/>
  <c r="J163" i="8"/>
  <c r="I163" i="8"/>
  <c r="H163" i="8"/>
  <c r="M162" i="8"/>
  <c r="L162" i="8"/>
  <c r="K162" i="8"/>
  <c r="J162" i="8"/>
  <c r="I162" i="8"/>
  <c r="H162" i="8"/>
  <c r="M161" i="8"/>
  <c r="L161" i="8"/>
  <c r="K161" i="8"/>
  <c r="J161" i="8"/>
  <c r="I161" i="8"/>
  <c r="H161" i="8"/>
  <c r="M160" i="8"/>
  <c r="L160" i="8"/>
  <c r="K160" i="8"/>
  <c r="J160" i="8"/>
  <c r="I160" i="8"/>
  <c r="H160" i="8"/>
  <c r="M159" i="8"/>
  <c r="L159" i="8"/>
  <c r="K159" i="8"/>
  <c r="J159" i="8"/>
  <c r="I159" i="8"/>
  <c r="H159" i="8"/>
  <c r="M158" i="8"/>
  <c r="L158" i="8"/>
  <c r="K158" i="8"/>
  <c r="J158" i="8"/>
  <c r="I158" i="8"/>
  <c r="H158" i="8"/>
  <c r="M157" i="8"/>
  <c r="L157" i="8"/>
  <c r="K157" i="8"/>
  <c r="J157" i="8"/>
  <c r="I157" i="8"/>
  <c r="H157" i="8"/>
  <c r="M156" i="8"/>
  <c r="L156" i="8"/>
  <c r="K156" i="8"/>
  <c r="J156" i="8"/>
  <c r="I156" i="8"/>
  <c r="H156" i="8"/>
  <c r="M155" i="8"/>
  <c r="L155" i="8"/>
  <c r="K155" i="8"/>
  <c r="J155" i="8"/>
  <c r="I155" i="8"/>
  <c r="H155" i="8"/>
  <c r="M154" i="8"/>
  <c r="L154" i="8"/>
  <c r="K154" i="8"/>
  <c r="J154" i="8"/>
  <c r="I154" i="8"/>
  <c r="H154" i="8"/>
  <c r="M153" i="8"/>
  <c r="L153" i="8"/>
  <c r="K153" i="8"/>
  <c r="J153" i="8"/>
  <c r="I153" i="8"/>
  <c r="H153" i="8"/>
  <c r="M152" i="8"/>
  <c r="L152" i="8"/>
  <c r="K152" i="8"/>
  <c r="J152" i="8"/>
  <c r="I152" i="8"/>
  <c r="H152" i="8"/>
  <c r="M151" i="8"/>
  <c r="L151" i="8"/>
  <c r="K151" i="8"/>
  <c r="J151" i="8"/>
  <c r="I151" i="8"/>
  <c r="H151" i="8"/>
  <c r="M150" i="8"/>
  <c r="L150" i="8"/>
  <c r="K150" i="8"/>
  <c r="J150" i="8"/>
  <c r="I150" i="8"/>
  <c r="H150" i="8"/>
  <c r="M149" i="8"/>
  <c r="L149" i="8"/>
  <c r="K149" i="8"/>
  <c r="J149" i="8"/>
  <c r="I149" i="8"/>
  <c r="H149" i="8"/>
  <c r="M148" i="8"/>
  <c r="L148" i="8"/>
  <c r="K148" i="8"/>
  <c r="J148" i="8"/>
  <c r="I148" i="8"/>
  <c r="H148" i="8"/>
  <c r="M147" i="8"/>
  <c r="L147" i="8"/>
  <c r="K147" i="8"/>
  <c r="J147" i="8"/>
  <c r="I147" i="8"/>
  <c r="H147" i="8"/>
  <c r="M146" i="8"/>
  <c r="L146" i="8"/>
  <c r="K146" i="8"/>
  <c r="J146" i="8"/>
  <c r="I146" i="8"/>
  <c r="H146" i="8"/>
  <c r="M145" i="8"/>
  <c r="L145" i="8"/>
  <c r="K145" i="8"/>
  <c r="J145" i="8"/>
  <c r="I145" i="8"/>
  <c r="H145" i="8"/>
  <c r="M144" i="8"/>
  <c r="L144" i="8"/>
  <c r="K144" i="8"/>
  <c r="J144" i="8"/>
  <c r="I144" i="8"/>
  <c r="H144" i="8"/>
  <c r="M143" i="8"/>
  <c r="L143" i="8"/>
  <c r="K143" i="8"/>
  <c r="J143" i="8"/>
  <c r="I143" i="8"/>
  <c r="H143" i="8"/>
  <c r="M142" i="8"/>
  <c r="L142" i="8"/>
  <c r="K142" i="8"/>
  <c r="J142" i="8"/>
  <c r="I142" i="8"/>
  <c r="H142" i="8"/>
  <c r="M141" i="8"/>
  <c r="L141" i="8"/>
  <c r="K141" i="8"/>
  <c r="J141" i="8"/>
  <c r="I141" i="8"/>
  <c r="H141" i="8"/>
  <c r="M140" i="8"/>
  <c r="L140" i="8"/>
  <c r="K140" i="8"/>
  <c r="J140" i="8"/>
  <c r="I140" i="8"/>
  <c r="H140" i="8"/>
  <c r="M139" i="8"/>
  <c r="L139" i="8"/>
  <c r="K139" i="8"/>
  <c r="J139" i="8"/>
  <c r="I139" i="8"/>
  <c r="H139" i="8"/>
  <c r="M138" i="8"/>
  <c r="L138" i="8"/>
  <c r="K138" i="8"/>
  <c r="J138" i="8"/>
  <c r="I138" i="8"/>
  <c r="H138" i="8"/>
  <c r="M137" i="8"/>
  <c r="L137" i="8"/>
  <c r="K137" i="8"/>
  <c r="J137" i="8"/>
  <c r="I137" i="8"/>
  <c r="H137" i="8"/>
  <c r="M136" i="8"/>
  <c r="L136" i="8"/>
  <c r="K136" i="8"/>
  <c r="J136" i="8"/>
  <c r="I136" i="8"/>
  <c r="H136" i="8"/>
  <c r="M135" i="8"/>
  <c r="L135" i="8"/>
  <c r="K135" i="8"/>
  <c r="J135" i="8"/>
  <c r="I135" i="8"/>
  <c r="H135" i="8"/>
  <c r="M134" i="8"/>
  <c r="L134" i="8"/>
  <c r="K134" i="8"/>
  <c r="J134" i="8"/>
  <c r="I134" i="8"/>
  <c r="H134" i="8"/>
  <c r="M133" i="8"/>
  <c r="L133" i="8"/>
  <c r="K133" i="8"/>
  <c r="J133" i="8"/>
  <c r="I133" i="8"/>
  <c r="H133" i="8"/>
  <c r="M132" i="8"/>
  <c r="L132" i="8"/>
  <c r="K132" i="8"/>
  <c r="J132" i="8"/>
  <c r="I132" i="8"/>
  <c r="H132" i="8"/>
  <c r="M131" i="8"/>
  <c r="L131" i="8"/>
  <c r="K131" i="8"/>
  <c r="J131" i="8"/>
  <c r="I131" i="8"/>
  <c r="H131" i="8"/>
  <c r="M130" i="8"/>
  <c r="L130" i="8"/>
  <c r="K130" i="8"/>
  <c r="J130" i="8"/>
  <c r="I130" i="8"/>
  <c r="H130" i="8"/>
  <c r="M129" i="8"/>
  <c r="L129" i="8"/>
  <c r="K129" i="8"/>
  <c r="J129" i="8"/>
  <c r="I129" i="8"/>
  <c r="H129" i="8"/>
  <c r="M128" i="8"/>
  <c r="L128" i="8"/>
  <c r="K128" i="8"/>
  <c r="J128" i="8"/>
  <c r="I128" i="8"/>
  <c r="H128" i="8"/>
  <c r="M127" i="8"/>
  <c r="L127" i="8"/>
  <c r="K127" i="8"/>
  <c r="J127" i="8"/>
  <c r="I127" i="8"/>
  <c r="H127" i="8"/>
  <c r="M126" i="8"/>
  <c r="L126" i="8"/>
  <c r="K126" i="8"/>
  <c r="J126" i="8"/>
  <c r="I126" i="8"/>
  <c r="H126" i="8"/>
  <c r="M125" i="8"/>
  <c r="L125" i="8"/>
  <c r="K125" i="8"/>
  <c r="J125" i="8"/>
  <c r="I125" i="8"/>
  <c r="H125" i="8"/>
  <c r="M124" i="8"/>
  <c r="L124" i="8"/>
  <c r="K124" i="8"/>
  <c r="J124" i="8"/>
  <c r="I124" i="8"/>
  <c r="H124" i="8"/>
  <c r="M123" i="8"/>
  <c r="L123" i="8"/>
  <c r="K123" i="8"/>
  <c r="J123" i="8"/>
  <c r="I123" i="8"/>
  <c r="H123" i="8"/>
  <c r="M122" i="8"/>
  <c r="L122" i="8"/>
  <c r="K122" i="8"/>
  <c r="J122" i="8"/>
  <c r="I122" i="8"/>
  <c r="H122" i="8"/>
  <c r="M121" i="8"/>
  <c r="L121" i="8"/>
  <c r="K121" i="8"/>
  <c r="J121" i="8"/>
  <c r="I121" i="8"/>
  <c r="H121" i="8"/>
  <c r="M120" i="8"/>
  <c r="L120" i="8"/>
  <c r="K120" i="8"/>
  <c r="J120" i="8"/>
  <c r="I120" i="8"/>
  <c r="H120" i="8"/>
  <c r="M119" i="8"/>
  <c r="L119" i="8"/>
  <c r="K119" i="8"/>
  <c r="J119" i="8"/>
  <c r="I119" i="8"/>
  <c r="N119" i="8" s="1"/>
  <c r="H119" i="8"/>
  <c r="M118" i="8"/>
  <c r="L118" i="8"/>
  <c r="K118" i="8"/>
  <c r="J118" i="8"/>
  <c r="I118" i="8"/>
  <c r="H118" i="8"/>
  <c r="M117" i="8"/>
  <c r="L117" i="8"/>
  <c r="K117" i="8"/>
  <c r="J117" i="8"/>
  <c r="I117" i="8"/>
  <c r="H117" i="8"/>
  <c r="M116" i="8"/>
  <c r="L116" i="8"/>
  <c r="K116" i="8"/>
  <c r="J116" i="8"/>
  <c r="I116" i="8"/>
  <c r="H116" i="8"/>
  <c r="M115" i="8"/>
  <c r="L115" i="8"/>
  <c r="K115" i="8"/>
  <c r="J115" i="8"/>
  <c r="I115" i="8"/>
  <c r="H115" i="8"/>
  <c r="M114" i="8"/>
  <c r="L114" i="8"/>
  <c r="K114" i="8"/>
  <c r="J114" i="8"/>
  <c r="I114" i="8"/>
  <c r="H114" i="8"/>
  <c r="M113" i="8"/>
  <c r="L113" i="8"/>
  <c r="K113" i="8"/>
  <c r="J113" i="8"/>
  <c r="I113" i="8"/>
  <c r="H113" i="8"/>
  <c r="M112" i="8"/>
  <c r="L112" i="8"/>
  <c r="K112" i="8"/>
  <c r="J112" i="8"/>
  <c r="I112" i="8"/>
  <c r="H112" i="8"/>
  <c r="M111" i="8"/>
  <c r="L111" i="8"/>
  <c r="K111" i="8"/>
  <c r="J111" i="8"/>
  <c r="I111" i="8"/>
  <c r="H111" i="8"/>
  <c r="M110" i="8"/>
  <c r="L110" i="8"/>
  <c r="K110" i="8"/>
  <c r="J110" i="8"/>
  <c r="I110" i="8"/>
  <c r="H110" i="8"/>
  <c r="V109" i="8"/>
  <c r="M109" i="8"/>
  <c r="L109" i="8"/>
  <c r="K109" i="8"/>
  <c r="J109" i="8"/>
  <c r="I109" i="8"/>
  <c r="H109" i="8"/>
  <c r="M108" i="8"/>
  <c r="L108" i="8"/>
  <c r="K108" i="8"/>
  <c r="J108" i="8"/>
  <c r="I108" i="8"/>
  <c r="H108" i="8"/>
  <c r="M107" i="8"/>
  <c r="L107" i="8"/>
  <c r="K107" i="8"/>
  <c r="J107" i="8"/>
  <c r="I107" i="8"/>
  <c r="H107" i="8"/>
  <c r="M106" i="8"/>
  <c r="L106" i="8"/>
  <c r="K106" i="8"/>
  <c r="J106" i="8"/>
  <c r="I106" i="8"/>
  <c r="H106" i="8"/>
  <c r="M105" i="8"/>
  <c r="L105" i="8"/>
  <c r="K105" i="8"/>
  <c r="J105" i="8"/>
  <c r="I105" i="8"/>
  <c r="H105" i="8"/>
  <c r="M104" i="8"/>
  <c r="L104" i="8"/>
  <c r="K104" i="8"/>
  <c r="J104" i="8"/>
  <c r="I104" i="8"/>
  <c r="H104" i="8"/>
  <c r="M103" i="8"/>
  <c r="L103" i="8"/>
  <c r="K103" i="8"/>
  <c r="J103" i="8"/>
  <c r="I103" i="8"/>
  <c r="H103" i="8"/>
  <c r="M102" i="8"/>
  <c r="L102" i="8"/>
  <c r="K102" i="8"/>
  <c r="J102" i="8"/>
  <c r="I102" i="8"/>
  <c r="H102" i="8"/>
  <c r="M101" i="8"/>
  <c r="L101" i="8"/>
  <c r="K101" i="8"/>
  <c r="J101" i="8"/>
  <c r="I101" i="8"/>
  <c r="H101" i="8"/>
  <c r="M100" i="8"/>
  <c r="L100" i="8"/>
  <c r="K100" i="8"/>
  <c r="J100" i="8"/>
  <c r="I100" i="8"/>
  <c r="H100" i="8"/>
  <c r="M99" i="8"/>
  <c r="L99" i="8"/>
  <c r="K99" i="8"/>
  <c r="J99" i="8"/>
  <c r="I99" i="8"/>
  <c r="H99" i="8"/>
  <c r="M98" i="8"/>
  <c r="L98" i="8"/>
  <c r="K98" i="8"/>
  <c r="J98" i="8"/>
  <c r="I98" i="8"/>
  <c r="H98" i="8"/>
  <c r="M97" i="8"/>
  <c r="L97" i="8"/>
  <c r="K97" i="8"/>
  <c r="J97" i="8"/>
  <c r="I97" i="8"/>
  <c r="H97" i="8"/>
  <c r="M96" i="8"/>
  <c r="L96" i="8"/>
  <c r="K96" i="8"/>
  <c r="J96" i="8"/>
  <c r="I96" i="8"/>
  <c r="H96" i="8"/>
  <c r="M95" i="8"/>
  <c r="L95" i="8"/>
  <c r="K95" i="8"/>
  <c r="J95" i="8"/>
  <c r="I95" i="8"/>
  <c r="H95" i="8"/>
  <c r="M94" i="8"/>
  <c r="L94" i="8"/>
  <c r="K94" i="8"/>
  <c r="J94" i="8"/>
  <c r="I94" i="8"/>
  <c r="H94" i="8"/>
  <c r="M93" i="8"/>
  <c r="L93" i="8"/>
  <c r="K93" i="8"/>
  <c r="J93" i="8"/>
  <c r="I93" i="8"/>
  <c r="H93" i="8"/>
  <c r="M92" i="8"/>
  <c r="L92" i="8"/>
  <c r="K92" i="8"/>
  <c r="J92" i="8"/>
  <c r="I92" i="8"/>
  <c r="H92" i="8"/>
  <c r="V91" i="8"/>
  <c r="M91" i="8"/>
  <c r="L91" i="8"/>
  <c r="K91" i="8"/>
  <c r="J91" i="8"/>
  <c r="I91" i="8"/>
  <c r="H91" i="8"/>
  <c r="M90" i="8"/>
  <c r="L90" i="8"/>
  <c r="K90" i="8"/>
  <c r="J90" i="8"/>
  <c r="I90" i="8"/>
  <c r="H90" i="8"/>
  <c r="M89" i="8"/>
  <c r="L89" i="8"/>
  <c r="K89" i="8"/>
  <c r="J89" i="8"/>
  <c r="I89" i="8"/>
  <c r="H89" i="8"/>
  <c r="M88" i="8"/>
  <c r="L88" i="8"/>
  <c r="K88" i="8"/>
  <c r="J88" i="8"/>
  <c r="I88" i="8"/>
  <c r="H88" i="8"/>
  <c r="M87" i="8"/>
  <c r="L87" i="8"/>
  <c r="K87" i="8"/>
  <c r="J87" i="8"/>
  <c r="I87" i="8"/>
  <c r="H87" i="8"/>
  <c r="M86" i="8"/>
  <c r="L86" i="8"/>
  <c r="K86" i="8"/>
  <c r="J86" i="8"/>
  <c r="I86" i="8"/>
  <c r="H86" i="8"/>
  <c r="M85" i="8"/>
  <c r="L85" i="8"/>
  <c r="K85" i="8"/>
  <c r="J85" i="8"/>
  <c r="I85" i="8"/>
  <c r="H85" i="8"/>
  <c r="M84" i="8"/>
  <c r="L84" i="8"/>
  <c r="K84" i="8"/>
  <c r="J84" i="8"/>
  <c r="I84" i="8"/>
  <c r="H84" i="8"/>
  <c r="M83" i="8"/>
  <c r="L83" i="8"/>
  <c r="K83" i="8"/>
  <c r="J83" i="8"/>
  <c r="I83" i="8"/>
  <c r="H83" i="8"/>
  <c r="M82" i="8"/>
  <c r="L82" i="8"/>
  <c r="K82" i="8"/>
  <c r="J82" i="8"/>
  <c r="I82" i="8"/>
  <c r="H82" i="8"/>
  <c r="M81" i="8"/>
  <c r="L81" i="8"/>
  <c r="K81" i="8"/>
  <c r="J81" i="8"/>
  <c r="I81" i="8"/>
  <c r="H81" i="8"/>
  <c r="M80" i="8"/>
  <c r="L80" i="8"/>
  <c r="K80" i="8"/>
  <c r="J80" i="8"/>
  <c r="I80" i="8"/>
  <c r="H80" i="8"/>
  <c r="M79" i="8"/>
  <c r="L79" i="8"/>
  <c r="K79" i="8"/>
  <c r="J79" i="8"/>
  <c r="I79" i="8"/>
  <c r="H79" i="8"/>
  <c r="M78" i="8"/>
  <c r="L78" i="8"/>
  <c r="K78" i="8"/>
  <c r="J78" i="8"/>
  <c r="I78" i="8"/>
  <c r="H78" i="8"/>
  <c r="M77" i="8"/>
  <c r="L77" i="8"/>
  <c r="K77" i="8"/>
  <c r="J77" i="8"/>
  <c r="I77" i="8"/>
  <c r="H77" i="8"/>
  <c r="M76" i="8"/>
  <c r="L76" i="8"/>
  <c r="K76" i="8"/>
  <c r="J76" i="8"/>
  <c r="I76" i="8"/>
  <c r="H76" i="8"/>
  <c r="M75" i="8"/>
  <c r="L75" i="8"/>
  <c r="K75" i="8"/>
  <c r="J75" i="8"/>
  <c r="I75" i="8"/>
  <c r="H75" i="8"/>
  <c r="M74" i="8"/>
  <c r="L74" i="8"/>
  <c r="K74" i="8"/>
  <c r="J74" i="8"/>
  <c r="I74" i="8"/>
  <c r="H74" i="8"/>
  <c r="M73" i="8"/>
  <c r="L73" i="8"/>
  <c r="K73" i="8"/>
  <c r="J73" i="8"/>
  <c r="I73" i="8"/>
  <c r="H73" i="8"/>
  <c r="M72" i="8"/>
  <c r="L72" i="8"/>
  <c r="K72" i="8"/>
  <c r="J72" i="8"/>
  <c r="I72" i="8"/>
  <c r="H72" i="8"/>
  <c r="M71" i="8"/>
  <c r="L71" i="8"/>
  <c r="K71" i="8"/>
  <c r="J71" i="8"/>
  <c r="I71" i="8"/>
  <c r="H71" i="8"/>
  <c r="M70" i="8"/>
  <c r="L70" i="8"/>
  <c r="K70" i="8"/>
  <c r="J70" i="8"/>
  <c r="I70" i="8"/>
  <c r="H70" i="8"/>
  <c r="M69" i="8"/>
  <c r="L69" i="8"/>
  <c r="K69" i="8"/>
  <c r="J69" i="8"/>
  <c r="I69" i="8"/>
  <c r="H69" i="8"/>
  <c r="M68" i="8"/>
  <c r="L68" i="8"/>
  <c r="K68" i="8"/>
  <c r="J68" i="8"/>
  <c r="I68" i="8"/>
  <c r="H68" i="8"/>
  <c r="M67" i="8"/>
  <c r="L67" i="8"/>
  <c r="K67" i="8"/>
  <c r="J67" i="8"/>
  <c r="I67" i="8"/>
  <c r="H67" i="8"/>
  <c r="M66" i="8"/>
  <c r="L66" i="8"/>
  <c r="K66" i="8"/>
  <c r="J66" i="8"/>
  <c r="I66" i="8"/>
  <c r="H66" i="8"/>
  <c r="M65" i="8"/>
  <c r="L65" i="8"/>
  <c r="K65" i="8"/>
  <c r="J65" i="8"/>
  <c r="I65" i="8"/>
  <c r="H65" i="8"/>
  <c r="M64" i="8"/>
  <c r="L64" i="8"/>
  <c r="K64" i="8"/>
  <c r="J64" i="8"/>
  <c r="I64" i="8"/>
  <c r="H64" i="8"/>
  <c r="M63" i="8"/>
  <c r="L63" i="8"/>
  <c r="K63" i="8"/>
  <c r="J63" i="8"/>
  <c r="I63" i="8"/>
  <c r="H63" i="8"/>
  <c r="M62" i="8"/>
  <c r="L62" i="8"/>
  <c r="K62" i="8"/>
  <c r="J62" i="8"/>
  <c r="I62" i="8"/>
  <c r="H62" i="8"/>
  <c r="M61" i="8"/>
  <c r="L61" i="8"/>
  <c r="K61" i="8"/>
  <c r="J61" i="8"/>
  <c r="I61" i="8"/>
  <c r="H61" i="8"/>
  <c r="M60" i="8"/>
  <c r="L60" i="8"/>
  <c r="K60" i="8"/>
  <c r="J60" i="8"/>
  <c r="I60" i="8"/>
  <c r="H60" i="8"/>
  <c r="M59" i="8"/>
  <c r="L59" i="8"/>
  <c r="K59" i="8"/>
  <c r="J59" i="8"/>
  <c r="I59" i="8"/>
  <c r="H59" i="8"/>
  <c r="M58" i="8"/>
  <c r="L58" i="8"/>
  <c r="K58" i="8"/>
  <c r="J58" i="8"/>
  <c r="I58" i="8"/>
  <c r="H58" i="8"/>
  <c r="M57" i="8"/>
  <c r="L57" i="8"/>
  <c r="K57" i="8"/>
  <c r="J57" i="8"/>
  <c r="I57" i="8"/>
  <c r="H57" i="8"/>
  <c r="M56" i="8"/>
  <c r="L56" i="8"/>
  <c r="K56" i="8"/>
  <c r="J56" i="8"/>
  <c r="I56" i="8"/>
  <c r="H56" i="8"/>
  <c r="M55" i="8"/>
  <c r="L55" i="8"/>
  <c r="K55" i="8"/>
  <c r="J55" i="8"/>
  <c r="I55" i="8"/>
  <c r="H55" i="8"/>
  <c r="M54" i="8"/>
  <c r="L54" i="8"/>
  <c r="K54" i="8"/>
  <c r="J54" i="8"/>
  <c r="I54" i="8"/>
  <c r="H54" i="8"/>
  <c r="M53" i="8"/>
  <c r="L53" i="8"/>
  <c r="K53" i="8"/>
  <c r="J53" i="8"/>
  <c r="I53" i="8"/>
  <c r="H53" i="8"/>
  <c r="M52" i="8"/>
  <c r="L52" i="8"/>
  <c r="K52" i="8"/>
  <c r="J52" i="8"/>
  <c r="I52" i="8"/>
  <c r="H52" i="8"/>
  <c r="M51" i="8"/>
  <c r="L51" i="8"/>
  <c r="K51" i="8"/>
  <c r="J51" i="8"/>
  <c r="I51" i="8"/>
  <c r="H51" i="8"/>
  <c r="M50" i="8"/>
  <c r="L50" i="8"/>
  <c r="K50" i="8"/>
  <c r="J50" i="8"/>
  <c r="I50" i="8"/>
  <c r="H50" i="8"/>
  <c r="M49" i="8"/>
  <c r="L49" i="8"/>
  <c r="K49" i="8"/>
  <c r="J49" i="8"/>
  <c r="I49" i="8"/>
  <c r="H49" i="8"/>
  <c r="M48" i="8"/>
  <c r="L48" i="8"/>
  <c r="K48" i="8"/>
  <c r="J48" i="8"/>
  <c r="I48" i="8"/>
  <c r="H48" i="8"/>
  <c r="M47" i="8"/>
  <c r="L47" i="8"/>
  <c r="K47" i="8"/>
  <c r="J47" i="8"/>
  <c r="I47" i="8"/>
  <c r="H47" i="8"/>
  <c r="M46" i="8"/>
  <c r="L46" i="8"/>
  <c r="K46" i="8"/>
  <c r="J46" i="8"/>
  <c r="I46" i="8"/>
  <c r="H46" i="8"/>
  <c r="M45" i="8"/>
  <c r="L45" i="8"/>
  <c r="K45" i="8"/>
  <c r="J45" i="8"/>
  <c r="I45" i="8"/>
  <c r="H45" i="8"/>
  <c r="M44" i="8"/>
  <c r="L44" i="8"/>
  <c r="K44" i="8"/>
  <c r="J44" i="8"/>
  <c r="I44" i="8"/>
  <c r="H44" i="8"/>
  <c r="M43" i="8"/>
  <c r="L43" i="8"/>
  <c r="K43" i="8"/>
  <c r="J43" i="8"/>
  <c r="I43" i="8"/>
  <c r="H43" i="8"/>
  <c r="X39" i="8"/>
  <c r="Y39" i="8" s="1"/>
  <c r="V39" i="8"/>
  <c r="W39" i="8" s="1"/>
  <c r="T39" i="8"/>
  <c r="U39" i="8" s="1"/>
  <c r="M42" i="8"/>
  <c r="L42" i="8"/>
  <c r="K42" i="8"/>
  <c r="J42" i="8"/>
  <c r="I42" i="8"/>
  <c r="H42" i="8"/>
  <c r="X38" i="8"/>
  <c r="Y38" i="8" s="1"/>
  <c r="V38" i="8"/>
  <c r="W38" i="8" s="1"/>
  <c r="T38" i="8"/>
  <c r="U38" i="8" s="1"/>
  <c r="M41" i="8"/>
  <c r="L41" i="8"/>
  <c r="K41" i="8"/>
  <c r="J41" i="8"/>
  <c r="I41" i="8"/>
  <c r="H41" i="8"/>
  <c r="X37" i="8"/>
  <c r="Y37" i="8" s="1"/>
  <c r="V37" i="8"/>
  <c r="W37" i="8" s="1"/>
  <c r="T37" i="8"/>
  <c r="U37" i="8" s="1"/>
  <c r="M40" i="8"/>
  <c r="L40" i="8"/>
  <c r="K40" i="8"/>
  <c r="J40" i="8"/>
  <c r="I40" i="8"/>
  <c r="H40" i="8"/>
  <c r="X36" i="8"/>
  <c r="Y36" i="8" s="1"/>
  <c r="V36" i="8"/>
  <c r="W36" i="8" s="1"/>
  <c r="T36" i="8"/>
  <c r="U36" i="8" s="1"/>
  <c r="M39" i="8"/>
  <c r="L39" i="8"/>
  <c r="K39" i="8"/>
  <c r="J39" i="8"/>
  <c r="I39" i="8"/>
  <c r="H39" i="8"/>
  <c r="X35" i="8"/>
  <c r="Y35" i="8" s="1"/>
  <c r="V35" i="8"/>
  <c r="W35" i="8" s="1"/>
  <c r="T35" i="8"/>
  <c r="U35" i="8" s="1"/>
  <c r="S35" i="8"/>
  <c r="M38" i="8"/>
  <c r="L38" i="8"/>
  <c r="K38" i="8"/>
  <c r="J38" i="8"/>
  <c r="I38" i="8"/>
  <c r="H38" i="8"/>
  <c r="M37" i="8"/>
  <c r="L37" i="8"/>
  <c r="K37" i="8"/>
  <c r="J37" i="8"/>
  <c r="I37" i="8"/>
  <c r="H37" i="8"/>
  <c r="M36" i="8"/>
  <c r="L36" i="8"/>
  <c r="K36" i="8"/>
  <c r="J36" i="8"/>
  <c r="I36" i="8"/>
  <c r="H36" i="8"/>
  <c r="M35" i="8"/>
  <c r="L35" i="8"/>
  <c r="K35" i="8"/>
  <c r="J35" i="8"/>
  <c r="I35" i="8"/>
  <c r="H35" i="8"/>
  <c r="M34" i="8"/>
  <c r="L34" i="8"/>
  <c r="K34" i="8"/>
  <c r="J34" i="8"/>
  <c r="I34" i="8"/>
  <c r="H34" i="8"/>
  <c r="M33" i="8"/>
  <c r="L33" i="8"/>
  <c r="K33" i="8"/>
  <c r="J33" i="8"/>
  <c r="I33" i="8"/>
  <c r="H33" i="8"/>
  <c r="M32" i="8"/>
  <c r="L32" i="8"/>
  <c r="K32" i="8"/>
  <c r="J32" i="8"/>
  <c r="I32" i="8"/>
  <c r="H32" i="8"/>
  <c r="M31" i="8"/>
  <c r="L31" i="8"/>
  <c r="K31" i="8"/>
  <c r="J31" i="8"/>
  <c r="I31" i="8"/>
  <c r="H31" i="8"/>
  <c r="M30" i="8"/>
  <c r="L30" i="8"/>
  <c r="K30" i="8"/>
  <c r="J30" i="8"/>
  <c r="I30" i="8"/>
  <c r="H30" i="8"/>
  <c r="M29" i="8"/>
  <c r="L29" i="8"/>
  <c r="K29" i="8"/>
  <c r="J29" i="8"/>
  <c r="I29" i="8"/>
  <c r="H29" i="8"/>
  <c r="M28" i="8"/>
  <c r="L28" i="8"/>
  <c r="K28" i="8"/>
  <c r="J28" i="8"/>
  <c r="I28" i="8"/>
  <c r="H28" i="8"/>
  <c r="M27" i="8"/>
  <c r="L27" i="8"/>
  <c r="K27" i="8"/>
  <c r="J27" i="8"/>
  <c r="I27" i="8"/>
  <c r="H27" i="8"/>
  <c r="M26" i="8"/>
  <c r="L26" i="8"/>
  <c r="K26" i="8"/>
  <c r="J26" i="8"/>
  <c r="I26" i="8"/>
  <c r="H26" i="8"/>
  <c r="M25" i="8"/>
  <c r="L25" i="8"/>
  <c r="K25" i="8"/>
  <c r="J25" i="8"/>
  <c r="I25" i="8"/>
  <c r="H25" i="8"/>
  <c r="M24" i="8"/>
  <c r="L24" i="8"/>
  <c r="K24" i="8"/>
  <c r="J24" i="8"/>
  <c r="I24" i="8"/>
  <c r="H24" i="8"/>
  <c r="M23" i="8"/>
  <c r="L23" i="8"/>
  <c r="K23" i="8"/>
  <c r="J23" i="8"/>
  <c r="I23" i="8"/>
  <c r="H23" i="8"/>
  <c r="M22" i="8"/>
  <c r="L22" i="8"/>
  <c r="K22" i="8"/>
  <c r="J22" i="8"/>
  <c r="I22" i="8"/>
  <c r="H22" i="8"/>
  <c r="M21" i="8"/>
  <c r="L21" i="8"/>
  <c r="K21" i="8"/>
  <c r="J21" i="8"/>
  <c r="I21" i="8"/>
  <c r="H21" i="8"/>
  <c r="M20" i="8"/>
  <c r="L20" i="8"/>
  <c r="K20" i="8"/>
  <c r="J20" i="8"/>
  <c r="I20" i="8"/>
  <c r="H20" i="8"/>
  <c r="M19" i="8"/>
  <c r="L19" i="8"/>
  <c r="K19" i="8"/>
  <c r="J19" i="8"/>
  <c r="I19" i="8"/>
  <c r="H19" i="8"/>
  <c r="T18" i="8"/>
  <c r="Z24" i="8" s="1"/>
  <c r="M18" i="8"/>
  <c r="L18" i="8"/>
  <c r="K18" i="8"/>
  <c r="J18" i="8"/>
  <c r="I18" i="8"/>
  <c r="H18" i="8"/>
  <c r="U17" i="8"/>
  <c r="X24" i="8" s="1"/>
  <c r="T17" i="8"/>
  <c r="Z17" i="8" s="1"/>
  <c r="M17" i="8"/>
  <c r="L17" i="8"/>
  <c r="K17" i="8"/>
  <c r="J17" i="8"/>
  <c r="I17" i="8"/>
  <c r="H17" i="8"/>
  <c r="U16" i="8"/>
  <c r="T16" i="8"/>
  <c r="Z16" i="8" s="1"/>
  <c r="M16" i="8"/>
  <c r="L16" i="8"/>
  <c r="K16" i="8"/>
  <c r="J16" i="8"/>
  <c r="I16" i="8"/>
  <c r="H16" i="8"/>
  <c r="U15" i="8"/>
  <c r="T15" i="8"/>
  <c r="Z15" i="8" s="1"/>
  <c r="M15" i="8"/>
  <c r="L15" i="8"/>
  <c r="K15" i="8"/>
  <c r="J15" i="8"/>
  <c r="I15" i="8"/>
  <c r="H15" i="8"/>
  <c r="U14" i="8"/>
  <c r="T14" i="8"/>
  <c r="Z14" i="8" s="1"/>
  <c r="M14" i="8"/>
  <c r="L14" i="8"/>
  <c r="K14" i="8"/>
  <c r="J14" i="8"/>
  <c r="I14" i="8"/>
  <c r="H14" i="8"/>
  <c r="U13" i="8"/>
  <c r="T13" i="8"/>
  <c r="M13" i="8"/>
  <c r="L13" i="8"/>
  <c r="K13" i="8"/>
  <c r="J13" i="8"/>
  <c r="I13" i="8"/>
  <c r="H13" i="8"/>
  <c r="M12" i="8"/>
  <c r="L12" i="8"/>
  <c r="K12" i="8"/>
  <c r="J12" i="8"/>
  <c r="I12" i="8"/>
  <c r="H12" i="8"/>
  <c r="M11" i="8"/>
  <c r="L11" i="8"/>
  <c r="K11" i="8"/>
  <c r="J11" i="8"/>
  <c r="I11" i="8"/>
  <c r="H11" i="8"/>
  <c r="M10" i="8"/>
  <c r="L10" i="8"/>
  <c r="K10" i="8"/>
  <c r="J10" i="8"/>
  <c r="I10" i="8"/>
  <c r="H10" i="8"/>
  <c r="M9" i="8"/>
  <c r="L9" i="8"/>
  <c r="K9" i="8"/>
  <c r="J9" i="8"/>
  <c r="I9" i="8"/>
  <c r="H9" i="8"/>
  <c r="M8" i="8"/>
  <c r="L8" i="8"/>
  <c r="K8" i="8"/>
  <c r="J8" i="8"/>
  <c r="I8" i="8"/>
  <c r="H8" i="8"/>
  <c r="M7" i="8"/>
  <c r="L7" i="8"/>
  <c r="K7" i="8"/>
  <c r="J7" i="8"/>
  <c r="I7" i="8"/>
  <c r="H7" i="8"/>
  <c r="M6" i="8"/>
  <c r="L6" i="8"/>
  <c r="K6" i="8"/>
  <c r="J6" i="8"/>
  <c r="I6" i="8"/>
  <c r="H6" i="8"/>
  <c r="M5" i="8"/>
  <c r="L5" i="8"/>
  <c r="K5" i="8"/>
  <c r="J5" i="8"/>
  <c r="I5" i="8"/>
  <c r="H5" i="8"/>
  <c r="M4" i="8"/>
  <c r="L4" i="8"/>
  <c r="K4" i="8"/>
  <c r="J4" i="8"/>
  <c r="I4" i="8"/>
  <c r="H4" i="8"/>
  <c r="P42" i="3"/>
  <c r="V7" i="3"/>
  <c r="G39" i="6"/>
  <c r="F39" i="6"/>
  <c r="G37" i="6"/>
  <c r="F37" i="6"/>
  <c r="G35" i="6"/>
  <c r="F35" i="6"/>
  <c r="G32" i="6"/>
  <c r="F32" i="6"/>
  <c r="G30" i="6"/>
  <c r="F30" i="6"/>
  <c r="G28" i="6"/>
  <c r="F28" i="6"/>
  <c r="G26" i="6"/>
  <c r="F26" i="6"/>
  <c r="G24" i="6"/>
  <c r="F24" i="6"/>
  <c r="G22" i="6"/>
  <c r="F22" i="6"/>
  <c r="L21" i="6"/>
  <c r="K21" i="6"/>
  <c r="G20" i="6"/>
  <c r="F20" i="6"/>
  <c r="G13" i="6"/>
  <c r="G16" i="6" s="1"/>
  <c r="G17" i="6" s="1"/>
  <c r="F13" i="6"/>
  <c r="F16" i="6" s="1"/>
  <c r="F17" i="6" s="1"/>
  <c r="G12" i="6"/>
  <c r="F12" i="6"/>
  <c r="G9" i="6"/>
  <c r="F9" i="6"/>
  <c r="V8" i="3"/>
  <c r="P71" i="3"/>
  <c r="P72" i="3"/>
  <c r="P73" i="3"/>
  <c r="P75" i="3"/>
  <c r="P76" i="3"/>
  <c r="P77" i="3"/>
  <c r="P26" i="3"/>
  <c r="P33" i="3"/>
  <c r="P32" i="3"/>
  <c r="P31" i="3"/>
  <c r="P30" i="3"/>
  <c r="P29" i="3"/>
  <c r="P28" i="3"/>
  <c r="P34" i="3"/>
  <c r="P35" i="3"/>
  <c r="P36" i="3"/>
  <c r="P37" i="3"/>
  <c r="P38" i="3"/>
  <c r="P39" i="3"/>
  <c r="P40" i="3"/>
  <c r="P41"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4" i="3"/>
  <c r="P27" i="3"/>
  <c r="P167" i="8" l="1"/>
  <c r="P173" i="8"/>
  <c r="N175" i="8"/>
  <c r="O273" i="8"/>
  <c r="O293" i="8"/>
  <c r="N307" i="8"/>
  <c r="P14" i="8"/>
  <c r="N257" i="8"/>
  <c r="O451" i="8"/>
  <c r="P385" i="8"/>
  <c r="P405" i="8"/>
  <c r="P228" i="8"/>
  <c r="P66" i="8"/>
  <c r="P180" i="8"/>
  <c r="P402" i="8"/>
  <c r="N212" i="8"/>
  <c r="O738" i="8"/>
  <c r="P9" i="8"/>
  <c r="O43" i="8"/>
  <c r="P28" i="8"/>
  <c r="N36" i="8"/>
  <c r="P181" i="8"/>
  <c r="P183" i="8"/>
  <c r="P197" i="8"/>
  <c r="P199" i="8"/>
  <c r="N215" i="8"/>
  <c r="P225" i="8"/>
  <c r="O459" i="8"/>
  <c r="P491" i="8"/>
  <c r="P713" i="8"/>
  <c r="N191" i="8"/>
  <c r="N9" i="8"/>
  <c r="O14" i="8"/>
  <c r="P33" i="8"/>
  <c r="O241" i="8"/>
  <c r="N436" i="8"/>
  <c r="O516" i="8"/>
  <c r="P576" i="8"/>
  <c r="P590" i="8"/>
  <c r="P606" i="8"/>
  <c r="O741" i="8"/>
  <c r="P743" i="8"/>
  <c r="W24" i="8"/>
  <c r="O148" i="8"/>
  <c r="P237" i="8"/>
  <c r="O257" i="8"/>
  <c r="O291" i="8"/>
  <c r="P293" i="8"/>
  <c r="P484" i="8"/>
  <c r="O568" i="8"/>
  <c r="O628" i="8"/>
  <c r="P669" i="8"/>
  <c r="O701" i="8"/>
  <c r="P705" i="8"/>
  <c r="O215" i="8"/>
  <c r="O99" i="8"/>
  <c r="P273" i="8"/>
  <c r="O385" i="8"/>
  <c r="O608" i="8"/>
  <c r="P664" i="8"/>
  <c r="P212" i="8"/>
  <c r="P59" i="8"/>
  <c r="P75" i="8"/>
  <c r="O228" i="8"/>
  <c r="P353" i="8"/>
  <c r="N451" i="8"/>
  <c r="O582" i="8"/>
  <c r="O590" i="8"/>
  <c r="P666" i="8"/>
  <c r="N365" i="8"/>
  <c r="P535" i="8"/>
  <c r="N551" i="8"/>
  <c r="P706" i="8"/>
  <c r="P708" i="8"/>
  <c r="O724" i="8"/>
  <c r="P43" i="8"/>
  <c r="O97" i="8"/>
  <c r="P165" i="8"/>
  <c r="O167" i="8"/>
  <c r="P257" i="8"/>
  <c r="P429" i="8"/>
  <c r="P469" i="8"/>
  <c r="O491" i="8"/>
  <c r="P527" i="8"/>
  <c r="N529" i="8"/>
  <c r="P569" i="8"/>
  <c r="N603" i="8"/>
  <c r="O621" i="8"/>
  <c r="P732" i="8"/>
  <c r="N97" i="8"/>
  <c r="P149" i="8"/>
  <c r="P425" i="8"/>
  <c r="N481" i="8"/>
  <c r="P451" i="8"/>
  <c r="O513" i="8"/>
  <c r="P587" i="8"/>
  <c r="P646" i="8"/>
  <c r="O28" i="8"/>
  <c r="N183" i="8"/>
  <c r="N193" i="8"/>
  <c r="O344" i="8"/>
  <c r="P551" i="8"/>
  <c r="O623" i="8"/>
  <c r="N643" i="8"/>
  <c r="N669" i="8"/>
  <c r="O706" i="8"/>
  <c r="O9" i="8"/>
  <c r="N344" i="8"/>
  <c r="P420" i="8"/>
  <c r="P444" i="8"/>
  <c r="O569" i="8"/>
  <c r="P633" i="8"/>
  <c r="O66" i="8"/>
  <c r="O225" i="8"/>
  <c r="P94" i="8"/>
  <c r="N225" i="8"/>
  <c r="N239" i="8"/>
  <c r="P241" i="8"/>
  <c r="N350" i="8"/>
  <c r="P394" i="8"/>
  <c r="P462" i="8"/>
  <c r="N514" i="8"/>
  <c r="P516" i="8"/>
  <c r="O551" i="8"/>
  <c r="N47" i="8"/>
  <c r="N180" i="8"/>
  <c r="P231" i="8"/>
  <c r="O287" i="8"/>
  <c r="P323" i="8"/>
  <c r="P448" i="8"/>
  <c r="N461" i="8"/>
  <c r="P548" i="8"/>
  <c r="O571" i="8"/>
  <c r="O587" i="8"/>
  <c r="N664" i="8"/>
  <c r="T25" i="8"/>
  <c r="T26" i="8" s="1"/>
  <c r="V18" i="8"/>
  <c r="P39" i="8"/>
  <c r="P92" i="8"/>
  <c r="P111" i="8"/>
  <c r="O135" i="8"/>
  <c r="P157" i="8"/>
  <c r="N281" i="8"/>
  <c r="N444" i="8"/>
  <c r="P500" i="8"/>
  <c r="O544" i="8"/>
  <c r="P585" i="8"/>
  <c r="N587" i="8"/>
  <c r="N620" i="8"/>
  <c r="O448" i="8"/>
  <c r="P542" i="8"/>
  <c r="O664" i="8"/>
  <c r="N724" i="8"/>
  <c r="N743" i="8"/>
  <c r="P133" i="8"/>
  <c r="P151" i="8"/>
  <c r="O180" i="8"/>
  <c r="O212" i="8"/>
  <c r="P260" i="8"/>
  <c r="N273" i="8"/>
  <c r="P330" i="8"/>
  <c r="O341" i="8"/>
  <c r="O365" i="8"/>
  <c r="O394" i="8"/>
  <c r="N429" i="8"/>
  <c r="P441" i="8"/>
  <c r="O529" i="8"/>
  <c r="N700" i="8"/>
  <c r="O736" i="8"/>
  <c r="O743" i="8"/>
  <c r="N305" i="8"/>
  <c r="O429" i="8"/>
  <c r="P447" i="8"/>
  <c r="O469" i="8"/>
  <c r="O475" i="8"/>
  <c r="N527" i="8"/>
  <c r="O549" i="8"/>
  <c r="P566" i="8"/>
  <c r="N584" i="8"/>
  <c r="N588" i="8"/>
  <c r="O715" i="8"/>
  <c r="N725" i="8"/>
  <c r="P439" i="8"/>
  <c r="N497" i="8"/>
  <c r="O514" i="8"/>
  <c r="O527" i="8"/>
  <c r="O603" i="8"/>
  <c r="P605" i="8"/>
  <c r="O680" i="8"/>
  <c r="O694" i="8"/>
  <c r="N713" i="8"/>
  <c r="N59" i="8"/>
  <c r="P106" i="8"/>
  <c r="N207" i="8"/>
  <c r="O337" i="8"/>
  <c r="P362" i="8"/>
  <c r="O59" i="8"/>
  <c r="O85" i="8"/>
  <c r="N167" i="8"/>
  <c r="O199" i="8"/>
  <c r="O312" i="8"/>
  <c r="P344" i="8"/>
  <c r="P355" i="8"/>
  <c r="O358" i="8"/>
  <c r="N385" i="8"/>
  <c r="P389" i="8"/>
  <c r="O420" i="8"/>
  <c r="P422" i="8"/>
  <c r="P426" i="8"/>
  <c r="P436" i="8"/>
  <c r="N472" i="8"/>
  <c r="P514" i="8"/>
  <c r="P596" i="8"/>
  <c r="P603" i="8"/>
  <c r="N628" i="8"/>
  <c r="O630" i="8"/>
  <c r="O651" i="8"/>
  <c r="N653" i="8"/>
  <c r="O678" i="8"/>
  <c r="O713" i="8"/>
  <c r="N199" i="8"/>
  <c r="N358" i="8"/>
  <c r="N15" i="8"/>
  <c r="O33" i="8"/>
  <c r="N66" i="8"/>
  <c r="P164" i="8"/>
  <c r="N241" i="8"/>
  <c r="N293" i="8"/>
  <c r="N334" i="8"/>
  <c r="N380" i="8"/>
  <c r="P442" i="8"/>
  <c r="N464" i="8"/>
  <c r="N491" i="8"/>
  <c r="N495" i="8"/>
  <c r="N516" i="8"/>
  <c r="P592" i="8"/>
  <c r="O625" i="8"/>
  <c r="O88" i="8"/>
  <c r="N14" i="8"/>
  <c r="O56" i="8"/>
  <c r="N85" i="8"/>
  <c r="N124" i="8"/>
  <c r="N320" i="8"/>
  <c r="O462" i="8"/>
  <c r="N532" i="8"/>
  <c r="P555" i="8"/>
  <c r="N683" i="8"/>
  <c r="P716" i="8"/>
  <c r="Z25" i="8"/>
  <c r="T44" i="8" s="1"/>
  <c r="P21" i="8"/>
  <c r="P63" i="8"/>
  <c r="O94" i="8"/>
  <c r="N43" i="8"/>
  <c r="N50" i="8"/>
  <c r="P119" i="8"/>
  <c r="P196" i="8"/>
  <c r="N228" i="8"/>
  <c r="N271" i="8"/>
  <c r="N284" i="8"/>
  <c r="O334" i="8"/>
  <c r="N340" i="8"/>
  <c r="N353" i="8"/>
  <c r="N394" i="8"/>
  <c r="N621" i="8"/>
  <c r="P631" i="8"/>
  <c r="N697" i="8"/>
  <c r="O710" i="8"/>
  <c r="P193" i="8"/>
  <c r="N223" i="8"/>
  <c r="N244" i="8"/>
  <c r="P305" i="8"/>
  <c r="P309" i="8"/>
  <c r="P350" i="8"/>
  <c r="P378" i="8"/>
  <c r="N469" i="8"/>
  <c r="N484" i="8"/>
  <c r="P517" i="8"/>
  <c r="O725" i="8"/>
  <c r="T47" i="8"/>
  <c r="T43" i="8"/>
  <c r="P32" i="8"/>
  <c r="N32" i="8"/>
  <c r="O32" i="8"/>
  <c r="P56" i="8"/>
  <c r="P62" i="8"/>
  <c r="P99" i="8"/>
  <c r="P135" i="8"/>
  <c r="N143" i="8"/>
  <c r="P145" i="8"/>
  <c r="O145" i="8"/>
  <c r="N145" i="8"/>
  <c r="N148" i="8"/>
  <c r="N177" i="8"/>
  <c r="P177" i="8"/>
  <c r="O177" i="8"/>
  <c r="P244" i="8"/>
  <c r="O305" i="8"/>
  <c r="P341" i="8"/>
  <c r="P354" i="8"/>
  <c r="O354" i="8"/>
  <c r="N354" i="8"/>
  <c r="O465" i="8"/>
  <c r="P499" i="8"/>
  <c r="O499" i="8"/>
  <c r="N499" i="8"/>
  <c r="N568" i="8"/>
  <c r="N606" i="8"/>
  <c r="O606" i="8"/>
  <c r="P640" i="8"/>
  <c r="O640" i="8"/>
  <c r="P642" i="8"/>
  <c r="O642" i="8"/>
  <c r="P661" i="8"/>
  <c r="O661" i="8"/>
  <c r="P691" i="8"/>
  <c r="O691" i="8"/>
  <c r="N691" i="8"/>
  <c r="T78" i="8"/>
  <c r="T77" i="8"/>
  <c r="P245" i="8"/>
  <c r="P247" i="8"/>
  <c r="O247" i="8"/>
  <c r="N247" i="8"/>
  <c r="N300" i="8"/>
  <c r="P391" i="8"/>
  <c r="P397" i="8"/>
  <c r="P401" i="8"/>
  <c r="O401" i="8"/>
  <c r="N401" i="8"/>
  <c r="O503" i="8"/>
  <c r="N503" i="8"/>
  <c r="P625" i="8"/>
  <c r="N640" i="8"/>
  <c r="P672" i="8"/>
  <c r="O672" i="8"/>
  <c r="P721" i="8"/>
  <c r="O721" i="8"/>
  <c r="N721" i="8"/>
  <c r="S77" i="8"/>
  <c r="S78" i="8"/>
  <c r="P317" i="8"/>
  <c r="O317" i="8"/>
  <c r="N317" i="8"/>
  <c r="P413" i="8"/>
  <c r="O413" i="8"/>
  <c r="N413" i="8"/>
  <c r="O432" i="8"/>
  <c r="N432" i="8"/>
  <c r="P454" i="8"/>
  <c r="O454" i="8"/>
  <c r="P44" i="8"/>
  <c r="O44" i="8"/>
  <c r="N44" i="8"/>
  <c r="P110" i="8"/>
  <c r="P276" i="8"/>
  <c r="O276" i="8"/>
  <c r="N309" i="8"/>
  <c r="P337" i="8"/>
  <c r="O350" i="8"/>
  <c r="P375" i="8"/>
  <c r="N378" i="8"/>
  <c r="O384" i="8"/>
  <c r="N397" i="8"/>
  <c r="O436" i="8"/>
  <c r="N439" i="8"/>
  <c r="P532" i="8"/>
  <c r="P554" i="8"/>
  <c r="O554" i="8"/>
  <c r="P579" i="8"/>
  <c r="O579" i="8"/>
  <c r="N579" i="8"/>
  <c r="O620" i="8"/>
  <c r="P710" i="8"/>
  <c r="P116" i="8"/>
  <c r="O116" i="8"/>
  <c r="N116" i="8"/>
  <c r="V78" i="8"/>
  <c r="P12" i="8"/>
  <c r="O12" i="8"/>
  <c r="Z13" i="8"/>
  <c r="V13" i="8"/>
  <c r="N78" i="8"/>
  <c r="N82" i="8"/>
  <c r="P82" i="8"/>
  <c r="O82" i="8"/>
  <c r="O112" i="8"/>
  <c r="N132" i="8"/>
  <c r="P132" i="8"/>
  <c r="O132" i="8"/>
  <c r="AA17" i="8"/>
  <c r="S39" i="8" s="1"/>
  <c r="N135" i="8"/>
  <c r="P215" i="8"/>
  <c r="N268" i="8"/>
  <c r="N297" i="8"/>
  <c r="P297" i="8"/>
  <c r="O297" i="8"/>
  <c r="O300" i="8"/>
  <c r="N304" i="8"/>
  <c r="O309" i="8"/>
  <c r="P340" i="8"/>
  <c r="O340" i="8"/>
  <c r="N341" i="8"/>
  <c r="P371" i="8"/>
  <c r="O378" i="8"/>
  <c r="P386" i="8"/>
  <c r="P407" i="8"/>
  <c r="N425" i="8"/>
  <c r="O425" i="8"/>
  <c r="O438" i="8"/>
  <c r="O439" i="8"/>
  <c r="P481" i="8"/>
  <c r="O518" i="8"/>
  <c r="N533" i="8"/>
  <c r="P533" i="8"/>
  <c r="O533" i="8"/>
  <c r="O535" i="8"/>
  <c r="N535" i="8"/>
  <c r="O581" i="8"/>
  <c r="P620" i="8"/>
  <c r="O683" i="8"/>
  <c r="P740" i="8"/>
  <c r="O21" i="8"/>
  <c r="P74" i="8"/>
  <c r="N159" i="8"/>
  <c r="P161" i="8"/>
  <c r="O161" i="8"/>
  <c r="N161" i="8"/>
  <c r="N164" i="8"/>
  <c r="N236" i="8"/>
  <c r="P300" i="8"/>
  <c r="P331" i="8"/>
  <c r="P367" i="8"/>
  <c r="O481" i="8"/>
  <c r="O484" i="8"/>
  <c r="O486" i="8"/>
  <c r="O496" i="8"/>
  <c r="P539" i="8"/>
  <c r="O539" i="8"/>
  <c r="P618" i="8"/>
  <c r="N627" i="8"/>
  <c r="N656" i="8"/>
  <c r="P658" i="8"/>
  <c r="O658" i="8"/>
  <c r="N661" i="8"/>
  <c r="P683" i="8"/>
  <c r="O705" i="8"/>
  <c r="N705" i="8"/>
  <c r="P729" i="8"/>
  <c r="U79" i="8"/>
  <c r="U77" i="8"/>
  <c r="U78" i="8"/>
  <c r="P141" i="8"/>
  <c r="P31" i="8"/>
  <c r="O31" i="8"/>
  <c r="P148" i="8"/>
  <c r="O164" i="8"/>
  <c r="P209" i="8"/>
  <c r="P229" i="8"/>
  <c r="O231" i="8"/>
  <c r="N231" i="8"/>
  <c r="P261" i="8"/>
  <c r="P263" i="8"/>
  <c r="O263" i="8"/>
  <c r="N263" i="8"/>
  <c r="O288" i="8"/>
  <c r="P288" i="8"/>
  <c r="N357" i="8"/>
  <c r="P547" i="8"/>
  <c r="O547" i="8"/>
  <c r="N547" i="8"/>
  <c r="P568" i="8"/>
  <c r="N686" i="8"/>
  <c r="P686" i="8"/>
  <c r="O686" i="8"/>
  <c r="P688" i="8"/>
  <c r="O688" i="8"/>
  <c r="O716" i="8"/>
  <c r="N716" i="8"/>
  <c r="N735" i="8"/>
  <c r="P735" i="8"/>
  <c r="O735" i="8"/>
  <c r="P746" i="8"/>
  <c r="N103" i="8"/>
  <c r="P103" i="8"/>
  <c r="O103" i="8"/>
  <c r="P107" i="8"/>
  <c r="O107" i="8"/>
  <c r="N107" i="8"/>
  <c r="O404" i="8"/>
  <c r="N404" i="8"/>
  <c r="P487" i="8"/>
  <c r="O487" i="8"/>
  <c r="P503" i="8"/>
  <c r="N625" i="8"/>
  <c r="P643" i="8"/>
  <c r="O643" i="8"/>
  <c r="O645" i="8"/>
  <c r="N645" i="8"/>
  <c r="P738" i="8"/>
  <c r="P20" i="8"/>
  <c r="O20" i="8"/>
  <c r="N20" i="8"/>
  <c r="O36" i="8"/>
  <c r="P69" i="8"/>
  <c r="O69" i="8"/>
  <c r="N69" i="8"/>
  <c r="O75" i="8"/>
  <c r="N75" i="8"/>
  <c r="N151" i="8"/>
  <c r="P327" i="8"/>
  <c r="N410" i="8"/>
  <c r="P410" i="8"/>
  <c r="O410" i="8"/>
  <c r="P433" i="8"/>
  <c r="O433" i="8"/>
  <c r="N433" i="8"/>
  <c r="O435" i="8"/>
  <c r="N435" i="8"/>
  <c r="N475" i="8"/>
  <c r="P506" i="8"/>
  <c r="O506" i="8"/>
  <c r="N539" i="8"/>
  <c r="N545" i="8"/>
  <c r="O560" i="8"/>
  <c r="P572" i="8"/>
  <c r="O576" i="8"/>
  <c r="N576" i="8"/>
  <c r="O588" i="8"/>
  <c r="P609" i="8"/>
  <c r="O609" i="8"/>
  <c r="N609" i="8"/>
  <c r="P673" i="8"/>
  <c r="O673" i="8"/>
  <c r="O675" i="8"/>
  <c r="O697" i="8"/>
  <c r="T27" i="8"/>
  <c r="N39" i="8"/>
  <c r="N13" i="8"/>
  <c r="N24" i="8"/>
  <c r="O35" i="8"/>
  <c r="P36" i="8"/>
  <c r="O39" i="8"/>
  <c r="P47" i="8"/>
  <c r="N63" i="8"/>
  <c r="O119" i="8"/>
  <c r="N127" i="8"/>
  <c r="P129" i="8"/>
  <c r="O129" i="8"/>
  <c r="N129" i="8"/>
  <c r="O151" i="8"/>
  <c r="P189" i="8"/>
  <c r="O193" i="8"/>
  <c r="N196" i="8"/>
  <c r="P213" i="8"/>
  <c r="P281" i="8"/>
  <c r="N288" i="8"/>
  <c r="O320" i="8"/>
  <c r="N322" i="8"/>
  <c r="O362" i="8"/>
  <c r="P459" i="8"/>
  <c r="N513" i="8"/>
  <c r="P588" i="8"/>
  <c r="N605" i="8"/>
  <c r="P697" i="8"/>
  <c r="P724" i="8"/>
  <c r="N110" i="8"/>
  <c r="O110" i="8"/>
  <c r="P37" i="8"/>
  <c r="O47" i="8"/>
  <c r="P53" i="8"/>
  <c r="N56" i="8"/>
  <c r="O63" i="8"/>
  <c r="O65" i="8"/>
  <c r="N99" i="8"/>
  <c r="O196" i="8"/>
  <c r="N209" i="8"/>
  <c r="O281" i="8"/>
  <c r="N283" i="8"/>
  <c r="O284" i="8"/>
  <c r="O330" i="8"/>
  <c r="N330" i="8"/>
  <c r="P557" i="8"/>
  <c r="O557" i="8"/>
  <c r="N557" i="8"/>
  <c r="O566" i="8"/>
  <c r="P584" i="8"/>
  <c r="P602" i="8"/>
  <c r="O605" i="8"/>
  <c r="P698" i="8"/>
  <c r="O698" i="8"/>
  <c r="U27" i="8"/>
  <c r="V24" i="8"/>
  <c r="P85" i="8"/>
  <c r="P91" i="8"/>
  <c r="O91" i="8"/>
  <c r="N91" i="8"/>
  <c r="P125" i="8"/>
  <c r="O209" i="8"/>
  <c r="N252" i="8"/>
  <c r="O260" i="8"/>
  <c r="N260" i="8"/>
  <c r="P284" i="8"/>
  <c r="P536" i="8"/>
  <c r="O536" i="8"/>
  <c r="N536" i="8"/>
  <c r="P538" i="8"/>
  <c r="O538" i="8"/>
  <c r="O584" i="8"/>
  <c r="P591" i="8"/>
  <c r="P728" i="8"/>
  <c r="O728" i="8"/>
  <c r="N728" i="8"/>
  <c r="P435" i="8"/>
  <c r="N508" i="8"/>
  <c r="P595" i="8"/>
  <c r="P654" i="8"/>
  <c r="N663" i="8"/>
  <c r="N672" i="8"/>
  <c r="T24" i="8"/>
  <c r="P16" i="8"/>
  <c r="N31" i="8"/>
  <c r="N204" i="8"/>
  <c r="P269" i="8"/>
  <c r="P319" i="8"/>
  <c r="N415" i="8"/>
  <c r="P432" i="8"/>
  <c r="O447" i="8"/>
  <c r="N487" i="8"/>
  <c r="O510" i="8"/>
  <c r="N693" i="8"/>
  <c r="N737" i="8"/>
  <c r="N28" i="8"/>
  <c r="P48" i="8"/>
  <c r="P97" i="8"/>
  <c r="N188" i="8"/>
  <c r="P253" i="8"/>
  <c r="N287" i="8"/>
  <c r="O388" i="8"/>
  <c r="N660" i="8"/>
  <c r="N706" i="8"/>
  <c r="N55" i="8"/>
  <c r="N172" i="8"/>
  <c r="P296" i="8"/>
  <c r="N312" i="8"/>
  <c r="N471" i="8"/>
  <c r="P475" i="8"/>
  <c r="O517" i="8"/>
  <c r="N566" i="8"/>
  <c r="N593" i="8"/>
  <c r="N615" i="8"/>
  <c r="P98" i="8"/>
  <c r="N220" i="8"/>
  <c r="N276" i="8"/>
  <c r="N299" i="8"/>
  <c r="P326" i="8"/>
  <c r="P345" i="8"/>
  <c r="O377" i="8"/>
  <c r="N12" i="8"/>
  <c r="N33" i="8"/>
  <c r="P81" i="8"/>
  <c r="N77" i="8"/>
  <c r="N156" i="8"/>
  <c r="P221" i="8"/>
  <c r="N362" i="8"/>
  <c r="N519" i="8"/>
  <c r="N608" i="8"/>
  <c r="O702" i="8"/>
  <c r="U23" i="8"/>
  <c r="N140" i="8"/>
  <c r="P205" i="8"/>
  <c r="P351" i="8"/>
  <c r="N448" i="8"/>
  <c r="O542" i="8"/>
  <c r="P680" i="8"/>
  <c r="O699" i="8"/>
  <c r="N70" i="8"/>
  <c r="P70" i="8"/>
  <c r="O70" i="8"/>
  <c r="P134" i="8"/>
  <c r="O134" i="8"/>
  <c r="N134" i="8"/>
  <c r="P150" i="8"/>
  <c r="O150" i="8"/>
  <c r="N150" i="8"/>
  <c r="P166" i="8"/>
  <c r="O166" i="8"/>
  <c r="N166" i="8"/>
  <c r="P198" i="8"/>
  <c r="O198" i="8"/>
  <c r="N198" i="8"/>
  <c r="P214" i="8"/>
  <c r="O214" i="8"/>
  <c r="N214" i="8"/>
  <c r="P246" i="8"/>
  <c r="O246" i="8"/>
  <c r="N246" i="8"/>
  <c r="P262" i="8"/>
  <c r="O262" i="8"/>
  <c r="N262" i="8"/>
  <c r="P306" i="8"/>
  <c r="O306" i="8"/>
  <c r="N306" i="8"/>
  <c r="N348" i="8"/>
  <c r="O348" i="8"/>
  <c r="P348" i="8"/>
  <c r="O403" i="8"/>
  <c r="N403" i="8"/>
  <c r="P403" i="8"/>
  <c r="P483" i="8"/>
  <c r="O483" i="8"/>
  <c r="N483" i="8"/>
  <c r="O520" i="8"/>
  <c r="N520" i="8"/>
  <c r="P524" i="8"/>
  <c r="O524" i="8"/>
  <c r="N524" i="8"/>
  <c r="N543" i="8"/>
  <c r="P543" i="8"/>
  <c r="O543" i="8"/>
  <c r="P745" i="8"/>
  <c r="O745" i="8"/>
  <c r="N745" i="8"/>
  <c r="V25" i="8"/>
  <c r="V26" i="8" s="1"/>
  <c r="N4" i="8"/>
  <c r="P4" i="8"/>
  <c r="O4" i="8"/>
  <c r="U80" i="8"/>
  <c r="U81" i="8"/>
  <c r="V23" i="8"/>
  <c r="W15" i="8"/>
  <c r="W13" i="8"/>
  <c r="T59" i="8" s="1"/>
  <c r="O17" i="8"/>
  <c r="N17" i="8"/>
  <c r="P17" i="8"/>
  <c r="N65" i="8"/>
  <c r="P303" i="8"/>
  <c r="N303" i="8"/>
  <c r="O303" i="8"/>
  <c r="O369" i="8"/>
  <c r="N369" i="8"/>
  <c r="P369" i="8"/>
  <c r="P398" i="8"/>
  <c r="N398" i="8"/>
  <c r="O398" i="8"/>
  <c r="P8" i="8"/>
  <c r="O8" i="8"/>
  <c r="O25" i="8"/>
  <c r="N25" i="8"/>
  <c r="P25" i="8"/>
  <c r="O54" i="8"/>
  <c r="P54" i="8"/>
  <c r="N54" i="8"/>
  <c r="P76" i="8"/>
  <c r="O76" i="8"/>
  <c r="N76" i="8"/>
  <c r="P336" i="8"/>
  <c r="O336" i="8"/>
  <c r="O343" i="8"/>
  <c r="N343" i="8"/>
  <c r="P343" i="8"/>
  <c r="N400" i="8"/>
  <c r="O400" i="8"/>
  <c r="P480" i="8"/>
  <c r="O480" i="8"/>
  <c r="N480" i="8"/>
  <c r="P520" i="8"/>
  <c r="P597" i="8"/>
  <c r="O597" i="8"/>
  <c r="N597" i="8"/>
  <c r="P599" i="8"/>
  <c r="O599" i="8"/>
  <c r="N599" i="8"/>
  <c r="P601" i="8"/>
  <c r="O601" i="8"/>
  <c r="N601" i="8"/>
  <c r="O602" i="8"/>
  <c r="P717" i="8"/>
  <c r="O717" i="8"/>
  <c r="N717" i="8"/>
  <c r="P719" i="8"/>
  <c r="O719" i="8"/>
  <c r="N719" i="8"/>
  <c r="W18" i="8"/>
  <c r="X18" i="8" s="1"/>
  <c r="W77" i="8"/>
  <c r="S81" i="8"/>
  <c r="O22" i="8"/>
  <c r="N22" i="8"/>
  <c r="P22" i="8"/>
  <c r="T23" i="8"/>
  <c r="O62" i="8"/>
  <c r="P73" i="8"/>
  <c r="N73" i="8"/>
  <c r="O73" i="8"/>
  <c r="O77" i="8"/>
  <c r="O108" i="8"/>
  <c r="N108" i="8"/>
  <c r="P108" i="8"/>
  <c r="N275" i="8"/>
  <c r="O275" i="8"/>
  <c r="P295" i="8"/>
  <c r="O295" i="8"/>
  <c r="N295" i="8"/>
  <c r="P333" i="8"/>
  <c r="O333" i="8"/>
  <c r="P364" i="8"/>
  <c r="O364" i="8"/>
  <c r="N364" i="8"/>
  <c r="P455" i="8"/>
  <c r="O455" i="8"/>
  <c r="N455" i="8"/>
  <c r="P712" i="8"/>
  <c r="O712" i="8"/>
  <c r="N712" i="8"/>
  <c r="N715" i="8"/>
  <c r="P6" i="8"/>
  <c r="N16" i="8"/>
  <c r="O335" i="8"/>
  <c r="N335" i="8"/>
  <c r="P335" i="8"/>
  <c r="W79" i="8"/>
  <c r="P90" i="8"/>
  <c r="N90" i="8"/>
  <c r="P144" i="8"/>
  <c r="O144" i="8"/>
  <c r="N144" i="8"/>
  <c r="P192" i="8"/>
  <c r="O192" i="8"/>
  <c r="N192" i="8"/>
  <c r="O208" i="8"/>
  <c r="P208" i="8"/>
  <c r="N208" i="8"/>
  <c r="P224" i="8"/>
  <c r="O224" i="8"/>
  <c r="N224" i="8"/>
  <c r="O256" i="8"/>
  <c r="P256" i="8"/>
  <c r="N256" i="8"/>
  <c r="O272" i="8"/>
  <c r="P272" i="8"/>
  <c r="N272" i="8"/>
  <c r="N333" i="8"/>
  <c r="N417" i="8"/>
  <c r="P417" i="8"/>
  <c r="O417" i="8"/>
  <c r="P488" i="8"/>
  <c r="O488" i="8"/>
  <c r="N488" i="8"/>
  <c r="P635" i="8"/>
  <c r="O635" i="8"/>
  <c r="N635" i="8"/>
  <c r="O644" i="8"/>
  <c r="N644" i="8"/>
  <c r="P644" i="8"/>
  <c r="P100" i="8"/>
  <c r="O100" i="8"/>
  <c r="P121" i="8"/>
  <c r="O121" i="8"/>
  <c r="N121" i="8"/>
  <c r="O123" i="8"/>
  <c r="N123" i="8"/>
  <c r="P123" i="8"/>
  <c r="P137" i="8"/>
  <c r="O137" i="8"/>
  <c r="N137" i="8"/>
  <c r="O139" i="8"/>
  <c r="N139" i="8"/>
  <c r="P139" i="8"/>
  <c r="P153" i="8"/>
  <c r="O153" i="8"/>
  <c r="N153" i="8"/>
  <c r="O155" i="8"/>
  <c r="N155" i="8"/>
  <c r="P155" i="8"/>
  <c r="O169" i="8"/>
  <c r="P169" i="8"/>
  <c r="N169" i="8"/>
  <c r="O171" i="8"/>
  <c r="N171" i="8"/>
  <c r="P171" i="8"/>
  <c r="P185" i="8"/>
  <c r="O185" i="8"/>
  <c r="N185" i="8"/>
  <c r="O187" i="8"/>
  <c r="N187" i="8"/>
  <c r="P187" i="8"/>
  <c r="O201" i="8"/>
  <c r="P201" i="8"/>
  <c r="N201" i="8"/>
  <c r="O203" i="8"/>
  <c r="N203" i="8"/>
  <c r="P203" i="8"/>
  <c r="O217" i="8"/>
  <c r="P217" i="8"/>
  <c r="N217" i="8"/>
  <c r="O219" i="8"/>
  <c r="N219" i="8"/>
  <c r="P219" i="8"/>
  <c r="P233" i="8"/>
  <c r="O233" i="8"/>
  <c r="N233" i="8"/>
  <c r="O235" i="8"/>
  <c r="N235" i="8"/>
  <c r="P235" i="8"/>
  <c r="P249" i="8"/>
  <c r="O249" i="8"/>
  <c r="N249" i="8"/>
  <c r="O251" i="8"/>
  <c r="N251" i="8"/>
  <c r="P251" i="8"/>
  <c r="P265" i="8"/>
  <c r="O265" i="8"/>
  <c r="N265" i="8"/>
  <c r="O267" i="8"/>
  <c r="N267" i="8"/>
  <c r="P267" i="8"/>
  <c r="P316" i="8"/>
  <c r="O316" i="8"/>
  <c r="N316" i="8"/>
  <c r="P318" i="8"/>
  <c r="O318" i="8"/>
  <c r="N318" i="8"/>
  <c r="O321" i="8"/>
  <c r="N321" i="8"/>
  <c r="P321" i="8"/>
  <c r="O379" i="8"/>
  <c r="N379" i="8"/>
  <c r="P379" i="8"/>
  <c r="P428" i="8"/>
  <c r="O428" i="8"/>
  <c r="N428" i="8"/>
  <c r="O490" i="8"/>
  <c r="P490" i="8"/>
  <c r="P531" i="8"/>
  <c r="O531" i="8"/>
  <c r="N531" i="8"/>
  <c r="P639" i="8"/>
  <c r="O639" i="8"/>
  <c r="P685" i="8"/>
  <c r="O685" i="8"/>
  <c r="N685" i="8"/>
  <c r="T58" i="8"/>
  <c r="V14" i="8"/>
  <c r="U24" i="8"/>
  <c r="P30" i="8"/>
  <c r="O30" i="8"/>
  <c r="N30" i="8"/>
  <c r="O48" i="8"/>
  <c r="N48" i="8"/>
  <c r="O57" i="8"/>
  <c r="N57" i="8"/>
  <c r="P57" i="8"/>
  <c r="P67" i="8"/>
  <c r="O67" i="8"/>
  <c r="N67" i="8"/>
  <c r="N311" i="8"/>
  <c r="O311" i="8"/>
  <c r="P604" i="8"/>
  <c r="O604" i="8"/>
  <c r="N604" i="8"/>
  <c r="N727" i="8"/>
  <c r="O727" i="8"/>
  <c r="P727" i="8"/>
  <c r="V77" i="8"/>
  <c r="W25" i="8"/>
  <c r="W26" i="8" s="1"/>
  <c r="V79" i="8"/>
  <c r="S80" i="8"/>
  <c r="W16" i="8"/>
  <c r="V81" i="8"/>
  <c r="W23" i="8"/>
  <c r="V80" i="8"/>
  <c r="P52" i="8"/>
  <c r="O52" i="8"/>
  <c r="N52" i="8"/>
  <c r="P64" i="8"/>
  <c r="O64" i="8"/>
  <c r="N64" i="8"/>
  <c r="P79" i="8"/>
  <c r="N79" i="8"/>
  <c r="O79" i="8"/>
  <c r="P96" i="8"/>
  <c r="O96" i="8"/>
  <c r="N96" i="8"/>
  <c r="P301" i="8"/>
  <c r="N301" i="8"/>
  <c r="O301" i="8"/>
  <c r="W27" i="8"/>
  <c r="P71" i="8"/>
  <c r="O71" i="8"/>
  <c r="N74" i="8"/>
  <c r="P93" i="8"/>
  <c r="O93" i="8"/>
  <c r="N93" i="8"/>
  <c r="X27" i="8"/>
  <c r="O74" i="8"/>
  <c r="N296" i="8"/>
  <c r="O299" i="8"/>
  <c r="O457" i="8"/>
  <c r="N457" i="8"/>
  <c r="P457" i="8"/>
  <c r="N714" i="8"/>
  <c r="O714" i="8"/>
  <c r="P714" i="8"/>
  <c r="P105" i="8"/>
  <c r="N105" i="8"/>
  <c r="O105" i="8"/>
  <c r="P424" i="8"/>
  <c r="O424" i="8"/>
  <c r="N424" i="8"/>
  <c r="P477" i="8"/>
  <c r="O477" i="8"/>
  <c r="N477" i="8"/>
  <c r="P505" i="8"/>
  <c r="O505" i="8"/>
  <c r="N505" i="8"/>
  <c r="P553" i="8"/>
  <c r="O553" i="8"/>
  <c r="N553" i="8"/>
  <c r="N562" i="8"/>
  <c r="P562" i="8"/>
  <c r="O562" i="8"/>
  <c r="P695" i="8"/>
  <c r="O695" i="8"/>
  <c r="N695" i="8"/>
  <c r="N8" i="8"/>
  <c r="P24" i="8"/>
  <c r="O24" i="8"/>
  <c r="P95" i="8"/>
  <c r="N95" i="8"/>
  <c r="O95" i="8"/>
  <c r="O655" i="8"/>
  <c r="N655" i="8"/>
  <c r="P655" i="8"/>
  <c r="O13" i="8"/>
  <c r="O128" i="8"/>
  <c r="N128" i="8"/>
  <c r="P128" i="8"/>
  <c r="N160" i="8"/>
  <c r="P160" i="8"/>
  <c r="O160" i="8"/>
  <c r="N176" i="8"/>
  <c r="O176" i="8"/>
  <c r="P176" i="8"/>
  <c r="O240" i="8"/>
  <c r="P240" i="8"/>
  <c r="N240" i="8"/>
  <c r="P332" i="8"/>
  <c r="O332" i="8"/>
  <c r="N332" i="8"/>
  <c r="P356" i="8"/>
  <c r="O356" i="8"/>
  <c r="N356" i="8"/>
  <c r="P641" i="8"/>
  <c r="O641" i="8"/>
  <c r="N641" i="8"/>
  <c r="N662" i="8"/>
  <c r="P662" i="8"/>
  <c r="O662" i="8"/>
  <c r="P690" i="8"/>
  <c r="O690" i="8"/>
  <c r="P13" i="8"/>
  <c r="P18" i="8"/>
  <c r="O18" i="8"/>
  <c r="N18" i="8"/>
  <c r="O37" i="8"/>
  <c r="N37" i="8"/>
  <c r="N40" i="8"/>
  <c r="P40" i="8"/>
  <c r="O40" i="8"/>
  <c r="O46" i="8"/>
  <c r="P46" i="8"/>
  <c r="N46" i="8"/>
  <c r="N71" i="8"/>
  <c r="P80" i="8"/>
  <c r="O80" i="8"/>
  <c r="N80" i="8"/>
  <c r="V15" i="8"/>
  <c r="X15" i="8" s="1"/>
  <c r="AA16" i="8"/>
  <c r="S38" i="8" s="1"/>
  <c r="P26" i="8"/>
  <c r="O26" i="8"/>
  <c r="N26" i="8"/>
  <c r="P51" i="8"/>
  <c r="O51" i="8"/>
  <c r="N51" i="8"/>
  <c r="P60" i="8"/>
  <c r="O60" i="8"/>
  <c r="N60" i="8"/>
  <c r="P87" i="8"/>
  <c r="N87" i="8"/>
  <c r="O87" i="8"/>
  <c r="N88" i="8"/>
  <c r="P102" i="8"/>
  <c r="O102" i="8"/>
  <c r="N102" i="8"/>
  <c r="O114" i="8"/>
  <c r="P114" i="8"/>
  <c r="N114" i="8"/>
  <c r="P285" i="8"/>
  <c r="O285" i="8"/>
  <c r="N285" i="8"/>
  <c r="O361" i="8"/>
  <c r="N361" i="8"/>
  <c r="P361" i="8"/>
  <c r="P374" i="8"/>
  <c r="O374" i="8"/>
  <c r="N374" i="8"/>
  <c r="P376" i="8"/>
  <c r="O376" i="8"/>
  <c r="N376" i="8"/>
  <c r="N377" i="8"/>
  <c r="P421" i="8"/>
  <c r="O421" i="8"/>
  <c r="N421" i="8"/>
  <c r="O422" i="8"/>
  <c r="N485" i="8"/>
  <c r="P485" i="8"/>
  <c r="O485" i="8"/>
  <c r="N526" i="8"/>
  <c r="P526" i="8"/>
  <c r="O526" i="8"/>
  <c r="P657" i="8"/>
  <c r="O657" i="8"/>
  <c r="N657" i="8"/>
  <c r="P659" i="8"/>
  <c r="O659" i="8"/>
  <c r="N659" i="8"/>
  <c r="N89" i="8"/>
  <c r="P89" i="8"/>
  <c r="O89" i="8"/>
  <c r="P109" i="8"/>
  <c r="O109" i="8"/>
  <c r="N109" i="8"/>
  <c r="P118" i="8"/>
  <c r="O118" i="8"/>
  <c r="N118" i="8"/>
  <c r="P182" i="8"/>
  <c r="O182" i="8"/>
  <c r="N182" i="8"/>
  <c r="P230" i="8"/>
  <c r="O230" i="8"/>
  <c r="N230" i="8"/>
  <c r="N381" i="8"/>
  <c r="O381" i="8"/>
  <c r="P381" i="8"/>
  <c r="W78" i="8"/>
  <c r="N84" i="8"/>
  <c r="O84" i="8"/>
  <c r="O280" i="8"/>
  <c r="P280" i="8"/>
  <c r="N280" i="8"/>
  <c r="P282" i="8"/>
  <c r="O282" i="8"/>
  <c r="N282" i="8"/>
  <c r="P412" i="8"/>
  <c r="O412" i="8"/>
  <c r="N412" i="8"/>
  <c r="P512" i="8"/>
  <c r="N512" i="8"/>
  <c r="O512" i="8"/>
  <c r="V27" i="8"/>
  <c r="O45" i="8"/>
  <c r="N45" i="8"/>
  <c r="P45" i="8"/>
  <c r="N62" i="8"/>
  <c r="O86" i="8"/>
  <c r="N86" i="8"/>
  <c r="P86" i="8"/>
  <c r="P126" i="8"/>
  <c r="O126" i="8"/>
  <c r="N126" i="8"/>
  <c r="O131" i="8"/>
  <c r="P131" i="8"/>
  <c r="N131" i="8"/>
  <c r="P142" i="8"/>
  <c r="O142" i="8"/>
  <c r="N142" i="8"/>
  <c r="N147" i="8"/>
  <c r="P147" i="8"/>
  <c r="O147" i="8"/>
  <c r="P158" i="8"/>
  <c r="O158" i="8"/>
  <c r="N158" i="8"/>
  <c r="N163" i="8"/>
  <c r="P163" i="8"/>
  <c r="O163" i="8"/>
  <c r="P174" i="8"/>
  <c r="O174" i="8"/>
  <c r="N174" i="8"/>
  <c r="O179" i="8"/>
  <c r="N179" i="8"/>
  <c r="P179" i="8"/>
  <c r="P190" i="8"/>
  <c r="O190" i="8"/>
  <c r="N190" i="8"/>
  <c r="N195" i="8"/>
  <c r="P195" i="8"/>
  <c r="O195" i="8"/>
  <c r="P206" i="8"/>
  <c r="O206" i="8"/>
  <c r="N206" i="8"/>
  <c r="O211" i="8"/>
  <c r="N211" i="8"/>
  <c r="P211" i="8"/>
  <c r="P222" i="8"/>
  <c r="O222" i="8"/>
  <c r="N222" i="8"/>
  <c r="P227" i="8"/>
  <c r="O227" i="8"/>
  <c r="N227" i="8"/>
  <c r="P238" i="8"/>
  <c r="O238" i="8"/>
  <c r="N238" i="8"/>
  <c r="O243" i="8"/>
  <c r="N243" i="8"/>
  <c r="P243" i="8"/>
  <c r="P254" i="8"/>
  <c r="O254" i="8"/>
  <c r="N254" i="8"/>
  <c r="O259" i="8"/>
  <c r="N259" i="8"/>
  <c r="P259" i="8"/>
  <c r="P270" i="8"/>
  <c r="O270" i="8"/>
  <c r="N270" i="8"/>
  <c r="P298" i="8"/>
  <c r="O298" i="8"/>
  <c r="N298" i="8"/>
  <c r="N308" i="8"/>
  <c r="O308" i="8"/>
  <c r="P308" i="8"/>
  <c r="N338" i="8"/>
  <c r="P338" i="8"/>
  <c r="O338" i="8"/>
  <c r="N507" i="8"/>
  <c r="P507" i="8"/>
  <c r="O507" i="8"/>
  <c r="P565" i="8"/>
  <c r="N565" i="8"/>
  <c r="O565" i="8"/>
  <c r="N578" i="8"/>
  <c r="P578" i="8"/>
  <c r="O578" i="8"/>
  <c r="P583" i="8"/>
  <c r="O583" i="8"/>
  <c r="N583" i="8"/>
  <c r="O10" i="8"/>
  <c r="N10" i="8"/>
  <c r="P10" i="8"/>
  <c r="P29" i="8"/>
  <c r="O29" i="8"/>
  <c r="N29" i="8"/>
  <c r="P61" i="8"/>
  <c r="O61" i="8"/>
  <c r="N61" i="8"/>
  <c r="P5" i="8"/>
  <c r="O5" i="8"/>
  <c r="P19" i="8"/>
  <c r="O19" i="8"/>
  <c r="N19" i="8"/>
  <c r="P38" i="8"/>
  <c r="O38" i="8"/>
  <c r="N38" i="8"/>
  <c r="N106" i="8"/>
  <c r="P115" i="8"/>
  <c r="N115" i="8"/>
  <c r="O115" i="8"/>
  <c r="O296" i="8"/>
  <c r="N336" i="8"/>
  <c r="P393" i="8"/>
  <c r="O393" i="8"/>
  <c r="N393" i="8"/>
  <c r="N558" i="8"/>
  <c r="O558" i="8"/>
  <c r="P558" i="8"/>
  <c r="P665" i="8"/>
  <c r="O665" i="8"/>
  <c r="N665" i="8"/>
  <c r="P7" i="8"/>
  <c r="O7" i="8"/>
  <c r="N7" i="8"/>
  <c r="O16" i="8"/>
  <c r="P27" i="8"/>
  <c r="O27" i="8"/>
  <c r="N27" i="8"/>
  <c r="O49" i="8"/>
  <c r="N49" i="8"/>
  <c r="P49" i="8"/>
  <c r="O58" i="8"/>
  <c r="P58" i="8"/>
  <c r="N58" i="8"/>
  <c r="P68" i="8"/>
  <c r="O68" i="8"/>
  <c r="N68" i="8"/>
  <c r="P450" i="8"/>
  <c r="O450" i="8"/>
  <c r="P502" i="8"/>
  <c r="O502" i="8"/>
  <c r="O546" i="8"/>
  <c r="P546" i="8"/>
  <c r="P660" i="8"/>
  <c r="O660" i="8"/>
  <c r="P667" i="8"/>
  <c r="O667" i="8"/>
  <c r="N667" i="8"/>
  <c r="N5" i="8"/>
  <c r="P11" i="8"/>
  <c r="O11" i="8"/>
  <c r="N11" i="8"/>
  <c r="AA14" i="8"/>
  <c r="S36" i="8" s="1"/>
  <c r="AA15" i="8"/>
  <c r="S37" i="8" s="1"/>
  <c r="O34" i="8"/>
  <c r="N34" i="8"/>
  <c r="P34" i="8"/>
  <c r="N35" i="8"/>
  <c r="N41" i="8"/>
  <c r="P41" i="8"/>
  <c r="O41" i="8"/>
  <c r="P55" i="8"/>
  <c r="O55" i="8"/>
  <c r="P346" i="8"/>
  <c r="O346" i="8"/>
  <c r="N346" i="8"/>
  <c r="P632" i="8"/>
  <c r="O632" i="8"/>
  <c r="N632" i="8"/>
  <c r="N634" i="8"/>
  <c r="P634" i="8"/>
  <c r="O634" i="8"/>
  <c r="N638" i="8"/>
  <c r="P638" i="8"/>
  <c r="O638" i="8"/>
  <c r="N639" i="8"/>
  <c r="P277" i="8"/>
  <c r="N277" i="8"/>
  <c r="O277" i="8"/>
  <c r="P313" i="8"/>
  <c r="N313" i="8"/>
  <c r="O313" i="8"/>
  <c r="P315" i="8"/>
  <c r="N315" i="8"/>
  <c r="P366" i="8"/>
  <c r="O366" i="8"/>
  <c r="N366" i="8"/>
  <c r="O395" i="8"/>
  <c r="N395" i="8"/>
  <c r="P395" i="8"/>
  <c r="N414" i="8"/>
  <c r="P414" i="8"/>
  <c r="O414" i="8"/>
  <c r="O419" i="8"/>
  <c r="N419" i="8"/>
  <c r="O468" i="8"/>
  <c r="N468" i="8"/>
  <c r="P479" i="8"/>
  <c r="O479" i="8"/>
  <c r="N479" i="8"/>
  <c r="P521" i="8"/>
  <c r="O521" i="8"/>
  <c r="P573" i="8"/>
  <c r="O573" i="8"/>
  <c r="N573" i="8"/>
  <c r="P619" i="8"/>
  <c r="O619" i="8"/>
  <c r="N619" i="8"/>
  <c r="O636" i="8"/>
  <c r="N636" i="8"/>
  <c r="P636" i="8"/>
  <c r="P704" i="8"/>
  <c r="N704" i="8"/>
  <c r="O704" i="8"/>
  <c r="P711" i="8"/>
  <c r="O711" i="8"/>
  <c r="P731" i="8"/>
  <c r="O731" i="8"/>
  <c r="N731" i="8"/>
  <c r="P742" i="8"/>
  <c r="O742" i="8"/>
  <c r="W17" i="8"/>
  <c r="P83" i="8"/>
  <c r="N83" i="8"/>
  <c r="O83" i="8"/>
  <c r="O127" i="8"/>
  <c r="P127" i="8"/>
  <c r="O143" i="8"/>
  <c r="P143" i="8"/>
  <c r="O92" i="8"/>
  <c r="N92" i="8"/>
  <c r="O149" i="8"/>
  <c r="N149" i="8"/>
  <c r="P162" i="8"/>
  <c r="O162" i="8"/>
  <c r="N162" i="8"/>
  <c r="P178" i="8"/>
  <c r="O178" i="8"/>
  <c r="N178" i="8"/>
  <c r="O197" i="8"/>
  <c r="N197" i="8"/>
  <c r="O213" i="8"/>
  <c r="N213" i="8"/>
  <c r="O245" i="8"/>
  <c r="N245" i="8"/>
  <c r="P310" i="8"/>
  <c r="O310" i="8"/>
  <c r="N310" i="8"/>
  <c r="N411" i="8"/>
  <c r="P411" i="8"/>
  <c r="O411" i="8"/>
  <c r="P494" i="8"/>
  <c r="O494" i="8"/>
  <c r="P88" i="8"/>
  <c r="O120" i="8"/>
  <c r="N120" i="8"/>
  <c r="O168" i="8"/>
  <c r="N168" i="8"/>
  <c r="O184" i="8"/>
  <c r="N184" i="8"/>
  <c r="O216" i="8"/>
  <c r="N216" i="8"/>
  <c r="O232" i="8"/>
  <c r="N232" i="8"/>
  <c r="O264" i="8"/>
  <c r="N264" i="8"/>
  <c r="P322" i="8"/>
  <c r="O322" i="8"/>
  <c r="P329" i="8"/>
  <c r="N329" i="8"/>
  <c r="O329" i="8"/>
  <c r="P468" i="8"/>
  <c r="O561" i="8"/>
  <c r="N561" i="8"/>
  <c r="P561" i="8"/>
  <c r="N570" i="8"/>
  <c r="O570" i="8"/>
  <c r="P570" i="8"/>
  <c r="N571" i="8"/>
  <c r="O575" i="8"/>
  <c r="N575" i="8"/>
  <c r="P575" i="8"/>
  <c r="O596" i="8"/>
  <c r="N596" i="8"/>
  <c r="P613" i="8"/>
  <c r="O613" i="8"/>
  <c r="N613" i="8"/>
  <c r="P624" i="8"/>
  <c r="O624" i="8"/>
  <c r="P676" i="8"/>
  <c r="O676" i="8"/>
  <c r="N676" i="8"/>
  <c r="P689" i="8"/>
  <c r="O689" i="8"/>
  <c r="N689" i="8"/>
  <c r="N730" i="8"/>
  <c r="O730" i="8"/>
  <c r="P730" i="8"/>
  <c r="P741" i="8"/>
  <c r="N741" i="8"/>
  <c r="V16" i="8"/>
  <c r="O53" i="8"/>
  <c r="N53" i="8"/>
  <c r="W81" i="8"/>
  <c r="N98" i="8"/>
  <c r="O111" i="8"/>
  <c r="N125" i="8"/>
  <c r="N141" i="8"/>
  <c r="N157" i="8"/>
  <c r="N173" i="8"/>
  <c r="N189" i="8"/>
  <c r="N205" i="8"/>
  <c r="N221" i="8"/>
  <c r="N237" i="8"/>
  <c r="N253" i="8"/>
  <c r="N269" i="8"/>
  <c r="P289" i="8"/>
  <c r="O289" i="8"/>
  <c r="N289" i="8"/>
  <c r="P291" i="8"/>
  <c r="N291" i="8"/>
  <c r="O331" i="8"/>
  <c r="N331" i="8"/>
  <c r="P357" i="8"/>
  <c r="O357" i="8"/>
  <c r="O387" i="8"/>
  <c r="N387" i="8"/>
  <c r="P387" i="8"/>
  <c r="N388" i="8"/>
  <c r="P406" i="8"/>
  <c r="O406" i="8"/>
  <c r="N406" i="8"/>
  <c r="N465" i="8"/>
  <c r="P465" i="8"/>
  <c r="N626" i="8"/>
  <c r="P626" i="8"/>
  <c r="O626" i="8"/>
  <c r="P668" i="8"/>
  <c r="O668" i="8"/>
  <c r="N668" i="8"/>
  <c r="P682" i="8"/>
  <c r="O682" i="8"/>
  <c r="O732" i="8"/>
  <c r="N732" i="8"/>
  <c r="N482" i="8"/>
  <c r="P482" i="8"/>
  <c r="O482" i="8"/>
  <c r="P159" i="8"/>
  <c r="O159" i="8"/>
  <c r="P191" i="8"/>
  <c r="O191" i="8"/>
  <c r="O207" i="8"/>
  <c r="P207" i="8"/>
  <c r="P223" i="8"/>
  <c r="O223" i="8"/>
  <c r="O239" i="8"/>
  <c r="P239" i="8"/>
  <c r="P255" i="8"/>
  <c r="O255" i="8"/>
  <c r="P271" i="8"/>
  <c r="O271" i="8"/>
  <c r="P307" i="8"/>
  <c r="O307" i="8"/>
  <c r="P325" i="8"/>
  <c r="O325" i="8"/>
  <c r="N325" i="8"/>
  <c r="P352" i="8"/>
  <c r="O352" i="8"/>
  <c r="N352" i="8"/>
  <c r="P360" i="8"/>
  <c r="O360" i="8"/>
  <c r="O368" i="8"/>
  <c r="N368" i="8"/>
  <c r="P390" i="8"/>
  <c r="O390" i="8"/>
  <c r="N390" i="8"/>
  <c r="O463" i="8"/>
  <c r="N463" i="8"/>
  <c r="P463" i="8"/>
  <c r="P501" i="8"/>
  <c r="O501" i="8"/>
  <c r="N501" i="8"/>
  <c r="P504" i="8"/>
  <c r="O504" i="8"/>
  <c r="N504" i="8"/>
  <c r="N509" i="8"/>
  <c r="P509" i="8"/>
  <c r="O509" i="8"/>
  <c r="O627" i="8"/>
  <c r="P627" i="8"/>
  <c r="P687" i="8"/>
  <c r="O687" i="8"/>
  <c r="N687" i="8"/>
  <c r="P42" i="8"/>
  <c r="O42" i="8"/>
  <c r="N42" i="8"/>
  <c r="O78" i="8"/>
  <c r="P78" i="8"/>
  <c r="O101" i="8"/>
  <c r="P101" i="8"/>
  <c r="N101" i="8"/>
  <c r="N104" i="8"/>
  <c r="P104" i="8"/>
  <c r="O104" i="8"/>
  <c r="P113" i="8"/>
  <c r="N113" i="8"/>
  <c r="O113" i="8"/>
  <c r="N117" i="8"/>
  <c r="P117" i="8"/>
  <c r="O117" i="8"/>
  <c r="O133" i="8"/>
  <c r="N133" i="8"/>
  <c r="O165" i="8"/>
  <c r="N165" i="8"/>
  <c r="P194" i="8"/>
  <c r="O194" i="8"/>
  <c r="N194" i="8"/>
  <c r="O229" i="8"/>
  <c r="N229" i="8"/>
  <c r="O292" i="8"/>
  <c r="P292" i="8"/>
  <c r="P409" i="8"/>
  <c r="O409" i="8"/>
  <c r="N496" i="8"/>
  <c r="P496" i="8"/>
  <c r="P744" i="8"/>
  <c r="O744" i="8"/>
  <c r="N744" i="8"/>
  <c r="N111" i="8"/>
  <c r="O136" i="8"/>
  <c r="N136" i="8"/>
  <c r="O152" i="8"/>
  <c r="N152" i="8"/>
  <c r="O200" i="8"/>
  <c r="N200" i="8"/>
  <c r="O248" i="8"/>
  <c r="N248" i="8"/>
  <c r="P294" i="8"/>
  <c r="O294" i="8"/>
  <c r="N294" i="8"/>
  <c r="N21" i="8"/>
  <c r="P23" i="8"/>
  <c r="O23" i="8"/>
  <c r="N23" i="8"/>
  <c r="Z23" i="8"/>
  <c r="P65" i="8"/>
  <c r="P77" i="8"/>
  <c r="W80" i="8"/>
  <c r="O98" i="8"/>
  <c r="O125" i="8"/>
  <c r="O141" i="8"/>
  <c r="O157" i="8"/>
  <c r="O173" i="8"/>
  <c r="O189" i="8"/>
  <c r="O205" i="8"/>
  <c r="O221" i="8"/>
  <c r="O237" i="8"/>
  <c r="O253" i="8"/>
  <c r="O269" i="8"/>
  <c r="P283" i="8"/>
  <c r="O283" i="8"/>
  <c r="N292" i="8"/>
  <c r="O319" i="8"/>
  <c r="N319" i="8"/>
  <c r="N324" i="8"/>
  <c r="O324" i="8"/>
  <c r="P324" i="8"/>
  <c r="P377" i="8"/>
  <c r="P382" i="8"/>
  <c r="N382" i="8"/>
  <c r="O382" i="8"/>
  <c r="P408" i="8"/>
  <c r="N408" i="8"/>
  <c r="O408" i="8"/>
  <c r="N409" i="8"/>
  <c r="P416" i="8"/>
  <c r="O416" i="8"/>
  <c r="N416" i="8"/>
  <c r="N434" i="8"/>
  <c r="P434" i="8"/>
  <c r="O434" i="8"/>
  <c r="P458" i="8"/>
  <c r="O458" i="8"/>
  <c r="P460" i="8"/>
  <c r="O460" i="8"/>
  <c r="N460" i="8"/>
  <c r="P529" i="8"/>
  <c r="P540" i="8"/>
  <c r="O540" i="8"/>
  <c r="N540" i="8"/>
  <c r="P556" i="8"/>
  <c r="O556" i="8"/>
  <c r="N556" i="8"/>
  <c r="P567" i="8"/>
  <c r="O567" i="8"/>
  <c r="N567" i="8"/>
  <c r="N610" i="8"/>
  <c r="P610" i="8"/>
  <c r="O610" i="8"/>
  <c r="N614" i="8"/>
  <c r="O614" i="8"/>
  <c r="P614" i="8"/>
  <c r="P623" i="8"/>
  <c r="N623" i="8"/>
  <c r="N675" i="8"/>
  <c r="P675" i="8"/>
  <c r="P696" i="8"/>
  <c r="O696" i="8"/>
  <c r="N696" i="8"/>
  <c r="P279" i="8"/>
  <c r="N279" i="8"/>
  <c r="O363" i="8"/>
  <c r="N363" i="8"/>
  <c r="P363" i="8"/>
  <c r="O175" i="8"/>
  <c r="P175" i="8"/>
  <c r="P130" i="8"/>
  <c r="O130" i="8"/>
  <c r="N130" i="8"/>
  <c r="P146" i="8"/>
  <c r="O146" i="8"/>
  <c r="N146" i="8"/>
  <c r="O181" i="8"/>
  <c r="N181" i="8"/>
  <c r="P210" i="8"/>
  <c r="O210" i="8"/>
  <c r="N210" i="8"/>
  <c r="P226" i="8"/>
  <c r="O226" i="8"/>
  <c r="N226" i="8"/>
  <c r="P242" i="8"/>
  <c r="O242" i="8"/>
  <c r="N242" i="8"/>
  <c r="P258" i="8"/>
  <c r="O258" i="8"/>
  <c r="N258" i="8"/>
  <c r="O261" i="8"/>
  <c r="N261" i="8"/>
  <c r="P274" i="8"/>
  <c r="O274" i="8"/>
  <c r="N274" i="8"/>
  <c r="P392" i="8"/>
  <c r="N392" i="8"/>
  <c r="O392" i="8"/>
  <c r="O472" i="8"/>
  <c r="P472" i="8"/>
  <c r="N474" i="8"/>
  <c r="O474" i="8"/>
  <c r="P474" i="8"/>
  <c r="N629" i="8"/>
  <c r="P629" i="8"/>
  <c r="O629" i="8"/>
  <c r="O692" i="8"/>
  <c r="N692" i="8"/>
  <c r="P692" i="8"/>
  <c r="P709" i="8"/>
  <c r="O709" i="8"/>
  <c r="N709" i="8"/>
  <c r="P739" i="8"/>
  <c r="O739" i="8"/>
  <c r="N739" i="8"/>
  <c r="O6" i="8"/>
  <c r="N6" i="8"/>
  <c r="P15" i="8"/>
  <c r="O15" i="8"/>
  <c r="X23" i="8"/>
  <c r="O50" i="8"/>
  <c r="P50" i="8"/>
  <c r="P72" i="8"/>
  <c r="O72" i="8"/>
  <c r="N72" i="8"/>
  <c r="V17" i="8"/>
  <c r="X25" i="8"/>
  <c r="X26" i="8" s="1"/>
  <c r="P35" i="8"/>
  <c r="O81" i="8"/>
  <c r="N81" i="8"/>
  <c r="N100" i="8"/>
  <c r="P112" i="8"/>
  <c r="N112" i="8"/>
  <c r="P120" i="8"/>
  <c r="O124" i="8"/>
  <c r="P124" i="8"/>
  <c r="P136" i="8"/>
  <c r="P140" i="8"/>
  <c r="O140" i="8"/>
  <c r="P152" i="8"/>
  <c r="P156" i="8"/>
  <c r="O156" i="8"/>
  <c r="P168" i="8"/>
  <c r="O172" i="8"/>
  <c r="P172" i="8"/>
  <c r="P184" i="8"/>
  <c r="P188" i="8"/>
  <c r="O188" i="8"/>
  <c r="P200" i="8"/>
  <c r="O204" i="8"/>
  <c r="P204" i="8"/>
  <c r="P216" i="8"/>
  <c r="O220" i="8"/>
  <c r="P220" i="8"/>
  <c r="P232" i="8"/>
  <c r="P236" i="8"/>
  <c r="O236" i="8"/>
  <c r="P248" i="8"/>
  <c r="P252" i="8"/>
  <c r="O252" i="8"/>
  <c r="P264" i="8"/>
  <c r="P268" i="8"/>
  <c r="O268" i="8"/>
  <c r="O279" i="8"/>
  <c r="P286" i="8"/>
  <c r="O286" i="8"/>
  <c r="N286" i="8"/>
  <c r="P304" i="8"/>
  <c r="O304" i="8"/>
  <c r="O315" i="8"/>
  <c r="O326" i="8"/>
  <c r="N326" i="8"/>
  <c r="P349" i="8"/>
  <c r="O349" i="8"/>
  <c r="N349" i="8"/>
  <c r="O359" i="8"/>
  <c r="N359" i="8"/>
  <c r="P359" i="8"/>
  <c r="N360" i="8"/>
  <c r="N384" i="8"/>
  <c r="O397" i="8"/>
  <c r="P431" i="8"/>
  <c r="O431" i="8"/>
  <c r="N431" i="8"/>
  <c r="O453" i="8"/>
  <c r="N453" i="8"/>
  <c r="N521" i="8"/>
  <c r="N534" i="8"/>
  <c r="P534" i="8"/>
  <c r="O534" i="8"/>
  <c r="O537" i="8"/>
  <c r="N537" i="8"/>
  <c r="P537" i="8"/>
  <c r="O591" i="8"/>
  <c r="N591" i="8"/>
  <c r="P594" i="8"/>
  <c r="O594" i="8"/>
  <c r="O607" i="8"/>
  <c r="N607" i="8"/>
  <c r="P607" i="8"/>
  <c r="P612" i="8"/>
  <c r="O612" i="8"/>
  <c r="N612" i="8"/>
  <c r="N624" i="8"/>
  <c r="P677" i="8"/>
  <c r="O677" i="8"/>
  <c r="N680" i="8"/>
  <c r="N711" i="8"/>
  <c r="P720" i="8"/>
  <c r="O720" i="8"/>
  <c r="N720" i="8"/>
  <c r="P328" i="8"/>
  <c r="O328" i="8"/>
  <c r="N328" i="8"/>
  <c r="P370" i="8"/>
  <c r="O370" i="8"/>
  <c r="P423" i="8"/>
  <c r="O423" i="8"/>
  <c r="N423" i="8"/>
  <c r="P443" i="8"/>
  <c r="O443" i="8"/>
  <c r="N443" i="8"/>
  <c r="P476" i="8"/>
  <c r="O476" i="8"/>
  <c r="N476" i="8"/>
  <c r="P550" i="8"/>
  <c r="O550" i="8"/>
  <c r="P650" i="8"/>
  <c r="O650" i="8"/>
  <c r="N701" i="8"/>
  <c r="P701" i="8"/>
  <c r="U25" i="8"/>
  <c r="U26" i="8" s="1"/>
  <c r="P275" i="8"/>
  <c r="P287" i="8"/>
  <c r="P299" i="8"/>
  <c r="P311" i="8"/>
  <c r="O367" i="8"/>
  <c r="N367" i="8"/>
  <c r="N466" i="8"/>
  <c r="P466" i="8"/>
  <c r="O466" i="8"/>
  <c r="P493" i="8"/>
  <c r="O493" i="8"/>
  <c r="N493" i="8"/>
  <c r="P498" i="8"/>
  <c r="O498" i="8"/>
  <c r="N518" i="8"/>
  <c r="P518" i="8"/>
  <c r="O523" i="8"/>
  <c r="N523" i="8"/>
  <c r="P564" i="8"/>
  <c r="O564" i="8"/>
  <c r="N564" i="8"/>
  <c r="N592" i="8"/>
  <c r="O592" i="8"/>
  <c r="O633" i="8"/>
  <c r="N633" i="8"/>
  <c r="P679" i="8"/>
  <c r="O679" i="8"/>
  <c r="N679" i="8"/>
  <c r="P693" i="8"/>
  <c r="O693" i="8"/>
  <c r="O708" i="8"/>
  <c r="N708" i="8"/>
  <c r="N718" i="8"/>
  <c r="P718" i="8"/>
  <c r="O718" i="8"/>
  <c r="P373" i="8"/>
  <c r="O373" i="8"/>
  <c r="N373" i="8"/>
  <c r="O415" i="8"/>
  <c r="P415" i="8"/>
  <c r="N418" i="8"/>
  <c r="P418" i="8"/>
  <c r="O418" i="8"/>
  <c r="P652" i="8"/>
  <c r="O652" i="8"/>
  <c r="N652" i="8"/>
  <c r="W14" i="8"/>
  <c r="O90" i="8"/>
  <c r="N94" i="8"/>
  <c r="O106" i="8"/>
  <c r="P122" i="8"/>
  <c r="O122" i="8"/>
  <c r="N122" i="8"/>
  <c r="P138" i="8"/>
  <c r="O138" i="8"/>
  <c r="N138" i="8"/>
  <c r="P154" i="8"/>
  <c r="O154" i="8"/>
  <c r="N154" i="8"/>
  <c r="P170" i="8"/>
  <c r="O170" i="8"/>
  <c r="N170" i="8"/>
  <c r="P186" i="8"/>
  <c r="O186" i="8"/>
  <c r="N186" i="8"/>
  <c r="P202" i="8"/>
  <c r="O202" i="8"/>
  <c r="N202" i="8"/>
  <c r="P218" i="8"/>
  <c r="O218" i="8"/>
  <c r="N218" i="8"/>
  <c r="P234" i="8"/>
  <c r="O234" i="8"/>
  <c r="N234" i="8"/>
  <c r="P250" i="8"/>
  <c r="O250" i="8"/>
  <c r="N250" i="8"/>
  <c r="P266" i="8"/>
  <c r="O266" i="8"/>
  <c r="N266" i="8"/>
  <c r="N372" i="8"/>
  <c r="P380" i="8"/>
  <c r="O380" i="8"/>
  <c r="O386" i="8"/>
  <c r="N386" i="8"/>
  <c r="O389" i="8"/>
  <c r="N389" i="8"/>
  <c r="O402" i="8"/>
  <c r="N402" i="8"/>
  <c r="O405" i="8"/>
  <c r="N405" i="8"/>
  <c r="P440" i="8"/>
  <c r="O440" i="8"/>
  <c r="N440" i="8"/>
  <c r="N442" i="8"/>
  <c r="O442" i="8"/>
  <c r="P461" i="8"/>
  <c r="O461" i="8"/>
  <c r="O559" i="8"/>
  <c r="N559" i="8"/>
  <c r="P559" i="8"/>
  <c r="N560" i="8"/>
  <c r="P615" i="8"/>
  <c r="O615" i="8"/>
  <c r="O631" i="8"/>
  <c r="N631" i="8"/>
  <c r="P723" i="8"/>
  <c r="O723" i="8"/>
  <c r="N723" i="8"/>
  <c r="P734" i="8"/>
  <c r="O734" i="8"/>
  <c r="N736" i="8"/>
  <c r="P736" i="8"/>
  <c r="S79" i="8"/>
  <c r="P84" i="8"/>
  <c r="P278" i="8"/>
  <c r="O278" i="8"/>
  <c r="N278" i="8"/>
  <c r="P290" i="8"/>
  <c r="O290" i="8"/>
  <c r="N290" i="8"/>
  <c r="P302" i="8"/>
  <c r="O302" i="8"/>
  <c r="N302" i="8"/>
  <c r="P314" i="8"/>
  <c r="O314" i="8"/>
  <c r="N314" i="8"/>
  <c r="O339" i="8"/>
  <c r="N339" i="8"/>
  <c r="P339" i="8"/>
  <c r="P342" i="8"/>
  <c r="O342" i="8"/>
  <c r="N342" i="8"/>
  <c r="O345" i="8"/>
  <c r="N345" i="8"/>
  <c r="O355" i="8"/>
  <c r="N355" i="8"/>
  <c r="O383" i="8"/>
  <c r="N383" i="8"/>
  <c r="P383" i="8"/>
  <c r="P396" i="8"/>
  <c r="O396" i="8"/>
  <c r="N396" i="8"/>
  <c r="O399" i="8"/>
  <c r="N399" i="8"/>
  <c r="P399" i="8"/>
  <c r="N420" i="8"/>
  <c r="N437" i="8"/>
  <c r="P437" i="8"/>
  <c r="O437" i="8"/>
  <c r="P456" i="8"/>
  <c r="O456" i="8"/>
  <c r="N456" i="8"/>
  <c r="P495" i="8"/>
  <c r="O495" i="8"/>
  <c r="N510" i="8"/>
  <c r="P510" i="8"/>
  <c r="P515" i="8"/>
  <c r="O515" i="8"/>
  <c r="N515" i="8"/>
  <c r="O572" i="8"/>
  <c r="N572" i="8"/>
  <c r="N581" i="8"/>
  <c r="P581" i="8"/>
  <c r="N586" i="8"/>
  <c r="P586" i="8"/>
  <c r="O586" i="8"/>
  <c r="P589" i="8"/>
  <c r="O589" i="8"/>
  <c r="N589" i="8"/>
  <c r="P617" i="8"/>
  <c r="O617" i="8"/>
  <c r="N617" i="8"/>
  <c r="N622" i="8"/>
  <c r="P622" i="8"/>
  <c r="O622" i="8"/>
  <c r="P647" i="8"/>
  <c r="O647" i="8"/>
  <c r="N647" i="8"/>
  <c r="P649" i="8"/>
  <c r="O649" i="8"/>
  <c r="N649" i="8"/>
  <c r="N678" i="8"/>
  <c r="P678" i="8"/>
  <c r="P703" i="8"/>
  <c r="O327" i="8"/>
  <c r="N327" i="8"/>
  <c r="O351" i="8"/>
  <c r="N351" i="8"/>
  <c r="O375" i="8"/>
  <c r="N375" i="8"/>
  <c r="P388" i="8"/>
  <c r="P404" i="8"/>
  <c r="N422" i="8"/>
  <c r="P473" i="8"/>
  <c r="O473" i="8"/>
  <c r="N473" i="8"/>
  <c r="N555" i="8"/>
  <c r="O555" i="8"/>
  <c r="P571" i="8"/>
  <c r="N590" i="8"/>
  <c r="P593" i="8"/>
  <c r="O593" i="8"/>
  <c r="P611" i="8"/>
  <c r="O611" i="8"/>
  <c r="N611" i="8"/>
  <c r="P656" i="8"/>
  <c r="O656" i="8"/>
  <c r="O681" i="8"/>
  <c r="N681" i="8"/>
  <c r="P681" i="8"/>
  <c r="P684" i="8"/>
  <c r="O684" i="8"/>
  <c r="N684" i="8"/>
  <c r="P733" i="8"/>
  <c r="O733" i="8"/>
  <c r="N733" i="8"/>
  <c r="P427" i="8"/>
  <c r="O427" i="8"/>
  <c r="N427" i="8"/>
  <c r="N430" i="8"/>
  <c r="P430" i="8"/>
  <c r="O430" i="8"/>
  <c r="P449" i="8"/>
  <c r="O449" i="8"/>
  <c r="N449" i="8"/>
  <c r="O452" i="8"/>
  <c r="N452" i="8"/>
  <c r="P452" i="8"/>
  <c r="P497" i="8"/>
  <c r="O497" i="8"/>
  <c r="O500" i="8"/>
  <c r="N500" i="8"/>
  <c r="P519" i="8"/>
  <c r="O519" i="8"/>
  <c r="P525" i="8"/>
  <c r="O525" i="8"/>
  <c r="N525" i="8"/>
  <c r="P528" i="8"/>
  <c r="O528" i="8"/>
  <c r="N528" i="8"/>
  <c r="N538" i="8"/>
  <c r="P549" i="8"/>
  <c r="N549" i="8"/>
  <c r="N582" i="8"/>
  <c r="P582" i="8"/>
  <c r="P616" i="8"/>
  <c r="O616" i="8"/>
  <c r="N616" i="8"/>
  <c r="N702" i="8"/>
  <c r="P702" i="8"/>
  <c r="O323" i="8"/>
  <c r="N323" i="8"/>
  <c r="O347" i="8"/>
  <c r="N347" i="8"/>
  <c r="O371" i="8"/>
  <c r="N371" i="8"/>
  <c r="O391" i="8"/>
  <c r="N391" i="8"/>
  <c r="O407" i="8"/>
  <c r="N407" i="8"/>
  <c r="O441" i="8"/>
  <c r="N441" i="8"/>
  <c r="N446" i="8"/>
  <c r="P446" i="8"/>
  <c r="O446" i="8"/>
  <c r="N447" i="8"/>
  <c r="P467" i="8"/>
  <c r="O467" i="8"/>
  <c r="N467" i="8"/>
  <c r="N470" i="8"/>
  <c r="P470" i="8"/>
  <c r="O470" i="8"/>
  <c r="N486" i="8"/>
  <c r="P486" i="8"/>
  <c r="N494" i="8"/>
  <c r="N517" i="8"/>
  <c r="N522" i="8"/>
  <c r="O522" i="8"/>
  <c r="P522" i="8"/>
  <c r="N544" i="8"/>
  <c r="P544" i="8"/>
  <c r="P552" i="8"/>
  <c r="O552" i="8"/>
  <c r="N552" i="8"/>
  <c r="N569" i="8"/>
  <c r="N574" i="8"/>
  <c r="P574" i="8"/>
  <c r="O574" i="8"/>
  <c r="P577" i="8"/>
  <c r="O577" i="8"/>
  <c r="N577" i="8"/>
  <c r="P608" i="8"/>
  <c r="P648" i="8"/>
  <c r="O648" i="8"/>
  <c r="N648" i="8"/>
  <c r="P653" i="8"/>
  <c r="O653" i="8"/>
  <c r="O654" i="8"/>
  <c r="P707" i="8"/>
  <c r="O707" i="8"/>
  <c r="N707" i="8"/>
  <c r="N710" i="8"/>
  <c r="P384" i="8"/>
  <c r="P400" i="8"/>
  <c r="P464" i="8"/>
  <c r="O464" i="8"/>
  <c r="O489" i="8"/>
  <c r="N489" i="8"/>
  <c r="P489" i="8"/>
  <c r="P492" i="8"/>
  <c r="O492" i="8"/>
  <c r="N492" i="8"/>
  <c r="P513" i="8"/>
  <c r="P541" i="8"/>
  <c r="O541" i="8"/>
  <c r="N541" i="8"/>
  <c r="P580" i="8"/>
  <c r="O580" i="8"/>
  <c r="N580" i="8"/>
  <c r="O595" i="8"/>
  <c r="N595" i="8"/>
  <c r="P598" i="8"/>
  <c r="O598" i="8"/>
  <c r="N658" i="8"/>
  <c r="N666" i="8"/>
  <c r="O666" i="8"/>
  <c r="P671" i="8"/>
  <c r="O671" i="8"/>
  <c r="N671" i="8"/>
  <c r="N674" i="8"/>
  <c r="P674" i="8"/>
  <c r="O674" i="8"/>
  <c r="N677" i="8"/>
  <c r="N688" i="8"/>
  <c r="N699" i="8"/>
  <c r="P699" i="8"/>
  <c r="N726" i="8"/>
  <c r="P726" i="8"/>
  <c r="O726" i="8"/>
  <c r="O729" i="8"/>
  <c r="N729" i="8"/>
  <c r="N426" i="8"/>
  <c r="O426" i="8"/>
  <c r="P445" i="8"/>
  <c r="O445" i="8"/>
  <c r="N445" i="8"/>
  <c r="N478" i="8"/>
  <c r="P478" i="8"/>
  <c r="O478" i="8"/>
  <c r="N530" i="8"/>
  <c r="P530" i="8"/>
  <c r="O530" i="8"/>
  <c r="N542" i="8"/>
  <c r="P560" i="8"/>
  <c r="P563" i="8"/>
  <c r="O563" i="8"/>
  <c r="N563" i="8"/>
  <c r="O585" i="8"/>
  <c r="N585" i="8"/>
  <c r="N618" i="8"/>
  <c r="O618" i="8"/>
  <c r="P637" i="8"/>
  <c r="O637" i="8"/>
  <c r="N637" i="8"/>
  <c r="N670" i="8"/>
  <c r="P670" i="8"/>
  <c r="O670" i="8"/>
  <c r="N722" i="8"/>
  <c r="P722" i="8"/>
  <c r="O722" i="8"/>
  <c r="N734" i="8"/>
  <c r="P419" i="8"/>
  <c r="N490" i="8"/>
  <c r="O511" i="8"/>
  <c r="N511" i="8"/>
  <c r="P523" i="8"/>
  <c r="P545" i="8"/>
  <c r="O545" i="8"/>
  <c r="P600" i="8"/>
  <c r="O600" i="8"/>
  <c r="N600" i="8"/>
  <c r="N682" i="8"/>
  <c r="O703" i="8"/>
  <c r="N703" i="8"/>
  <c r="P715" i="8"/>
  <c r="P737" i="8"/>
  <c r="O737" i="8"/>
  <c r="N438" i="8"/>
  <c r="P438" i="8"/>
  <c r="P453" i="8"/>
  <c r="N459" i="8"/>
  <c r="N462" i="8"/>
  <c r="P471" i="8"/>
  <c r="O471" i="8"/>
  <c r="P508" i="8"/>
  <c r="O508" i="8"/>
  <c r="O548" i="8"/>
  <c r="N548" i="8"/>
  <c r="N630" i="8"/>
  <c r="P630" i="8"/>
  <c r="P645" i="8"/>
  <c r="N651" i="8"/>
  <c r="N654" i="8"/>
  <c r="P663" i="8"/>
  <c r="O663" i="8"/>
  <c r="P700" i="8"/>
  <c r="O700" i="8"/>
  <c r="O740" i="8"/>
  <c r="N740" i="8"/>
  <c r="N458" i="8"/>
  <c r="N506" i="8"/>
  <c r="N554" i="8"/>
  <c r="N602" i="8"/>
  <c r="N650" i="8"/>
  <c r="N698" i="8"/>
  <c r="N454" i="8"/>
  <c r="N502" i="8"/>
  <c r="N550" i="8"/>
  <c r="N598" i="8"/>
  <c r="N646" i="8"/>
  <c r="N694" i="8"/>
  <c r="N742" i="8"/>
  <c r="N450" i="8"/>
  <c r="N498" i="8"/>
  <c r="N546" i="8"/>
  <c r="N594" i="8"/>
  <c r="N642" i="8"/>
  <c r="N690" i="8"/>
  <c r="N738" i="8"/>
  <c r="N746" i="8"/>
  <c r="O746" i="8"/>
  <c r="T46" i="8" l="1"/>
  <c r="Z26" i="8"/>
  <c r="Z27" i="8" s="1"/>
  <c r="W40" i="8"/>
  <c r="X28" i="8"/>
  <c r="T48" i="8"/>
  <c r="T61" i="8"/>
  <c r="X16" i="8"/>
  <c r="X17" i="8"/>
  <c r="Z87" i="8"/>
  <c r="S94" i="8"/>
  <c r="Y40" i="8"/>
  <c r="U40" i="8"/>
  <c r="S113" i="8"/>
  <c r="S114" i="8"/>
  <c r="Y24" i="8"/>
  <c r="Z105" i="8"/>
  <c r="X14" i="8"/>
  <c r="Y27" i="8"/>
  <c r="Y28" i="8" s="1"/>
  <c r="Y25" i="8"/>
  <c r="S30" i="8"/>
  <c r="Y23" i="8"/>
  <c r="W28" i="8"/>
  <c r="X13" i="8"/>
  <c r="S96" i="8"/>
  <c r="S98" i="8" s="1"/>
  <c r="Z88" i="8"/>
  <c r="Z90" i="8" s="1"/>
  <c r="S95" i="8"/>
  <c r="T28" i="8"/>
  <c r="T60" i="8" s="1"/>
  <c r="Z106" i="8"/>
  <c r="Z108" i="8" s="1"/>
  <c r="U28" i="8"/>
  <c r="V28" i="8" l="1"/>
  <c r="S99" i="8"/>
  <c r="Z89" i="8"/>
  <c r="S45" i="8"/>
  <c r="S60" i="8"/>
  <c r="S59" i="8"/>
  <c r="Y26" i="8"/>
  <c r="S44" i="8"/>
  <c r="S48" i="8"/>
  <c r="Z107" i="8"/>
  <c r="S112" i="8"/>
  <c r="S97" i="8"/>
  <c r="S58" i="8"/>
  <c r="S47" i="8"/>
  <c r="S43" i="8"/>
  <c r="S46" i="8"/>
  <c r="S116" i="8" l="1"/>
  <c r="S115" i="8"/>
  <c r="S61" i="8"/>
  <c r="S11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relance</author>
  </authors>
  <commentList>
    <comment ref="G480" authorId="0" shapeId="0" xr:uid="{C09927D8-48F0-468A-95B3-8053717695E8}">
      <text>
        <r>
          <rPr>
            <b/>
            <sz val="9"/>
            <color indexed="81"/>
            <rFont val="Tahoma"/>
            <family val="2"/>
          </rPr>
          <t>relance:</t>
        </r>
        <r>
          <rPr>
            <sz val="9"/>
            <color indexed="81"/>
            <rFont val="Tahoma"/>
            <family val="2"/>
          </rPr>
          <t xml:space="preserve">
Check this!!
</t>
        </r>
      </text>
    </comment>
  </commentList>
</comments>
</file>

<file path=xl/sharedStrings.xml><?xml version="1.0" encoding="utf-8"?>
<sst xmlns="http://schemas.openxmlformats.org/spreadsheetml/2006/main" count="513" uniqueCount="386">
  <si>
    <t>Harsh Nigam</t>
  </si>
  <si>
    <t>2023A7PS0396P</t>
  </si>
  <si>
    <t>Sachin Agrawal</t>
  </si>
  <si>
    <t>2023A7PS0492P</t>
  </si>
  <si>
    <t>Divyansh Jain</t>
  </si>
  <si>
    <t>Shivam Shingla</t>
  </si>
  <si>
    <t>ID No.</t>
  </si>
  <si>
    <t>Member Name</t>
  </si>
  <si>
    <t>BITS PILANI - PILANI CAMPUS</t>
  </si>
  <si>
    <t>Prepared By:</t>
  </si>
  <si>
    <t>Company Chosen : Bata India</t>
  </si>
  <si>
    <t>Title : Two-Year Financial, Valuation, and Price Movement Analysis of Bata India Ltd. with Portfolio Construction</t>
  </si>
  <si>
    <r>
      <rPr>
        <b/>
        <sz val="14"/>
        <color theme="1"/>
        <rFont val="Aptos Narrow"/>
        <family val="2"/>
        <scheme val="minor"/>
      </rPr>
      <t xml:space="preserve">Reason To choose Bata Ltd. : </t>
    </r>
    <r>
      <rPr>
        <sz val="14"/>
        <color theme="1"/>
        <rFont val="Aptos Narrow"/>
        <family val="2"/>
        <scheme val="minor"/>
      </rPr>
      <t xml:space="preserve">Bata India Ltd. has been selected as the primary company for this assignment as it falls within the mid-cap segment and is an actively traded security with strong market liquidity. The company offers readily available historical financial statements, quarterly disclosures, and corporate action records, enabling seamless extraction of required variables across all analytical sections of the assignment.
Additionally, Bata operates in a well-defined consumer retail and footwear industry, making it suitable for comparative benchmarking against established sector peers. The availability of consistent disclosures, transparent governance, and sufficient price history also ensures that the analysis can be performed comprehensively without any data limitations.              </t>
    </r>
  </si>
  <si>
    <t>Metric</t>
  </si>
  <si>
    <t>FY23-24</t>
  </si>
  <si>
    <t>Age of Company</t>
  </si>
  <si>
    <t>Revenue</t>
  </si>
  <si>
    <t>EBITDA / Total Assets</t>
  </si>
  <si>
    <t>Total Assets</t>
  </si>
  <si>
    <t>Dividend Yield</t>
  </si>
  <si>
    <t>Total Liabilities / Total Assets</t>
  </si>
  <si>
    <t>Net Profit</t>
  </si>
  <si>
    <t>Profit Margin</t>
  </si>
  <si>
    <t>Equity</t>
  </si>
  <si>
    <t>Return on Equity (ROE)</t>
  </si>
  <si>
    <t>FY23–24</t>
  </si>
  <si>
    <t>FY24–25</t>
  </si>
  <si>
    <t>93 Years</t>
  </si>
  <si>
    <t>94 Years</t>
  </si>
  <si>
    <t>Sector / Industry Classification</t>
  </si>
  <si>
    <t>EBITDA</t>
  </si>
  <si>
    <t>Return on Assets (ROA)</t>
  </si>
  <si>
    <t>Total Liabilities</t>
  </si>
  <si>
    <t>Intangible Assets</t>
  </si>
  <si>
    <t>P/E Ratio</t>
  </si>
  <si>
    <t>Intangible Assets / Total Assets</t>
  </si>
  <si>
    <t>Annual Capex / Total Assets</t>
  </si>
  <si>
    <t>Consumer Retail-Footwear</t>
  </si>
  <si>
    <t>EV / EBITDA</t>
  </si>
  <si>
    <t>Long Term Debt / Total Assets</t>
  </si>
  <si>
    <t>Total Asset Turnover</t>
  </si>
  <si>
    <t>Return on Assets</t>
  </si>
  <si>
    <t>Growth Rate in Sales</t>
  </si>
  <si>
    <t>Profit Margins</t>
  </si>
  <si>
    <t>Return on Equity</t>
  </si>
  <si>
    <t>Net Margin</t>
  </si>
  <si>
    <t>Asset Turnover</t>
  </si>
  <si>
    <t>Free Cash Flow</t>
  </si>
  <si>
    <t>Sources of funding for the company’s projects and funding</t>
  </si>
  <si>
    <t>CALCULATIONS</t>
  </si>
  <si>
    <t>Standalone Balance Sheet as at 31 March 2025</t>
  </si>
  <si>
    <t>Item</t>
  </si>
  <si>
    <t>As at 31 March 2025</t>
  </si>
  <si>
    <t>As at 31 March 2024</t>
  </si>
  <si>
    <t>ASSETS</t>
  </si>
  <si>
    <t>Non-current assets</t>
  </si>
  <si>
    <t>Property, plant and equipment</t>
  </si>
  <si>
    <t>Right-of-use assets</t>
  </si>
  <si>
    <t>Capital work-in-progress</t>
  </si>
  <si>
    <t>Intangible assets</t>
  </si>
  <si>
    <t>Intangible assets under development</t>
  </si>
  <si>
    <t>Investments</t>
  </si>
  <si>
    <t>Other financial assets (Non-current)</t>
  </si>
  <si>
    <t>Deferred tax assets (net)</t>
  </si>
  <si>
    <t>Current tax assets (net)</t>
  </si>
  <si>
    <t>Other non-current assets</t>
  </si>
  <si>
    <t>Current assets</t>
  </si>
  <si>
    <t>Inventories</t>
  </si>
  <si>
    <t>Trade receivables</t>
  </si>
  <si>
    <t>Cash and cash equivalents</t>
  </si>
  <si>
    <t>Bank balances other than above</t>
  </si>
  <si>
    <t>Other financial assets (Current)</t>
  </si>
  <si>
    <t>Other current assets</t>
  </si>
  <si>
    <t>Assets held for sale</t>
  </si>
  <si>
    <t>EQUITY AND LIABILITIES</t>
  </si>
  <si>
    <t>Equity share capital</t>
  </si>
  <si>
    <t>Other equity</t>
  </si>
  <si>
    <t>Non-current liabilities</t>
  </si>
  <si>
    <t>Lease liabilities (Non-current)</t>
  </si>
  <si>
    <t>Other financial liabilities (Non-current)</t>
  </si>
  <si>
    <t>Current liabilities</t>
  </si>
  <si>
    <t>Lease liabilities (Current)</t>
  </si>
  <si>
    <t>Trade payables - Micro enterprises</t>
  </si>
  <si>
    <t>Trade payables - Other creditors</t>
  </si>
  <si>
    <t>Other financial liabilities (Current)</t>
  </si>
  <si>
    <t>Provisions</t>
  </si>
  <si>
    <t>Other current liabilities</t>
  </si>
  <si>
    <t>Standalone Statement of Profit and Loss for the year ended 31 March 2025</t>
  </si>
  <si>
    <t>For the year ended 31 March 2025</t>
  </si>
  <si>
    <t>For the year ended 31 March 2024</t>
  </si>
  <si>
    <t>Revenue from operations</t>
  </si>
  <si>
    <t>Other income</t>
  </si>
  <si>
    <t>Total income</t>
  </si>
  <si>
    <t>EXPENSES</t>
  </si>
  <si>
    <t>Cost of raw materials and components consumed</t>
  </si>
  <si>
    <t>Purchases of stock-in-trade</t>
  </si>
  <si>
    <t>Changes in inventories of finished goods, stock-in-trade and work-in-progress</t>
  </si>
  <si>
    <t>Employee benefits expense</t>
  </si>
  <si>
    <t>Finance costs</t>
  </si>
  <si>
    <t>Depreciation and amortisation expense</t>
  </si>
  <si>
    <t>Other expenses</t>
  </si>
  <si>
    <t>Total expenses</t>
  </si>
  <si>
    <t>Profit before exceptional items and tax</t>
  </si>
  <si>
    <t>Exceptional items</t>
  </si>
  <si>
    <t>— Expense towards VRS</t>
  </si>
  <si>
    <t>— Gain on sale of land (net)</t>
  </si>
  <si>
    <t>Profit before tax</t>
  </si>
  <si>
    <t>Tax expense</t>
  </si>
  <si>
    <t>Current tax</t>
  </si>
  <si>
    <t>Deferred tax credit</t>
  </si>
  <si>
    <t>Total tax expense</t>
  </si>
  <si>
    <t>Profit for the year</t>
  </si>
  <si>
    <t>Other comprehensive income</t>
  </si>
  <si>
    <t>Items that will not be reclassified to profit or loss:</t>
  </si>
  <si>
    <t>Re-measurement of post-employment benefit obligations</t>
  </si>
  <si>
    <t>Income tax relating to above item</t>
  </si>
  <si>
    <t>Other comprehensive income for the year, net of tax</t>
  </si>
  <si>
    <t>Total comprehensive income for the year</t>
  </si>
  <si>
    <t>Earnings per equity share (INR)</t>
  </si>
  <si>
    <t>Basic</t>
  </si>
  <si>
    <t>Diluted</t>
  </si>
  <si>
    <t>FY24-25</t>
  </si>
  <si>
    <t>EPS</t>
  </si>
  <si>
    <t>Market Price per share</t>
  </si>
  <si>
    <t>Standalone Statement of Cash Flows for the year ended 31 March 2025</t>
  </si>
  <si>
    <t>For year ended 31 March 2025</t>
  </si>
  <si>
    <t>For year ended 31 March 2024</t>
  </si>
  <si>
    <t>A. Cash flows from operating activities</t>
  </si>
  <si>
    <t>Adjustments for:</t>
  </si>
  <si>
    <t>Depreciation and amortisation</t>
  </si>
  <si>
    <t>Loss on sale/disposal of PPE</t>
  </si>
  <si>
    <t>Allowance for doubtful debts</t>
  </si>
  <si>
    <t>Bad debts written off</t>
  </si>
  <si>
    <t>Gain on remeasurement of leases</t>
  </si>
  <si>
    <t>Allowance for loan &amp; financial assets (subsidiary)</t>
  </si>
  <si>
    <t>Gain on sale of land</t>
  </si>
  <si>
    <t>Net exchange differences</t>
  </si>
  <si>
    <t>Finance income</t>
  </si>
  <si>
    <t>Operating cash flow before WC changes</t>
  </si>
  <si>
    <t>Changes in working capital</t>
  </si>
  <si>
    <t>(Increase)/Decrease in trade receivables</t>
  </si>
  <si>
    <t>(Increase)/Decrease in inventories</t>
  </si>
  <si>
    <t>Increase in other current assets</t>
  </si>
  <si>
    <t>Increase in other financial assets</t>
  </si>
  <si>
    <t>Increase in other non-current assets</t>
  </si>
  <si>
    <t>Decrease/(Increase) in non-current financial assets</t>
  </si>
  <si>
    <t>Increase/(Decrease) in current liabilities</t>
  </si>
  <si>
    <t>Increase/(Decrease) in trade payables</t>
  </si>
  <si>
    <t>Increase in provisions</t>
  </si>
  <si>
    <t>Decrease in other financial liabilities</t>
  </si>
  <si>
    <t>Net WC changes</t>
  </si>
  <si>
    <t>Cash generated from operations</t>
  </si>
  <si>
    <t>Less: Taxes paid</t>
  </si>
  <si>
    <t>Net cash from operating activities</t>
  </si>
  <si>
    <t>B. Cash flows from investing activities</t>
  </si>
  <si>
    <t>Purchase of PPE/intangibles</t>
  </si>
  <si>
    <t>Sale of PPE</t>
  </si>
  <si>
    <t>Sale of assets held for sale</t>
  </si>
  <si>
    <t>Loan to related party</t>
  </si>
  <si>
    <t>Repayment from related party</t>
  </si>
  <si>
    <t>Investments in bank deposits &gt;3 months</t>
  </si>
  <si>
    <t>Investment in government bonds</t>
  </si>
  <si>
    <t>Maturity of deposits</t>
  </si>
  <si>
    <t>Interest received</t>
  </si>
  <si>
    <t>Net cash inflow from investing activities</t>
  </si>
  <si>
    <t>C. Cash flows from financing activities</t>
  </si>
  <si>
    <t>Dividends paid</t>
  </si>
  <si>
    <t>Lease payments – principal</t>
  </si>
  <si>
    <t>Lease payments – interest</t>
  </si>
  <si>
    <t>Payment of royalty/license fees</t>
  </si>
  <si>
    <t>Interest paid</t>
  </si>
  <si>
    <t>Net cash outflow from financing activities</t>
  </si>
  <si>
    <t>D. Net increase/(decrease) in cash &amp; cash equivalents</t>
  </si>
  <si>
    <t>Opening cash &amp; cash equivalents</t>
  </si>
  <si>
    <t>Closing cash &amp; cash equivalents</t>
  </si>
  <si>
    <t>EV (in Million)</t>
  </si>
  <si>
    <t>Dividend Per Share</t>
  </si>
  <si>
    <t>No. of outstanding shares</t>
  </si>
  <si>
    <t>Market Cap (in Millions)</t>
  </si>
  <si>
    <t>Debt</t>
  </si>
  <si>
    <t>Long Term Debt</t>
  </si>
  <si>
    <t>Cash Equivalent</t>
  </si>
  <si>
    <t>Annual Capex</t>
  </si>
  <si>
    <t>Growth in Sales</t>
  </si>
  <si>
    <t>Return  on Equity</t>
  </si>
  <si>
    <t>Cash flow from operating activities</t>
  </si>
  <si>
    <t>FCFF</t>
  </si>
  <si>
    <t>Total Equity</t>
  </si>
  <si>
    <t>Leverage</t>
  </si>
  <si>
    <t>Bata India funded its operations and expansion primarily through internal cash generation and lease liabilities, with no significant external borrowing or equity issuance.</t>
  </si>
  <si>
    <t>The company continued to rely on internal accruals and incremental lease financing to support operations and capital needs, maintaining minimal reliance on traditional long-term debt or fresh equity.</t>
  </si>
  <si>
    <t>Industry Average</t>
  </si>
  <si>
    <t>Data used for Part 1 calculations which is taken from the annual reports of the company</t>
  </si>
  <si>
    <t>Conclusion : Based on the financial assessment, Bata India’s performance over FY23–24 and FY24–25 indicates solid operational stability with improving profitability, but muted growth momentum relative to industry standards. The company’s ROE of 17.10% (FY23–24) rising to 20.98% (FY24–25) positions it above the industry average of ~18.31%, signalling stronger capital efficiency and better returns to shareholders. Dividend yield, however, at 0.88% and 0.67%, remains slightly below the industry benchmark of ~0.56%, suggesting a conservative payout policy and preference toward reinvestment. Leverage remains moderate and within normal retail-sector norms, supported mostly through lease liabilities rather than traditional debt, which aligns with asset-light business models common in the footwear retail space. While operational efficiency remains healthy — reflected in strong profitability and improving margins — revenue growth remains significantly lower (0.27% vs ~industry mid-single-digit expectations), implying demand stagnation or competitive pressures. Overall, Bata India performs better than industry norms in profitability and return metrics, while trailing slightly in growth acceleration and capital deployment aggressiveness — positioning it as a fundamentally strong but conservative performer in the footwear retail space.</t>
  </si>
  <si>
    <t xml:space="preserve">Date </t>
  </si>
  <si>
    <t xml:space="preserve">OPEN </t>
  </si>
  <si>
    <t xml:space="preserve">HIGH </t>
  </si>
  <si>
    <t xml:space="preserve">LOW </t>
  </si>
  <si>
    <t xml:space="preserve">close </t>
  </si>
  <si>
    <t xml:space="preserve">52W H </t>
  </si>
  <si>
    <t xml:space="preserve">52W L </t>
  </si>
  <si>
    <t xml:space="preserve">VOLUME </t>
  </si>
  <si>
    <t xml:space="preserve">VALUE </t>
  </si>
  <si>
    <t xml:space="preserve">No of trades </t>
  </si>
  <si>
    <t>SYMBOL</t>
  </si>
  <si>
    <t>COMPANY NAME</t>
  </si>
  <si>
    <t>PURPOSE</t>
  </si>
  <si>
    <t>EX-DATE</t>
  </si>
  <si>
    <t>RECORD DATE</t>
  </si>
  <si>
    <t>BOOK CLOSURE START DATE</t>
  </si>
  <si>
    <t>BOOK CLOSURE END DATE</t>
  </si>
  <si>
    <t>BATAINDIA</t>
  </si>
  <si>
    <t>Bata India Limited</t>
  </si>
  <si>
    <t>Dividend - Rs 9 Per Share</t>
  </si>
  <si>
    <t>-</t>
  </si>
  <si>
    <t>Interim Dividend - Rs 10 Per Share</t>
  </si>
  <si>
    <t>Annual General Meeting/Dividend - Rs 12 Per Share</t>
  </si>
  <si>
    <t>Annual General Meeting/Dividend - Rs  13.50 Per Share</t>
  </si>
  <si>
    <t>Annual General Meeting/Dividend - Rs 4 Per Share/Special Dividend - Rs 50.5 Per Share</t>
  </si>
  <si>
    <t>DuPont Component</t>
  </si>
  <si>
    <t>Net Profit Margin</t>
  </si>
  <si>
    <t>6–10%</t>
  </si>
  <si>
    <t>0.90–1.30×</t>
  </si>
  <si>
    <t>Equity Multiplier (Leverage)</t>
  </si>
  <si>
    <t>2.0–2.8×</t>
  </si>
  <si>
    <t>40–55×</t>
  </si>
  <si>
    <t>18–22%</t>
  </si>
  <si>
    <t>18–25×</t>
  </si>
  <si>
    <t>0.50–1.50%</t>
  </si>
  <si>
    <t>0.50–1.20%</t>
  </si>
  <si>
    <t>50–60%</t>
  </si>
  <si>
    <t>20–35%</t>
  </si>
  <si>
    <t>1–4%</t>
  </si>
  <si>
    <t>4–10%</t>
  </si>
  <si>
    <t>15–22%</t>
  </si>
  <si>
    <t>Free Cash Flow Trend</t>
  </si>
  <si>
    <t>Stable to Positive</t>
  </si>
  <si>
    <t> </t>
  </si>
  <si>
    <t>52 Week High</t>
  </si>
  <si>
    <t>52 Week Low</t>
  </si>
  <si>
    <t>Lifetime High</t>
  </si>
  <si>
    <t>Lifetime Low</t>
  </si>
  <si>
    <t>Current Price% to Lifetime High</t>
  </si>
  <si>
    <t>The average volume of shares traded daily over the past 52 weeks</t>
  </si>
  <si>
    <t>Dividend Payment History (Past 2 Years)</t>
  </si>
  <si>
    <t>Stock Split History (Past 2 Years)</t>
  </si>
  <si>
    <t>No stock split reported in the past two years.</t>
  </si>
  <si>
    <t>Share Repurchase Buyback (Past 2 Years)</t>
  </si>
  <si>
    <t>No share buyback program initiated during the past two years.</t>
  </si>
  <si>
    <t>Mergers, Acquisitions &amp; Corporate Actions</t>
  </si>
  <si>
    <t>No major acquisitions or divestitures announced during the review period.</t>
  </si>
  <si>
    <t>Week Number</t>
  </si>
  <si>
    <t>Date</t>
  </si>
  <si>
    <t>Weekly Close</t>
  </si>
  <si>
    <t>Weekly Return (%)</t>
  </si>
  <si>
    <t>28/3/2024</t>
  </si>
  <si>
    <t>Closing Price</t>
  </si>
  <si>
    <t>Daily returns</t>
  </si>
  <si>
    <t>Bata</t>
  </si>
  <si>
    <t>Wipro</t>
  </si>
  <si>
    <t>Dabur</t>
  </si>
  <si>
    <t>NIFTY 50</t>
  </si>
  <si>
    <t>Stock</t>
  </si>
  <si>
    <t>Start Price</t>
  </si>
  <si>
    <t>End Price</t>
  </si>
  <si>
    <t>Annualized Return</t>
  </si>
  <si>
    <t>Annualized Volatility</t>
  </si>
  <si>
    <t>NIFTY50</t>
  </si>
  <si>
    <t>risk-free rate</t>
  </si>
  <si>
    <t>Sharpe                    (Rf = 0.065)</t>
  </si>
  <si>
    <t>Assumptions</t>
  </si>
  <si>
    <t>Total Investment in Portfolio(Rs.)</t>
  </si>
  <si>
    <t>Dividend During Year </t>
  </si>
  <si>
    <t>Total no.of trading days per year</t>
  </si>
  <si>
    <t>Companies in Portfolio</t>
  </si>
  <si>
    <t>Performance Benchmark</t>
  </si>
  <si>
    <t>NIfty 50</t>
  </si>
  <si>
    <t>Weight</t>
  </si>
  <si>
    <t>No. of Shares</t>
  </si>
  <si>
    <t>BHEL</t>
  </si>
  <si>
    <t>Industry</t>
  </si>
  <si>
    <t>M-Cap (IN Cr.)</t>
  </si>
  <si>
    <t>Index</t>
  </si>
  <si>
    <t>Footwear</t>
  </si>
  <si>
    <t>Manu.</t>
  </si>
  <si>
    <t>FMCG</t>
  </si>
  <si>
    <t>Portfolio </t>
  </si>
  <si>
    <t>Average/Expected Daily Returns</t>
  </si>
  <si>
    <t>Annualised Return (from Daily Return)- HPY</t>
  </si>
  <si>
    <t>Annualised Standard Deviation (StD* SQRT(250))</t>
  </si>
  <si>
    <t>Annualised Variance</t>
  </si>
  <si>
    <t>Beta </t>
  </si>
  <si>
    <t>Covariance with NIFTY 50</t>
  </si>
  <si>
    <t>Portfolio</t>
  </si>
  <si>
    <t>Beta of Portfolio</t>
  </si>
  <si>
    <t>Drishya Mussadi</t>
  </si>
  <si>
    <t>MAZDOCK</t>
  </si>
  <si>
    <t>Defence</t>
  </si>
  <si>
    <t>Comparative Analysis with Benchmark:</t>
  </si>
  <si>
    <t xml:space="preserve">Portfolio </t>
  </si>
  <si>
    <t>Annual Returns(HPY)</t>
  </si>
  <si>
    <t>Standard Deviation(Risk parameter)</t>
  </si>
  <si>
    <t>Beta</t>
  </si>
  <si>
    <t>Sharpe Ratio = (Rp – Rf) / ơp</t>
  </si>
  <si>
    <t>Treynor Ratio = (Rp – Rf) / βp</t>
  </si>
  <si>
    <t>Co-efficient of variation (C.V)</t>
  </si>
  <si>
    <t>Using the Slope method, we calculated the beta which is the slope of graph of return of market vs return of portfolio</t>
  </si>
  <si>
    <t>Comparative Analysis with individual stock i.e of Primary Company:</t>
  </si>
  <si>
    <t>Returns</t>
  </si>
  <si>
    <t>Risk (standard deviation)</t>
  </si>
  <si>
    <t>Yearly Portfolio Performance:</t>
  </si>
  <si>
    <t>RETURNS</t>
  </si>
  <si>
    <t xml:space="preserve">Company Stocks </t>
  </si>
  <si>
    <t>Portfolio Weights</t>
  </si>
  <si>
    <t>YEAR 1</t>
  </si>
  <si>
    <t>YEAR 2</t>
  </si>
  <si>
    <t>YEAR 3</t>
  </si>
  <si>
    <t>Annual HPR</t>
  </si>
  <si>
    <t>Annual HPY</t>
  </si>
  <si>
    <t>Dabur India Ltd</t>
  </si>
  <si>
    <t>PORTFOLIO</t>
  </si>
  <si>
    <t>Correlation Matrix</t>
  </si>
  <si>
    <t>Mazdock</t>
  </si>
  <si>
    <t>Name of Company in Portfolio</t>
  </si>
  <si>
    <t>Original Portfolio Weight</t>
  </si>
  <si>
    <t>New Portfolio Weights </t>
  </si>
  <si>
    <t>Correlation with Bata</t>
  </si>
  <si>
    <t xml:space="preserve">Rank </t>
  </si>
  <si>
    <t>Comparative Analysis with old portfolio:</t>
  </si>
  <si>
    <t>New Portfolio </t>
  </si>
  <si>
    <t>Old Portfolio </t>
  </si>
  <si>
    <t>2023A7PS0663P</t>
  </si>
  <si>
    <t>Submitted to : Prof. Arya Kumar &amp; Prof. Rajan Pandey</t>
  </si>
  <si>
    <t>Portfolio A</t>
  </si>
  <si>
    <t>Portfolio B</t>
  </si>
  <si>
    <t>Course - Security Analysis and Portfolio Management (FIN F 313)</t>
  </si>
  <si>
    <t>Variance</t>
  </si>
  <si>
    <t>Sharpe Ratio</t>
  </si>
  <si>
    <t>Stnd. Deviation</t>
  </si>
  <si>
    <t>Values</t>
  </si>
  <si>
    <t>Metrics</t>
  </si>
  <si>
    <t>Returns (HPY)</t>
  </si>
  <si>
    <t>Value</t>
  </si>
  <si>
    <t>Bank</t>
  </si>
  <si>
    <t>Values for using solver function</t>
  </si>
  <si>
    <t>Column1</t>
  </si>
  <si>
    <t>Column2</t>
  </si>
  <si>
    <t>Bata2</t>
  </si>
  <si>
    <t>NIFTY 507</t>
  </si>
  <si>
    <t>TRENT</t>
  </si>
  <si>
    <t>Part III-(A)</t>
  </si>
  <si>
    <t>Part III-(B)</t>
  </si>
  <si>
    <t>Part III-(C)</t>
  </si>
  <si>
    <t>2023A7PS0576P</t>
  </si>
  <si>
    <t>Part III-C-(a)</t>
  </si>
  <si>
    <t>Part III-C-(b)</t>
  </si>
  <si>
    <t>Mimicking the sharpe ratio of nifty and sensex.</t>
  </si>
  <si>
    <t>Minimum variance portfolio</t>
  </si>
  <si>
    <t>Based on the data, the Portfolio is the clear winner. It generated a solid profit of  15.48%, whereas holding the individual stock (Bata) resulted in a significant  15.18% loss.
Strictly speaking, Bata had lower risk statistics (Standard Deviation of 0.22 vs 0.34 and Beta of 0.74 vs 1.10), meaning it was less volatile. However, low risk is useless if it leads to negative returns.
The Portfolio demonstrates a superior risk-reward pattern. The positive Coefficient of Variation (2.18) proves that the portfolio's higher volatility was justified because it delivered returns. Bata's negative metrics indicate a "dead loss" scenario where risk was taken for no reward.
Diversification proved highly beneficial. While it did not reduce volatility in this specific case, it saved the investor from Bata's specific failure. By spreading capital, the portfolio offset Bata's losses with gains from other assets, securing a positive outcome.</t>
  </si>
  <si>
    <t>Quarter</t>
  </si>
  <si>
    <t>Quarter End</t>
  </si>
  <si>
    <t>Key Result Summary</t>
  </si>
  <si>
    <t>Market Reaction</t>
  </si>
  <si>
    <t>Q1 FY25</t>
  </si>
  <si>
    <t>30 June 2024</t>
  </si>
  <si>
    <t>Revenue slightly down YoY; Net profit surged due to one-time property gain</t>
  </si>
  <si>
    <t>Muted to slightly positive (one-time gain not seen as sustainable)</t>
  </si>
  <si>
    <t>Q2 FY25</t>
  </si>
  <si>
    <t>30 September 2024</t>
  </si>
  <si>
    <t>Revenue up ~1–2% YoY; Profitability weak</t>
  </si>
  <si>
    <t>Share price fell ~3% after results</t>
  </si>
  <si>
    <t>Q3 FY25</t>
  </si>
  <si>
    <t>31 December 2024</t>
  </si>
  <si>
    <t>Revenue up ~1.7% YoY; PAT up ~1.2% YoY</t>
  </si>
  <si>
    <t>Shares rose ~1.7% post announcement</t>
  </si>
  <si>
    <t>Q4 FY25</t>
  </si>
  <si>
    <t>31 March 2025</t>
  </si>
  <si>
    <t>Net profit down ~28% YoY; Revenue down ~1.2% YoY</t>
  </si>
  <si>
    <t>Negative reaction; weak demand highlighted</t>
  </si>
  <si>
    <t>The portfolio beat NIFTY 50 (15.48% vs 10%) due to aggressive stock selection in high-growth sectors (Defence/Retail).
While the index smoothed returns, concentrated bets on MAZDOCK, TRENT, and BHEL provided massive "Alpha."
A high Beta (1.10) amplified these gains, though the 30% weight in Bata (-15% avg) significantly dragged the total.
* Year 1 (2.19%): Stagnation. The heavy allocation to Bata (-29%) nearly sank the portfolio, causing a deviation from the market's stability. Only MAZDOCK (+163%) saved it from negative territory.
* Year 2 (59.61%): The "Boom." This year drove the positive deviation. BHEL (+254%), TRENT (+190%), and MAZDOCK (+183%) exploded, rendering the losses in Bata and Dabur irrelevant.
* Year 3 (2.12%): A cooling phase. BHEL (-14%) and Bata (-10%) pulled returns down sharply. However, TRENT (+37%) and MAZDOCK (+32%) provided enough buffer to keep the year green.
In summary, the deviation was driven by extreme volatility in specific winners masking the failure of the primary stock.</t>
  </si>
  <si>
    <t>TRENT2</t>
  </si>
  <si>
    <t>BHEL2</t>
  </si>
  <si>
    <t>Dabur2</t>
  </si>
  <si>
    <t>MAZDOCK2</t>
  </si>
  <si>
    <t>The price-movement data indicates that the stock has been trading in a stable downward-to-sideways trend during the observed period. Daily price fluctuations are moderate, with intraday highs and lows staying close to the opening price, reflecting low volatility and limited speculative activity. Trading volumes vary significantly, showing that market participation is not consistent, which often signals a lack of strong investor conviction.
The stock’s 52-week range of 1177 to 1633 suggests a wide price band, meaning the stock has corrected substantially from its yearly high and is currently trading closer to the lower end of the range. This indicates bearish sentiment or profit-booking in recent months. Dividend history in the sheet shows regular payouts, implying that the company maintains steady profitability and shareholder-return policies. Corporate action dates such as record dates and book-closure periods reflect standard dividend-processing cycles, confirming that the firm follows predictable financial practices.</t>
  </si>
  <si>
    <t>2023A7PS0482P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</si>
</sst>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0000"/>
  </numFmts>
  <fonts count="37">
    <font>
      <sz val="11"/>
      <color theme="1"/>
      <name val="Aptos Narrow"/>
      <family val="2"/>
      <scheme val="minor"/>
    </font>
    <font>
      <b/>
      <sz val="18"/>
      <color theme="1"/>
      <name val="Aptos Narrow"/>
      <family val="2"/>
      <scheme val="minor"/>
    </font>
    <font>
      <b/>
      <sz val="11"/>
      <color theme="1"/>
      <name val="Aptos Narrow"/>
      <family val="2"/>
      <scheme val="minor"/>
    </font>
    <font>
      <b/>
      <sz val="14"/>
      <color theme="1"/>
      <name val="Aptos Narrow"/>
      <family val="2"/>
      <scheme val="minor"/>
    </font>
    <font>
      <sz val="16"/>
      <color theme="1"/>
      <name val="Aptos Narrow"/>
      <family val="2"/>
      <scheme val="minor"/>
    </font>
    <font>
      <b/>
      <sz val="16"/>
      <color theme="1"/>
      <name val="Aptos Narrow"/>
      <family val="2"/>
      <scheme val="minor"/>
    </font>
    <font>
      <sz val="14"/>
      <color theme="1"/>
      <name val="Aptos Narrow"/>
      <family val="2"/>
      <scheme val="minor"/>
    </font>
    <font>
      <b/>
      <sz val="16"/>
      <name val="Calibri"/>
      <family val="2"/>
    </font>
    <font>
      <sz val="11"/>
      <color rgb="FF000000"/>
      <name val="Calibri"/>
      <family val="2"/>
    </font>
    <font>
      <b/>
      <sz val="13"/>
      <name val="Calibri"/>
      <family val="2"/>
    </font>
    <font>
      <sz val="11"/>
      <color rgb="FF000000"/>
      <name val="Aptos Narrow"/>
      <family val="2"/>
    </font>
    <font>
      <b/>
      <sz val="11"/>
      <color rgb="FF000000"/>
      <name val="Aptos Narrow"/>
      <family val="2"/>
    </font>
    <font>
      <sz val="12"/>
      <color theme="1"/>
      <name val="Aptos Narrow"/>
      <family val="2"/>
      <scheme val="minor"/>
    </font>
    <font>
      <sz val="10"/>
      <color rgb="FF000000"/>
      <name val="Arial"/>
      <family val="2"/>
    </font>
    <font>
      <sz val="10"/>
      <color rgb="FF000000"/>
      <name val="&quot;Google Sans&quot;"/>
      <charset val="1"/>
    </font>
    <font>
      <b/>
      <sz val="11"/>
      <color rgb="FF000000"/>
      <name val="Calibri"/>
      <family val="2"/>
    </font>
    <font>
      <sz val="10"/>
      <color rgb="FF000000"/>
      <name val="Aptos Narrow"/>
      <family val="2"/>
      <scheme val="minor"/>
    </font>
    <font>
      <sz val="10"/>
      <color theme="1"/>
      <name val="Aptos Narrow"/>
      <family val="2"/>
      <scheme val="minor"/>
    </font>
    <font>
      <b/>
      <sz val="10"/>
      <color theme="1"/>
      <name val="Aptos Narrow"/>
      <family val="2"/>
      <scheme val="minor"/>
    </font>
    <font>
      <sz val="9"/>
      <color indexed="81"/>
      <name val="Tahoma"/>
      <family val="2"/>
    </font>
    <font>
      <b/>
      <sz val="9"/>
      <color indexed="81"/>
      <name val="Tahoma"/>
      <family val="2"/>
    </font>
    <font>
      <b/>
      <sz val="10"/>
      <color rgb="FF000000"/>
      <name val="Arial"/>
      <family val="2"/>
    </font>
    <font>
      <b/>
      <sz val="12"/>
      <color theme="1"/>
      <name val="Aptos Narrow"/>
      <family val="2"/>
      <scheme val="minor"/>
    </font>
    <font>
      <sz val="10"/>
      <name val="Arial"/>
      <family val="2"/>
    </font>
    <font>
      <sz val="11"/>
      <color rgb="FF000000"/>
      <name val="Times New Roman"/>
      <family val="1"/>
    </font>
    <font>
      <sz val="11"/>
      <color theme="1"/>
      <name val="Calibri"/>
      <family val="2"/>
    </font>
    <font>
      <b/>
      <sz val="11"/>
      <color theme="1"/>
      <name val="Calibri"/>
      <family val="2"/>
    </font>
    <font>
      <b/>
      <sz val="16"/>
      <color theme="0"/>
      <name val="Aptos Narrow"/>
      <family val="2"/>
      <scheme val="minor"/>
    </font>
    <font>
      <b/>
      <sz val="11"/>
      <name val="Calibri"/>
      <family val="2"/>
    </font>
    <font>
      <b/>
      <sz val="14"/>
      <color theme="0"/>
      <name val="Aptos Narrow"/>
      <family val="2"/>
      <scheme val="minor"/>
    </font>
    <font>
      <sz val="11"/>
      <name val="Aptos Narrow"/>
      <family val="2"/>
      <scheme val="minor"/>
    </font>
    <font>
      <b/>
      <sz val="26"/>
      <color theme="1"/>
      <name val="Aptos Narrow"/>
      <family val="2"/>
      <scheme val="minor"/>
    </font>
    <font>
      <b/>
      <sz val="11"/>
      <name val="Aptos Narrow"/>
      <family val="2"/>
      <scheme val="minor"/>
    </font>
    <font>
      <sz val="11"/>
      <color theme="1"/>
      <name val="Times New Roman"/>
      <family val="1"/>
    </font>
    <font>
      <sz val="20"/>
      <color theme="1"/>
      <name val="Aptos Narrow"/>
      <family val="2"/>
      <scheme val="minor"/>
    </font>
    <font>
      <sz val="12"/>
      <color theme="1"/>
      <name val="Calibri"/>
      <family val="2"/>
    </font>
    <font>
      <sz val="14"/>
      <color theme="1"/>
      <name val="Calibri"/>
      <family val="2"/>
    </font>
  </fonts>
  <fills count="1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
      <patternFill patternType="solid">
        <fgColor theme="3" tint="0.499984740745262"/>
        <bgColor indexed="64"/>
      </patternFill>
    </fill>
    <fill>
      <patternFill patternType="solid">
        <fgColor theme="2" tint="-0.249977111117893"/>
        <bgColor indexed="64"/>
      </patternFill>
    </fill>
    <fill>
      <patternFill patternType="solid">
        <fgColor theme="3" tint="0.89999084444715716"/>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5"/>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5"/>
        <bgColor rgb="FF9FC5E8"/>
      </patternFill>
    </fill>
    <fill>
      <patternFill patternType="solid">
        <fgColor theme="5" tint="0.79998168889431442"/>
        <bgColor rgb="FFFFFFFF"/>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0" fontId="16" fillId="0" borderId="0"/>
  </cellStyleXfs>
  <cellXfs count="286">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8" fillId="0" borderId="1" xfId="0" applyFont="1" applyBorder="1" applyAlignment="1">
      <alignment horizontal="center" vertical="center"/>
    </xf>
    <xf numFmtId="3" fontId="0" fillId="0" borderId="0" xfId="0" applyNumberFormat="1" applyAlignment="1">
      <alignment horizontal="center" vertical="center"/>
    </xf>
    <xf numFmtId="4"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3" fillId="0" borderId="1" xfId="0" applyFont="1" applyBorder="1" applyAlignment="1">
      <alignment horizontal="center" vertical="center"/>
    </xf>
    <xf numFmtId="15" fontId="0" fillId="0" borderId="1" xfId="0" applyNumberFormat="1" applyBorder="1" applyAlignment="1">
      <alignment horizontal="center" vertical="center" wrapText="1"/>
    </xf>
    <xf numFmtId="0" fontId="0" fillId="0" borderId="11" xfId="0" applyBorder="1"/>
    <xf numFmtId="0" fontId="13" fillId="0" borderId="0" xfId="0" applyFont="1"/>
    <xf numFmtId="10" fontId="13" fillId="0" borderId="0" xfId="0" applyNumberFormat="1" applyFont="1"/>
    <xf numFmtId="15" fontId="0" fillId="0" borderId="0" xfId="0" applyNumberFormat="1" applyAlignment="1">
      <alignment horizontal="center" vertical="center"/>
    </xf>
    <xf numFmtId="4" fontId="0" fillId="0" borderId="0" xfId="0" applyNumberFormat="1" applyAlignment="1">
      <alignment horizontal="center" vertical="center"/>
    </xf>
    <xf numFmtId="14" fontId="8" fillId="0" borderId="1" xfId="0" applyNumberFormat="1" applyFont="1" applyBorder="1" applyAlignment="1">
      <alignment horizontal="center" vertical="center"/>
    </xf>
    <xf numFmtId="0" fontId="13" fillId="0" borderId="11" xfId="0" applyFont="1" applyBorder="1" applyAlignment="1">
      <alignment horizontal="center" vertical="center"/>
    </xf>
    <xf numFmtId="0" fontId="0" fillId="0" borderId="11" xfId="0" applyBorder="1" applyAlignment="1">
      <alignment horizontal="right" wrapText="1"/>
    </xf>
    <xf numFmtId="0" fontId="3" fillId="0" borderId="0" xfId="0" applyFont="1" applyAlignment="1">
      <alignment horizontal="center" vertical="center"/>
    </xf>
    <xf numFmtId="0" fontId="22" fillId="0" borderId="1" xfId="0" applyFont="1" applyBorder="1" applyAlignment="1">
      <alignment horizontal="center" vertical="center"/>
    </xf>
    <xf numFmtId="10" fontId="13" fillId="0" borderId="14" xfId="0" applyNumberFormat="1" applyFont="1" applyBorder="1" applyAlignment="1">
      <alignment horizontal="center" vertical="center"/>
    </xf>
    <xf numFmtId="0" fontId="13" fillId="0" borderId="14" xfId="0" applyFont="1" applyBorder="1" applyAlignment="1">
      <alignment horizontal="center" vertical="center"/>
    </xf>
    <xf numFmtId="0" fontId="17" fillId="0" borderId="11" xfId="1" applyFont="1" applyBorder="1" applyAlignment="1">
      <alignment horizontal="center" vertical="center"/>
    </xf>
    <xf numFmtId="10" fontId="17" fillId="0" borderId="11" xfId="1" applyNumberFormat="1" applyFont="1" applyBorder="1" applyAlignment="1">
      <alignment horizontal="center" vertical="center"/>
    </xf>
    <xf numFmtId="0" fontId="13" fillId="0" borderId="11" xfId="1" applyFont="1" applyBorder="1" applyAlignment="1">
      <alignment horizontal="center" vertical="center"/>
    </xf>
    <xf numFmtId="166" fontId="13" fillId="0" borderId="11" xfId="1" applyNumberFormat="1" applyFont="1" applyBorder="1" applyAlignment="1">
      <alignment horizontal="center" vertical="center"/>
    </xf>
    <xf numFmtId="0" fontId="1" fillId="6"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3"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3"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5"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22" fillId="0" borderId="10" xfId="0" applyFont="1" applyBorder="1" applyAlignment="1">
      <alignment horizontal="center" vertical="center"/>
    </xf>
    <xf numFmtId="0" fontId="0" fillId="0" borderId="10" xfId="0"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13" fillId="5" borderId="13" xfId="0" applyFont="1" applyFill="1" applyBorder="1" applyAlignment="1">
      <alignment horizontal="center" vertical="center"/>
    </xf>
    <xf numFmtId="0" fontId="22" fillId="0" borderId="1"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4" fontId="0" fillId="0" borderId="1" xfId="0" applyNumberFormat="1" applyBorder="1" applyAlignment="1">
      <alignment horizontal="center" vertical="center" wrapText="1"/>
    </xf>
    <xf numFmtId="0" fontId="0" fillId="0" borderId="1" xfId="0" applyBorder="1"/>
    <xf numFmtId="0" fontId="13" fillId="0" borderId="26" xfId="0" applyFont="1" applyBorder="1" applyAlignment="1">
      <alignment horizontal="center" vertical="center" wrapText="1"/>
    </xf>
    <xf numFmtId="0" fontId="13" fillId="0" borderId="26" xfId="0" quotePrefix="1" applyFont="1" applyBorder="1" applyAlignment="1">
      <alignment horizontal="center" vertical="center" wrapText="1"/>
    </xf>
    <xf numFmtId="0" fontId="5"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3" fillId="8" borderId="1" xfId="0" applyFont="1" applyFill="1" applyBorder="1" applyAlignment="1">
      <alignment horizontal="center" vertical="center" wrapText="1"/>
    </xf>
    <xf numFmtId="10" fontId="0" fillId="8" borderId="1" xfId="0" applyNumberFormat="1" applyFill="1" applyBorder="1" applyAlignment="1">
      <alignment horizontal="center" vertical="center"/>
    </xf>
    <xf numFmtId="0" fontId="10" fillId="8" borderId="1" xfId="0" applyFont="1" applyFill="1" applyBorder="1" applyAlignment="1">
      <alignment horizontal="center" vertical="center"/>
    </xf>
    <xf numFmtId="0" fontId="2" fillId="8" borderId="1" xfId="0" applyFont="1" applyFill="1" applyBorder="1" applyAlignment="1">
      <alignment horizontal="center" vertical="center"/>
    </xf>
    <xf numFmtId="10" fontId="2" fillId="8" borderId="1" xfId="0" applyNumberFormat="1" applyFont="1" applyFill="1" applyBorder="1" applyAlignment="1">
      <alignment horizontal="center" vertical="center"/>
    </xf>
    <xf numFmtId="10" fontId="0" fillId="8" borderId="1" xfId="0" applyNumberFormat="1" applyFill="1" applyBorder="1" applyAlignment="1">
      <alignment horizontal="center" vertical="center" wrapText="1"/>
    </xf>
    <xf numFmtId="0" fontId="0" fillId="3" borderId="0" xfId="0" applyFill="1"/>
    <xf numFmtId="0" fontId="6" fillId="8" borderId="1" xfId="0" applyFont="1" applyFill="1" applyBorder="1" applyAlignment="1">
      <alignment horizontal="center" vertical="center" wrapText="1"/>
    </xf>
    <xf numFmtId="10" fontId="0" fillId="3" borderId="0" xfId="0" applyNumberFormat="1" applyFill="1" applyAlignment="1">
      <alignment horizontal="center" vertical="center" wrapText="1"/>
    </xf>
    <xf numFmtId="0" fontId="3" fillId="3" borderId="0" xfId="0" applyFont="1" applyFill="1" applyAlignment="1">
      <alignment horizontal="center" vertical="center" wrapText="1"/>
    </xf>
    <xf numFmtId="0" fontId="8"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25" fillId="10" borderId="1" xfId="0" applyFont="1" applyFill="1" applyBorder="1" applyAlignment="1">
      <alignment horizontal="center" vertical="center"/>
    </xf>
    <xf numFmtId="0" fontId="8" fillId="10" borderId="1" xfId="0" applyFont="1" applyFill="1" applyBorder="1" applyAlignment="1">
      <alignment horizontal="center" vertical="center"/>
    </xf>
    <xf numFmtId="0" fontId="26" fillId="9" borderId="1" xfId="0" applyFont="1" applyFill="1" applyBorder="1" applyAlignment="1">
      <alignment horizontal="center" vertical="center"/>
    </xf>
    <xf numFmtId="0" fontId="8" fillId="12" borderId="1" xfId="0" applyFont="1" applyFill="1" applyBorder="1" applyAlignment="1">
      <alignment horizontal="center" vertical="center"/>
    </xf>
    <xf numFmtId="0" fontId="9" fillId="12" borderId="1" xfId="0" applyFont="1" applyFill="1" applyBorder="1" applyAlignment="1">
      <alignment horizontal="center" vertical="center"/>
    </xf>
    <xf numFmtId="0" fontId="26" fillId="12" borderId="1" xfId="0" applyFont="1" applyFill="1" applyBorder="1" applyAlignment="1">
      <alignment horizontal="center" vertical="center"/>
    </xf>
    <xf numFmtId="0" fontId="8" fillId="13" borderId="1" xfId="0" applyFont="1" applyFill="1" applyBorder="1" applyAlignment="1">
      <alignment horizontal="center" vertical="center"/>
    </xf>
    <xf numFmtId="0" fontId="28" fillId="12" borderId="1" xfId="0" applyFont="1" applyFill="1" applyBorder="1" applyAlignment="1">
      <alignment horizontal="center" vertical="center"/>
    </xf>
    <xf numFmtId="15" fontId="0" fillId="0" borderId="8" xfId="0" applyNumberFormat="1" applyBorder="1" applyAlignment="1">
      <alignment horizontal="center" vertical="center"/>
    </xf>
    <xf numFmtId="3" fontId="0" fillId="0" borderId="7" xfId="0" applyNumberFormat="1" applyBorder="1" applyAlignment="1">
      <alignment horizontal="center" vertical="center"/>
    </xf>
    <xf numFmtId="15" fontId="0" fillId="0" borderId="21" xfId="0" applyNumberFormat="1" applyBorder="1" applyAlignment="1">
      <alignment horizontal="center" vertical="center"/>
    </xf>
    <xf numFmtId="4" fontId="0" fillId="0" borderId="10" xfId="0" applyNumberFormat="1" applyBorder="1" applyAlignment="1">
      <alignment horizontal="center" vertical="center"/>
    </xf>
    <xf numFmtId="3" fontId="0" fillId="0" borderId="10" xfId="0" applyNumberFormat="1" applyBorder="1" applyAlignment="1">
      <alignment horizontal="center" vertical="center"/>
    </xf>
    <xf numFmtId="3" fontId="0" fillId="0" borderId="19" xfId="0" applyNumberFormat="1" applyBorder="1" applyAlignment="1">
      <alignment horizontal="center" vertical="center"/>
    </xf>
    <xf numFmtId="0" fontId="0" fillId="0" borderId="7" xfId="0" applyBorder="1" applyAlignment="1">
      <alignment horizontal="center" vertical="center" wrapText="1"/>
    </xf>
    <xf numFmtId="0" fontId="3" fillId="14" borderId="1" xfId="0" applyFont="1" applyFill="1" applyBorder="1" applyAlignment="1">
      <alignment horizontal="center" vertical="center" wrapText="1"/>
    </xf>
    <xf numFmtId="0" fontId="0" fillId="15" borderId="1" xfId="0" applyFill="1" applyBorder="1" applyAlignment="1">
      <alignment horizontal="center" vertical="center" wrapText="1"/>
    </xf>
    <xf numFmtId="15" fontId="0" fillId="15" borderId="1" xfId="0" applyNumberFormat="1" applyFill="1" applyBorder="1" applyAlignment="1">
      <alignment horizontal="center" vertical="center" wrapText="1"/>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15" fillId="0" borderId="5" xfId="0" applyFont="1" applyBorder="1" applyAlignment="1">
      <alignment horizontal="center" vertical="center"/>
    </xf>
    <xf numFmtId="0" fontId="15" fillId="0" borderId="28" xfId="0" applyFont="1" applyBorder="1" applyAlignment="1">
      <alignment horizontal="center" vertical="center"/>
    </xf>
    <xf numFmtId="0" fontId="15" fillId="0" borderId="6" xfId="0" applyFont="1" applyBorder="1" applyAlignment="1">
      <alignment horizontal="center" vertical="center"/>
    </xf>
    <xf numFmtId="0" fontId="8" fillId="0" borderId="21" xfId="0" applyFont="1" applyBorder="1" applyAlignment="1">
      <alignment horizontal="center" vertical="center"/>
    </xf>
    <xf numFmtId="14" fontId="8" fillId="0" borderId="10" xfId="0" applyNumberFormat="1" applyFont="1" applyBorder="1" applyAlignment="1">
      <alignment horizontal="center" vertical="center"/>
    </xf>
    <xf numFmtId="0" fontId="8" fillId="0" borderId="10" xfId="0" applyFont="1" applyBorder="1" applyAlignment="1">
      <alignment horizontal="center" vertical="center"/>
    </xf>
    <xf numFmtId="0" fontId="8" fillId="0" borderId="19" xfId="0" applyFont="1" applyBorder="1" applyAlignment="1">
      <alignment horizontal="center" vertical="center"/>
    </xf>
    <xf numFmtId="0" fontId="30" fillId="0" borderId="15" xfId="0" applyFont="1" applyBorder="1" applyAlignment="1">
      <alignment horizontal="center" vertical="center"/>
    </xf>
    <xf numFmtId="0" fontId="30" fillId="0" borderId="10" xfId="0" applyFont="1" applyBorder="1" applyAlignment="1">
      <alignment horizontal="center" vertical="center" wrapText="1"/>
    </xf>
    <xf numFmtId="0" fontId="30" fillId="0" borderId="10" xfId="0" applyFont="1" applyBorder="1" applyAlignment="1">
      <alignment horizontal="center" vertical="center"/>
    </xf>
    <xf numFmtId="0" fontId="13" fillId="15" borderId="13" xfId="0" applyFont="1" applyFill="1" applyBorder="1" applyAlignment="1">
      <alignment horizontal="center" vertical="center"/>
    </xf>
    <xf numFmtId="0" fontId="14" fillId="15" borderId="14" xfId="0" applyFont="1" applyFill="1" applyBorder="1" applyAlignment="1">
      <alignment horizontal="center" vertical="center"/>
    </xf>
    <xf numFmtId="0" fontId="29" fillId="16" borderId="5" xfId="0" applyFont="1" applyFill="1" applyBorder="1" applyAlignment="1">
      <alignment horizontal="center" vertical="center"/>
    </xf>
    <xf numFmtId="0" fontId="29" fillId="16" borderId="28" xfId="0" applyFont="1" applyFill="1" applyBorder="1" applyAlignment="1">
      <alignment horizontal="center" vertical="center"/>
    </xf>
    <xf numFmtId="0" fontId="29" fillId="16" borderId="6" xfId="0" applyFont="1" applyFill="1" applyBorder="1" applyAlignment="1">
      <alignment horizontal="center" vertical="center"/>
    </xf>
    <xf numFmtId="0" fontId="3" fillId="16" borderId="28" xfId="0" applyFont="1" applyFill="1" applyBorder="1" applyAlignment="1">
      <alignment horizontal="center" vertical="center" wrapText="1"/>
    </xf>
    <xf numFmtId="0" fontId="3" fillId="16" borderId="6" xfId="0" applyFont="1" applyFill="1" applyBorder="1" applyAlignment="1">
      <alignment horizontal="center" vertical="center" wrapText="1"/>
    </xf>
    <xf numFmtId="0" fontId="29" fillId="16" borderId="28" xfId="0" applyFont="1" applyFill="1" applyBorder="1" applyAlignment="1">
      <alignment horizontal="center" vertical="center" wrapText="1"/>
    </xf>
    <xf numFmtId="0" fontId="29" fillId="3" borderId="10" xfId="0" applyFont="1" applyFill="1" applyBorder="1" applyAlignment="1">
      <alignment vertical="center"/>
    </xf>
    <xf numFmtId="0" fontId="3" fillId="16" borderId="3" xfId="0" applyFont="1" applyFill="1" applyBorder="1" applyAlignment="1">
      <alignment horizontal="center" vertical="center"/>
    </xf>
    <xf numFmtId="4" fontId="0" fillId="0" borderId="0" xfId="0" applyNumberFormat="1"/>
    <xf numFmtId="0" fontId="32" fillId="14" borderId="1"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4" fontId="30" fillId="3" borderId="1" xfId="0" applyNumberFormat="1" applyFont="1" applyFill="1" applyBorder="1" applyAlignment="1">
      <alignment horizontal="center" vertical="center"/>
    </xf>
    <xf numFmtId="0" fontId="30" fillId="3" borderId="1" xfId="0" applyFont="1" applyFill="1" applyBorder="1" applyAlignment="1">
      <alignment vertical="center" wrapText="1"/>
    </xf>
    <xf numFmtId="3" fontId="30" fillId="3" borderId="1" xfId="0" applyNumberFormat="1" applyFont="1" applyFill="1" applyBorder="1" applyAlignment="1">
      <alignment horizontal="center" vertical="center"/>
    </xf>
    <xf numFmtId="0" fontId="30" fillId="3" borderId="1" xfId="0" applyFont="1" applyFill="1" applyBorder="1" applyAlignment="1">
      <alignment horizontal="center" vertical="center"/>
    </xf>
    <xf numFmtId="0" fontId="30" fillId="15" borderId="1" xfId="0" applyFont="1" applyFill="1" applyBorder="1" applyAlignment="1">
      <alignment horizontal="center" vertical="center" wrapText="1"/>
    </xf>
    <xf numFmtId="4" fontId="30" fillId="15" borderId="1" xfId="0" applyNumberFormat="1" applyFont="1" applyFill="1" applyBorder="1" applyAlignment="1">
      <alignment horizontal="center" vertical="center"/>
    </xf>
    <xf numFmtId="0" fontId="30" fillId="15" borderId="1" xfId="0" applyFont="1" applyFill="1" applyBorder="1" applyAlignment="1">
      <alignment horizontal="center" vertical="center"/>
    </xf>
    <xf numFmtId="0" fontId="30" fillId="15" borderId="1" xfId="0" applyFont="1" applyFill="1" applyBorder="1" applyAlignment="1">
      <alignment vertical="center" wrapText="1"/>
    </xf>
    <xf numFmtId="3" fontId="30" fillId="15" borderId="0" xfId="0" applyNumberFormat="1" applyFont="1" applyFill="1" applyAlignment="1">
      <alignment horizontal="center" vertical="center"/>
    </xf>
    <xf numFmtId="3" fontId="30" fillId="15" borderId="1" xfId="0" applyNumberFormat="1" applyFont="1" applyFill="1" applyBorder="1" applyAlignment="1">
      <alignment horizontal="center" vertical="center"/>
    </xf>
    <xf numFmtId="3" fontId="30" fillId="3" borderId="0" xfId="0" applyNumberFormat="1" applyFont="1" applyFill="1" applyAlignment="1">
      <alignment horizontal="center" vertical="center"/>
    </xf>
    <xf numFmtId="0" fontId="32" fillId="15" borderId="1" xfId="0" applyFont="1" applyFill="1" applyBorder="1" applyAlignment="1">
      <alignment horizontal="center" vertical="center" wrapText="1"/>
    </xf>
    <xf numFmtId="0" fontId="13" fillId="14" borderId="16" xfId="0" applyFont="1" applyFill="1" applyBorder="1" applyAlignment="1">
      <alignment horizontal="center" vertical="center"/>
    </xf>
    <xf numFmtId="0" fontId="13" fillId="14" borderId="12" xfId="0" applyFont="1" applyFill="1" applyBorder="1" applyAlignment="1">
      <alignment horizontal="center" vertical="center"/>
    </xf>
    <xf numFmtId="0" fontId="21" fillId="14" borderId="12" xfId="0" applyFont="1" applyFill="1" applyBorder="1" applyAlignment="1">
      <alignment horizontal="center" vertical="center"/>
    </xf>
    <xf numFmtId="0" fontId="15" fillId="14" borderId="12" xfId="0" applyFont="1" applyFill="1" applyBorder="1" applyAlignment="1">
      <alignment horizontal="center" vertical="center"/>
    </xf>
    <xf numFmtId="10" fontId="13" fillId="15" borderId="14" xfId="0" applyNumberFormat="1" applyFont="1" applyFill="1" applyBorder="1" applyAlignment="1">
      <alignment horizontal="center" vertical="center"/>
    </xf>
    <xf numFmtId="0" fontId="13" fillId="14" borderId="12" xfId="0" applyFont="1" applyFill="1" applyBorder="1" applyAlignment="1">
      <alignment horizontal="center" vertical="center" wrapText="1"/>
    </xf>
    <xf numFmtId="0" fontId="13" fillId="15" borderId="14" xfId="0" applyFont="1" applyFill="1" applyBorder="1" applyAlignment="1">
      <alignment horizontal="center" vertical="center"/>
    </xf>
    <xf numFmtId="0" fontId="21" fillId="17" borderId="11" xfId="1" applyFont="1" applyFill="1" applyBorder="1" applyAlignment="1">
      <alignment horizontal="center" vertical="center"/>
    </xf>
    <xf numFmtId="0" fontId="22" fillId="14" borderId="1" xfId="0" applyFont="1" applyFill="1" applyBorder="1" applyAlignment="1">
      <alignment horizontal="center" vertical="center"/>
    </xf>
    <xf numFmtId="0" fontId="0" fillId="14" borderId="1" xfId="0" applyFill="1" applyBorder="1" applyAlignment="1">
      <alignment horizontal="center" vertical="center"/>
    </xf>
    <xf numFmtId="0" fontId="13" fillId="17" borderId="11" xfId="1" applyFont="1" applyFill="1" applyBorder="1" applyAlignment="1">
      <alignment horizontal="center" vertical="center"/>
    </xf>
    <xf numFmtId="0" fontId="13" fillId="14" borderId="11" xfId="1" applyFont="1" applyFill="1" applyBorder="1" applyAlignment="1">
      <alignment horizontal="center" vertical="center"/>
    </xf>
    <xf numFmtId="166" fontId="13" fillId="15" borderId="11" xfId="1" applyNumberFormat="1" applyFont="1" applyFill="1" applyBorder="1" applyAlignment="1">
      <alignment horizontal="center" vertical="center"/>
    </xf>
    <xf numFmtId="0" fontId="13" fillId="15" borderId="11" xfId="1" applyFont="1" applyFill="1" applyBorder="1" applyAlignment="1">
      <alignment horizontal="center" vertical="center"/>
    </xf>
    <xf numFmtId="4" fontId="25" fillId="14" borderId="11" xfId="1" applyNumberFormat="1" applyFont="1" applyFill="1" applyBorder="1" applyAlignment="1">
      <alignment horizontal="center" vertical="center"/>
    </xf>
    <xf numFmtId="2" fontId="13" fillId="17" borderId="11" xfId="1" applyNumberFormat="1" applyFont="1" applyFill="1" applyBorder="1" applyAlignment="1">
      <alignment horizontal="center" vertical="center"/>
    </xf>
    <xf numFmtId="10" fontId="21" fillId="17" borderId="11" xfId="1" applyNumberFormat="1" applyFont="1" applyFill="1" applyBorder="1" applyAlignment="1">
      <alignment horizontal="center" vertical="center"/>
    </xf>
    <xf numFmtId="0" fontId="21" fillId="14" borderId="13" xfId="0" applyFont="1" applyFill="1" applyBorder="1" applyAlignment="1">
      <alignment horizontal="center" vertical="center" wrapText="1"/>
    </xf>
    <xf numFmtId="0" fontId="13"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13" fillId="14" borderId="13" xfId="0" applyFont="1" applyFill="1" applyBorder="1" applyAlignment="1">
      <alignment horizontal="center" vertical="center"/>
    </xf>
    <xf numFmtId="0" fontId="8" fillId="14" borderId="13" xfId="0" applyFont="1" applyFill="1" applyBorder="1" applyAlignment="1">
      <alignment horizontal="center" vertical="center"/>
    </xf>
    <xf numFmtId="0" fontId="13" fillId="0" borderId="1" xfId="0" applyFont="1" applyBorder="1" applyAlignment="1">
      <alignment horizontal="center" vertical="center" wrapText="1"/>
    </xf>
    <xf numFmtId="0" fontId="13" fillId="15" borderId="13" xfId="0" applyFont="1" applyFill="1" applyBorder="1" applyAlignment="1">
      <alignment horizontal="center" vertical="center" wrapText="1"/>
    </xf>
    <xf numFmtId="0" fontId="13" fillId="15" borderId="26"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21" fillId="14" borderId="14" xfId="0" applyFont="1" applyFill="1" applyBorder="1" applyAlignment="1">
      <alignment horizontal="center" vertical="center" wrapText="1"/>
    </xf>
    <xf numFmtId="0" fontId="13" fillId="14" borderId="14" xfId="0" applyFont="1" applyFill="1" applyBorder="1" applyAlignment="1">
      <alignment horizontal="center" vertical="center" wrapText="1"/>
    </xf>
    <xf numFmtId="0" fontId="13" fillId="14" borderId="26"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21" fillId="14" borderId="11" xfId="0" applyFont="1" applyFill="1" applyBorder="1" applyAlignment="1">
      <alignment horizontal="center" vertical="center"/>
    </xf>
    <xf numFmtId="164" fontId="17" fillId="15" borderId="11" xfId="1" applyNumberFormat="1" applyFont="1" applyFill="1" applyBorder="1" applyAlignment="1">
      <alignment horizontal="center" vertical="center"/>
    </xf>
    <xf numFmtId="0" fontId="17" fillId="15" borderId="11" xfId="1" applyFont="1" applyFill="1" applyBorder="1" applyAlignment="1">
      <alignment horizontal="center" vertical="center"/>
    </xf>
    <xf numFmtId="0" fontId="2" fillId="14" borderId="1" xfId="0" applyFont="1" applyFill="1" applyBorder="1" applyAlignment="1">
      <alignment horizontal="center" vertical="center" wrapText="1"/>
    </xf>
    <xf numFmtId="0" fontId="17" fillId="0" borderId="15" xfId="1" applyFont="1" applyBorder="1" applyAlignment="1">
      <alignment vertical="center"/>
    </xf>
    <xf numFmtId="10" fontId="17" fillId="0" borderId="15" xfId="1" applyNumberFormat="1" applyFont="1" applyBorder="1" applyAlignment="1">
      <alignment vertical="center"/>
    </xf>
    <xf numFmtId="0" fontId="17" fillId="15" borderId="15" xfId="1" applyFont="1" applyFill="1" applyBorder="1" applyAlignment="1">
      <alignment vertical="center"/>
    </xf>
    <xf numFmtId="164" fontId="17" fillId="15" borderId="15" xfId="1" applyNumberFormat="1" applyFont="1" applyFill="1" applyBorder="1" applyAlignment="1">
      <alignment vertical="center"/>
    </xf>
    <xf numFmtId="0" fontId="18" fillId="17" borderId="29" xfId="1" applyFont="1" applyFill="1" applyBorder="1" applyAlignment="1">
      <alignment horizontal="center" vertical="center"/>
    </xf>
    <xf numFmtId="0" fontId="21" fillId="17" borderId="30" xfId="1" applyFont="1" applyFill="1" applyBorder="1" applyAlignment="1">
      <alignment horizontal="center" vertical="center"/>
    </xf>
    <xf numFmtId="0" fontId="15" fillId="17" borderId="31" xfId="1" applyFont="1" applyFill="1" applyBorder="1" applyAlignment="1">
      <alignment horizontal="center" vertical="center"/>
    </xf>
    <xf numFmtId="0" fontId="17" fillId="0" borderId="32" xfId="1" applyFont="1" applyBorder="1" applyAlignment="1">
      <alignment vertical="center"/>
    </xf>
    <xf numFmtId="10" fontId="17" fillId="0" borderId="33" xfId="1" applyNumberFormat="1" applyFont="1" applyBorder="1" applyAlignment="1">
      <alignment vertical="center"/>
    </xf>
    <xf numFmtId="0" fontId="17" fillId="15" borderId="32" xfId="1" applyFont="1" applyFill="1" applyBorder="1" applyAlignment="1">
      <alignment vertical="center"/>
    </xf>
    <xf numFmtId="165" fontId="17" fillId="15" borderId="33" xfId="1" applyNumberFormat="1" applyFont="1" applyFill="1" applyBorder="1" applyAlignment="1">
      <alignment vertical="center"/>
    </xf>
    <xf numFmtId="0" fontId="17" fillId="0" borderId="33" xfId="1" applyFont="1" applyBorder="1" applyAlignment="1">
      <alignment vertical="center"/>
    </xf>
    <xf numFmtId="0" fontId="13" fillId="18" borderId="32" xfId="1" applyFont="1" applyFill="1" applyBorder="1" applyAlignment="1">
      <alignment vertical="center"/>
    </xf>
    <xf numFmtId="0" fontId="13" fillId="15" borderId="33" xfId="1" applyFont="1" applyFill="1" applyBorder="1" applyAlignment="1">
      <alignment vertical="center"/>
    </xf>
    <xf numFmtId="0" fontId="13" fillId="4" borderId="32" xfId="1" applyFont="1" applyFill="1" applyBorder="1" applyAlignment="1">
      <alignment vertical="center"/>
    </xf>
    <xf numFmtId="0" fontId="13" fillId="0" borderId="33" xfId="1" applyFont="1" applyBorder="1" applyAlignment="1">
      <alignment vertical="center"/>
    </xf>
    <xf numFmtId="0" fontId="17" fillId="15" borderId="34" xfId="1" applyFont="1" applyFill="1" applyBorder="1" applyAlignment="1">
      <alignment vertical="center"/>
    </xf>
    <xf numFmtId="0" fontId="17" fillId="15" borderId="35" xfId="1" applyFont="1" applyFill="1" applyBorder="1" applyAlignment="1">
      <alignment vertical="center"/>
    </xf>
    <xf numFmtId="0" fontId="13" fillId="15" borderId="36" xfId="1" applyFont="1" applyFill="1" applyBorder="1" applyAlignment="1">
      <alignment vertical="center"/>
    </xf>
    <xf numFmtId="0" fontId="0" fillId="0" borderId="0" xfId="0" applyAlignment="1">
      <alignment vertical="center" wrapText="1"/>
    </xf>
    <xf numFmtId="0" fontId="6" fillId="0" borderId="0" xfId="0" applyFont="1" applyAlignment="1">
      <alignment horizontal="center" vertical="center" wrapText="1"/>
    </xf>
    <xf numFmtId="0" fontId="0" fillId="2" borderId="12" xfId="0" applyFill="1" applyBorder="1" applyAlignment="1">
      <alignment horizontal="left"/>
    </xf>
    <xf numFmtId="0" fontId="35" fillId="0" borderId="0" xfId="0" applyFont="1" applyAlignment="1">
      <alignment vertical="top" wrapText="1"/>
    </xf>
    <xf numFmtId="0" fontId="35" fillId="0" borderId="0" xfId="0" applyFont="1" applyAlignment="1">
      <alignment vertical="top"/>
    </xf>
    <xf numFmtId="0" fontId="36" fillId="0" borderId="0" xfId="0" applyFont="1" applyAlignment="1">
      <alignment vertical="top" wrapText="1"/>
    </xf>
    <xf numFmtId="0" fontId="11" fillId="7" borderId="1"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0" fillId="3" borderId="0" xfId="0" applyFill="1" applyAlignment="1">
      <alignment horizontal="center" vertical="center"/>
    </xf>
    <xf numFmtId="0" fontId="34" fillId="0" borderId="0" xfId="0" applyFont="1" applyAlignment="1">
      <alignment horizontal="center"/>
    </xf>
    <xf numFmtId="0" fontId="0" fillId="0" borderId="0" xfId="0" applyAlignment="1">
      <alignment horizontal="center"/>
    </xf>
    <xf numFmtId="0" fontId="22" fillId="0" borderId="1" xfId="0" applyFont="1" applyBorder="1" applyAlignment="1">
      <alignment horizontal="center" vertical="center" wrapText="1"/>
    </xf>
    <xf numFmtId="0" fontId="21" fillId="14" borderId="18" xfId="0" applyFont="1" applyFill="1" applyBorder="1" applyAlignment="1">
      <alignment horizontal="center" vertical="center"/>
    </xf>
    <xf numFmtId="0" fontId="31" fillId="0" borderId="0" xfId="0" applyFont="1" applyAlignment="1">
      <alignment horizontal="center"/>
    </xf>
    <xf numFmtId="0" fontId="21" fillId="14" borderId="15" xfId="0" applyFont="1" applyFill="1" applyBorder="1" applyAlignment="1">
      <alignment horizontal="center" vertical="center" wrapText="1"/>
    </xf>
    <xf numFmtId="0" fontId="21" fillId="14" borderId="13" xfId="0" applyFont="1" applyFill="1" applyBorder="1" applyAlignment="1">
      <alignment horizontal="center" vertical="center" wrapText="1"/>
    </xf>
    <xf numFmtId="0" fontId="21" fillId="14" borderId="15" xfId="0" applyFont="1" applyFill="1" applyBorder="1" applyAlignment="1">
      <alignment horizontal="center" vertical="center"/>
    </xf>
    <xf numFmtId="0" fontId="21" fillId="14" borderId="13" xfId="0" applyFont="1" applyFill="1" applyBorder="1" applyAlignment="1">
      <alignment horizontal="center" vertical="center"/>
    </xf>
    <xf numFmtId="0" fontId="0" fillId="0" borderId="1" xfId="0" applyBorder="1" applyAlignment="1">
      <alignment horizontal="center" vertical="center" wrapText="1"/>
    </xf>
    <xf numFmtId="0" fontId="13" fillId="14" borderId="15" xfId="0" applyFont="1" applyFill="1" applyBorder="1" applyAlignment="1">
      <alignment horizontal="center" vertical="center" wrapText="1"/>
    </xf>
    <xf numFmtId="0" fontId="13" fillId="14" borderId="13" xfId="0" applyFont="1" applyFill="1" applyBorder="1" applyAlignment="1">
      <alignment horizontal="center" vertical="center" wrapText="1"/>
    </xf>
    <xf numFmtId="0" fontId="13" fillId="14" borderId="24" xfId="0" applyFont="1" applyFill="1" applyBorder="1" applyAlignment="1">
      <alignment horizontal="center" vertical="center" wrapText="1"/>
    </xf>
    <xf numFmtId="0" fontId="13" fillId="14" borderId="25" xfId="0" applyFont="1" applyFill="1" applyBorder="1" applyAlignment="1">
      <alignment horizontal="center" vertical="center" wrapText="1"/>
    </xf>
    <xf numFmtId="0" fontId="21" fillId="14" borderId="10" xfId="0" applyFont="1" applyFill="1" applyBorder="1" applyAlignment="1">
      <alignment horizontal="center" vertical="center" wrapText="1"/>
    </xf>
    <xf numFmtId="0" fontId="21" fillId="14" borderId="28"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0" fillId="14" borderId="1" xfId="0" applyFill="1"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13" fillId="14" borderId="16" xfId="0" applyFont="1" applyFill="1" applyBorder="1" applyAlignment="1">
      <alignment horizontal="center" vertical="center"/>
    </xf>
    <xf numFmtId="0" fontId="13" fillId="14" borderId="12" xfId="0" applyFont="1" applyFill="1" applyBorder="1" applyAlignment="1">
      <alignment horizontal="center" vertical="center"/>
    </xf>
    <xf numFmtId="0" fontId="13" fillId="14" borderId="16" xfId="0" applyFont="1" applyFill="1" applyBorder="1" applyAlignment="1">
      <alignment horizontal="center" vertical="center" wrapText="1"/>
    </xf>
    <xf numFmtId="0" fontId="13" fillId="14" borderId="12" xfId="0" applyFont="1" applyFill="1" applyBorder="1" applyAlignment="1">
      <alignment horizontal="center" vertical="center" wrapText="1"/>
    </xf>
    <xf numFmtId="0" fontId="21" fillId="17" borderId="16" xfId="1" applyFont="1" applyFill="1" applyBorder="1" applyAlignment="1">
      <alignment horizontal="center" vertical="center"/>
    </xf>
    <xf numFmtId="0" fontId="23" fillId="14" borderId="17" xfId="1" applyFont="1" applyFill="1" applyBorder="1" applyAlignment="1">
      <alignment horizontal="center" vertical="center"/>
    </xf>
    <xf numFmtId="0" fontId="23" fillId="14" borderId="12" xfId="1" applyFont="1" applyFill="1" applyBorder="1" applyAlignment="1">
      <alignment horizontal="center" vertical="center"/>
    </xf>
    <xf numFmtId="0" fontId="13" fillId="17" borderId="15" xfId="1" applyFont="1" applyFill="1" applyBorder="1" applyAlignment="1">
      <alignment horizontal="center" vertical="center"/>
    </xf>
    <xf numFmtId="0" fontId="23" fillId="14" borderId="13" xfId="1" applyFont="1" applyFill="1" applyBorder="1" applyAlignment="1">
      <alignment horizontal="center" vertical="center"/>
    </xf>
    <xf numFmtId="0" fontId="29" fillId="16" borderId="7" xfId="0" applyFont="1" applyFill="1" applyBorder="1" applyAlignment="1">
      <alignment horizontal="center"/>
    </xf>
    <xf numFmtId="0" fontId="29" fillId="16" borderId="9" xfId="0" applyFont="1" applyFill="1" applyBorder="1" applyAlignment="1">
      <alignment horizontal="center"/>
    </xf>
    <xf numFmtId="0" fontId="29" fillId="16" borderId="8" xfId="0" applyFont="1" applyFill="1" applyBorder="1" applyAlignment="1">
      <alignment horizontal="center"/>
    </xf>
    <xf numFmtId="0" fontId="29" fillId="16" borderId="7" xfId="0" applyFont="1" applyFill="1" applyBorder="1" applyAlignment="1">
      <alignment horizontal="center" vertical="center"/>
    </xf>
    <xf numFmtId="0" fontId="29" fillId="16" borderId="9" xfId="0" applyFont="1" applyFill="1" applyBorder="1" applyAlignment="1">
      <alignment horizontal="center" vertical="center"/>
    </xf>
    <xf numFmtId="0" fontId="29" fillId="16" borderId="8" xfId="0" applyFont="1" applyFill="1" applyBorder="1" applyAlignment="1">
      <alignment horizontal="center" vertical="center"/>
    </xf>
    <xf numFmtId="0" fontId="2" fillId="0" borderId="7"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0" fillId="2" borderId="1" xfId="0" applyFill="1" applyBorder="1" applyAlignment="1">
      <alignment horizontal="left"/>
    </xf>
    <xf numFmtId="0" fontId="13" fillId="0" borderId="22" xfId="0" applyFont="1" applyBorder="1"/>
    <xf numFmtId="0" fontId="13" fillId="0" borderId="23" xfId="0" applyFont="1" applyBorder="1"/>
    <xf numFmtId="0" fontId="13" fillId="0" borderId="37" xfId="0" applyFont="1" applyBorder="1"/>
    <xf numFmtId="0" fontId="13" fillId="0" borderId="38" xfId="0" applyFont="1" applyBorder="1"/>
    <xf numFmtId="0" fontId="6" fillId="0" borderId="1" xfId="0" applyFont="1" applyBorder="1" applyAlignment="1">
      <alignment horizontal="center" vertical="center" wrapText="1"/>
    </xf>
    <xf numFmtId="0" fontId="0" fillId="0" borderId="0" xfId="0"/>
    <xf numFmtId="0" fontId="1" fillId="0" borderId="1"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vertical="center"/>
    </xf>
    <xf numFmtId="0" fontId="6" fillId="0" borderId="8" xfId="0" applyFont="1" applyBorder="1" applyAlignment="1">
      <alignment horizontal="center" vertical="center"/>
    </xf>
    <xf numFmtId="0" fontId="4" fillId="0" borderId="1"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xf>
    <xf numFmtId="0" fontId="24" fillId="0" borderId="7" xfId="0" applyFont="1" applyBorder="1" applyAlignment="1">
      <alignment horizontal="center" vertical="center"/>
    </xf>
    <xf numFmtId="0" fontId="33" fillId="0" borderId="7" xfId="0" applyFont="1" applyBorder="1" applyAlignment="1">
      <alignment horizontal="center" vertical="center"/>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0" fontId="6" fillId="0" borderId="6"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1" fillId="6" borderId="7"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8" xfId="0" applyFont="1" applyFill="1" applyBorder="1" applyAlignment="1">
      <alignment horizontal="center" vertical="center"/>
    </xf>
    <xf numFmtId="0" fontId="3" fillId="7" borderId="10"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28" xfId="0" applyFont="1" applyFill="1" applyBorder="1" applyAlignment="1">
      <alignment horizontal="center" vertical="center" wrapText="1"/>
    </xf>
    <xf numFmtId="0" fontId="0" fillId="7" borderId="10"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28" xfId="0" applyFill="1" applyBorder="1" applyAlignment="1">
      <alignment horizontal="center" vertical="center" wrapText="1"/>
    </xf>
    <xf numFmtId="0" fontId="12" fillId="6" borderId="19" xfId="0" applyFont="1" applyFill="1" applyBorder="1" applyAlignment="1">
      <alignment horizontal="center" vertical="center" wrapText="1"/>
    </xf>
    <xf numFmtId="0" fontId="12" fillId="6" borderId="20" xfId="0" applyFont="1" applyFill="1" applyBorder="1" applyAlignment="1">
      <alignment horizontal="center" vertical="center" wrapText="1"/>
    </xf>
    <xf numFmtId="0" fontId="12" fillId="6" borderId="21"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6" borderId="3"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27" fillId="11" borderId="1" xfId="0" applyFont="1" applyFill="1" applyBorder="1" applyAlignment="1">
      <alignment horizontal="center" vertical="center"/>
    </xf>
    <xf numFmtId="0" fontId="7" fillId="12" borderId="1"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9" xfId="0" applyFont="1" applyFill="1" applyBorder="1" applyAlignment="1">
      <alignment horizontal="center" vertical="center"/>
    </xf>
    <xf numFmtId="0" fontId="7" fillId="9" borderId="8" xfId="0" applyFont="1" applyFill="1" applyBorder="1" applyAlignment="1">
      <alignment horizontal="center" vertical="center"/>
    </xf>
    <xf numFmtId="0" fontId="5" fillId="14" borderId="7" xfId="0" applyFont="1" applyFill="1" applyBorder="1" applyAlignment="1">
      <alignment horizontal="center" vertical="center" wrapText="1"/>
    </xf>
    <xf numFmtId="0" fontId="5" fillId="14" borderId="9"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15" borderId="1" xfId="0" applyFill="1" applyBorder="1" applyAlignment="1">
      <alignment horizontal="center" vertical="center" wrapText="1"/>
    </xf>
    <xf numFmtId="0" fontId="0" fillId="0" borderId="9" xfId="0" applyBorder="1" applyAlignment="1">
      <alignment horizontal="center"/>
    </xf>
    <xf numFmtId="0" fontId="36" fillId="3" borderId="1" xfId="0" applyFont="1" applyFill="1" applyBorder="1" applyAlignment="1">
      <alignment horizontal="center" vertical="center" wrapText="1"/>
    </xf>
  </cellXfs>
  <cellStyles count="2">
    <cellStyle name="Normal" xfId="0" builtinId="0"/>
    <cellStyle name="Normal 2" xfId="1" xr:uid="{B7FF3F92-2264-4AD6-8540-AD29410C6C52}"/>
  </cellStyles>
  <dxfs count="48">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indexed="64"/>
        </bottom>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border outline="0">
        <bottom style="thin">
          <color rgb="FF000000"/>
        </bottom>
      </border>
    </dxf>
    <dxf>
      <fill>
        <patternFill patternType="solid">
          <fgColor indexed="64"/>
          <bgColor theme="5" tint="0.79998168889431442"/>
        </patternFill>
      </fill>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0"/>
        <name val="Aptos Narrow"/>
        <family val="2"/>
        <scheme val="minor"/>
      </font>
      <fill>
        <patternFill patternType="solid">
          <fgColor indexed="64"/>
          <bgColor theme="1"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4" formatCode="#,##0.00"/>
    </dxf>
    <dxf>
      <numFmt numFmtId="4" formatCode="#,##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fill>
        <patternFill patternType="solid">
          <fgColor indexed="64"/>
          <bgColor theme="1"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882817383652675E-2"/>
          <c:y val="9.5658332245070171E-2"/>
          <c:w val="0.89845096582894912"/>
          <c:h val="0.79786194619521167"/>
        </c:manualLayout>
      </c:layout>
      <c:lineChart>
        <c:grouping val="standard"/>
        <c:varyColors val="0"/>
        <c:ser>
          <c:idx val="0"/>
          <c:order val="0"/>
          <c:tx>
            <c:strRef>
              <c:f>'Price Movement Analysis'!$I$2</c:f>
              <c:strCache>
                <c:ptCount val="1"/>
                <c:pt idx="0">
                  <c:v>VOLUME </c:v>
                </c:pt>
              </c:strCache>
            </c:strRef>
          </c:tx>
          <c:spPr>
            <a:ln w="28575" cap="rnd">
              <a:solidFill>
                <a:schemeClr val="accent1"/>
              </a:solidFill>
              <a:round/>
            </a:ln>
            <a:effectLst/>
          </c:spPr>
          <c:marker>
            <c:symbol val="none"/>
          </c:marker>
          <c:cat>
            <c:numRef>
              <c:f>'Price Movement Analysis'!$B$3:$B$251</c:f>
              <c:numCache>
                <c:formatCode>d\-mmm\-yy</c:formatCode>
                <c:ptCount val="249"/>
                <c:pt idx="0">
                  <c:v>45744</c:v>
                </c:pt>
                <c:pt idx="1">
                  <c:v>45743</c:v>
                </c:pt>
                <c:pt idx="2">
                  <c:v>45742</c:v>
                </c:pt>
                <c:pt idx="3">
                  <c:v>45741</c:v>
                </c:pt>
                <c:pt idx="4">
                  <c:v>45740</c:v>
                </c:pt>
                <c:pt idx="5">
                  <c:v>45737</c:v>
                </c:pt>
                <c:pt idx="6">
                  <c:v>45736</c:v>
                </c:pt>
                <c:pt idx="7">
                  <c:v>45735</c:v>
                </c:pt>
                <c:pt idx="8">
                  <c:v>45734</c:v>
                </c:pt>
                <c:pt idx="9">
                  <c:v>45733</c:v>
                </c:pt>
                <c:pt idx="10">
                  <c:v>45729</c:v>
                </c:pt>
                <c:pt idx="11">
                  <c:v>45728</c:v>
                </c:pt>
                <c:pt idx="12">
                  <c:v>45727</c:v>
                </c:pt>
                <c:pt idx="13">
                  <c:v>45726</c:v>
                </c:pt>
                <c:pt idx="14">
                  <c:v>45723</c:v>
                </c:pt>
                <c:pt idx="15">
                  <c:v>45722</c:v>
                </c:pt>
                <c:pt idx="16">
                  <c:v>45721</c:v>
                </c:pt>
                <c:pt idx="17">
                  <c:v>45720</c:v>
                </c:pt>
                <c:pt idx="18">
                  <c:v>45719</c:v>
                </c:pt>
                <c:pt idx="19">
                  <c:v>45716</c:v>
                </c:pt>
                <c:pt idx="20">
                  <c:v>45715</c:v>
                </c:pt>
                <c:pt idx="21">
                  <c:v>45713</c:v>
                </c:pt>
                <c:pt idx="22">
                  <c:v>45712</c:v>
                </c:pt>
                <c:pt idx="23">
                  <c:v>45709</c:v>
                </c:pt>
                <c:pt idx="24">
                  <c:v>45708</c:v>
                </c:pt>
                <c:pt idx="25">
                  <c:v>45707</c:v>
                </c:pt>
                <c:pt idx="26">
                  <c:v>45706</c:v>
                </c:pt>
                <c:pt idx="27">
                  <c:v>45705</c:v>
                </c:pt>
                <c:pt idx="28">
                  <c:v>45702</c:v>
                </c:pt>
                <c:pt idx="29">
                  <c:v>45701</c:v>
                </c:pt>
                <c:pt idx="30">
                  <c:v>45700</c:v>
                </c:pt>
                <c:pt idx="31">
                  <c:v>45699</c:v>
                </c:pt>
                <c:pt idx="32">
                  <c:v>45698</c:v>
                </c:pt>
                <c:pt idx="33">
                  <c:v>45695</c:v>
                </c:pt>
                <c:pt idx="34">
                  <c:v>45694</c:v>
                </c:pt>
                <c:pt idx="35">
                  <c:v>45693</c:v>
                </c:pt>
                <c:pt idx="36">
                  <c:v>45692</c:v>
                </c:pt>
                <c:pt idx="37">
                  <c:v>45691</c:v>
                </c:pt>
                <c:pt idx="38">
                  <c:v>45689</c:v>
                </c:pt>
                <c:pt idx="39">
                  <c:v>45688</c:v>
                </c:pt>
                <c:pt idx="40">
                  <c:v>45687</c:v>
                </c:pt>
                <c:pt idx="41">
                  <c:v>45686</c:v>
                </c:pt>
                <c:pt idx="42">
                  <c:v>45685</c:v>
                </c:pt>
                <c:pt idx="43">
                  <c:v>45684</c:v>
                </c:pt>
                <c:pt idx="44">
                  <c:v>45681</c:v>
                </c:pt>
                <c:pt idx="45">
                  <c:v>45680</c:v>
                </c:pt>
                <c:pt idx="46">
                  <c:v>45679</c:v>
                </c:pt>
                <c:pt idx="47">
                  <c:v>45678</c:v>
                </c:pt>
                <c:pt idx="48">
                  <c:v>45677</c:v>
                </c:pt>
                <c:pt idx="49">
                  <c:v>45674</c:v>
                </c:pt>
                <c:pt idx="50">
                  <c:v>45673</c:v>
                </c:pt>
                <c:pt idx="51">
                  <c:v>45672</c:v>
                </c:pt>
                <c:pt idx="52">
                  <c:v>45671</c:v>
                </c:pt>
                <c:pt idx="53">
                  <c:v>45670</c:v>
                </c:pt>
                <c:pt idx="54">
                  <c:v>45667</c:v>
                </c:pt>
                <c:pt idx="55">
                  <c:v>45666</c:v>
                </c:pt>
                <c:pt idx="56">
                  <c:v>45665</c:v>
                </c:pt>
                <c:pt idx="57">
                  <c:v>45664</c:v>
                </c:pt>
                <c:pt idx="58">
                  <c:v>45663</c:v>
                </c:pt>
                <c:pt idx="59">
                  <c:v>45660</c:v>
                </c:pt>
                <c:pt idx="60">
                  <c:v>45659</c:v>
                </c:pt>
                <c:pt idx="61">
                  <c:v>45658</c:v>
                </c:pt>
                <c:pt idx="62">
                  <c:v>45657</c:v>
                </c:pt>
                <c:pt idx="63">
                  <c:v>45656</c:v>
                </c:pt>
                <c:pt idx="64">
                  <c:v>45653</c:v>
                </c:pt>
                <c:pt idx="65">
                  <c:v>45652</c:v>
                </c:pt>
                <c:pt idx="66">
                  <c:v>45650</c:v>
                </c:pt>
                <c:pt idx="67">
                  <c:v>45649</c:v>
                </c:pt>
                <c:pt idx="68">
                  <c:v>45646</c:v>
                </c:pt>
                <c:pt idx="69">
                  <c:v>45645</c:v>
                </c:pt>
                <c:pt idx="70">
                  <c:v>45644</c:v>
                </c:pt>
                <c:pt idx="71">
                  <c:v>45643</c:v>
                </c:pt>
                <c:pt idx="72">
                  <c:v>45642</c:v>
                </c:pt>
                <c:pt idx="73">
                  <c:v>45639</c:v>
                </c:pt>
                <c:pt idx="74">
                  <c:v>45638</c:v>
                </c:pt>
                <c:pt idx="75">
                  <c:v>45637</c:v>
                </c:pt>
                <c:pt idx="76">
                  <c:v>45636</c:v>
                </c:pt>
                <c:pt idx="77">
                  <c:v>45635</c:v>
                </c:pt>
                <c:pt idx="78">
                  <c:v>45632</c:v>
                </c:pt>
                <c:pt idx="79">
                  <c:v>45631</c:v>
                </c:pt>
                <c:pt idx="80">
                  <c:v>45630</c:v>
                </c:pt>
                <c:pt idx="81">
                  <c:v>45629</c:v>
                </c:pt>
                <c:pt idx="82">
                  <c:v>45628</c:v>
                </c:pt>
                <c:pt idx="83">
                  <c:v>45625</c:v>
                </c:pt>
                <c:pt idx="84">
                  <c:v>45624</c:v>
                </c:pt>
                <c:pt idx="85">
                  <c:v>45623</c:v>
                </c:pt>
                <c:pt idx="86">
                  <c:v>45622</c:v>
                </c:pt>
                <c:pt idx="87">
                  <c:v>45621</c:v>
                </c:pt>
                <c:pt idx="88">
                  <c:v>45618</c:v>
                </c:pt>
                <c:pt idx="89">
                  <c:v>45617</c:v>
                </c:pt>
                <c:pt idx="90">
                  <c:v>45615</c:v>
                </c:pt>
                <c:pt idx="91">
                  <c:v>45614</c:v>
                </c:pt>
                <c:pt idx="92">
                  <c:v>45610</c:v>
                </c:pt>
                <c:pt idx="93">
                  <c:v>45609</c:v>
                </c:pt>
                <c:pt idx="94">
                  <c:v>45608</c:v>
                </c:pt>
                <c:pt idx="95">
                  <c:v>45607</c:v>
                </c:pt>
                <c:pt idx="96">
                  <c:v>45604</c:v>
                </c:pt>
                <c:pt idx="97">
                  <c:v>45603</c:v>
                </c:pt>
                <c:pt idx="98">
                  <c:v>45602</c:v>
                </c:pt>
                <c:pt idx="99">
                  <c:v>45601</c:v>
                </c:pt>
                <c:pt idx="100">
                  <c:v>45600</c:v>
                </c:pt>
                <c:pt idx="101">
                  <c:v>45597</c:v>
                </c:pt>
                <c:pt idx="102">
                  <c:v>45596</c:v>
                </c:pt>
                <c:pt idx="103">
                  <c:v>45595</c:v>
                </c:pt>
                <c:pt idx="104">
                  <c:v>45594</c:v>
                </c:pt>
                <c:pt idx="105">
                  <c:v>45593</c:v>
                </c:pt>
                <c:pt idx="106">
                  <c:v>45590</c:v>
                </c:pt>
                <c:pt idx="107">
                  <c:v>45589</c:v>
                </c:pt>
                <c:pt idx="108">
                  <c:v>45588</c:v>
                </c:pt>
                <c:pt idx="109">
                  <c:v>45587</c:v>
                </c:pt>
                <c:pt idx="110">
                  <c:v>45586</c:v>
                </c:pt>
                <c:pt idx="111">
                  <c:v>45583</c:v>
                </c:pt>
                <c:pt idx="112">
                  <c:v>45582</c:v>
                </c:pt>
                <c:pt idx="113">
                  <c:v>45581</c:v>
                </c:pt>
                <c:pt idx="114">
                  <c:v>45580</c:v>
                </c:pt>
                <c:pt idx="115">
                  <c:v>45579</c:v>
                </c:pt>
                <c:pt idx="116">
                  <c:v>45576</c:v>
                </c:pt>
                <c:pt idx="117">
                  <c:v>45575</c:v>
                </c:pt>
                <c:pt idx="118">
                  <c:v>45574</c:v>
                </c:pt>
                <c:pt idx="119">
                  <c:v>45573</c:v>
                </c:pt>
                <c:pt idx="120">
                  <c:v>45572</c:v>
                </c:pt>
                <c:pt idx="121">
                  <c:v>45569</c:v>
                </c:pt>
                <c:pt idx="122">
                  <c:v>45568</c:v>
                </c:pt>
                <c:pt idx="123">
                  <c:v>45566</c:v>
                </c:pt>
                <c:pt idx="124">
                  <c:v>45565</c:v>
                </c:pt>
                <c:pt idx="125">
                  <c:v>45562</c:v>
                </c:pt>
                <c:pt idx="126">
                  <c:v>45561</c:v>
                </c:pt>
                <c:pt idx="127">
                  <c:v>45560</c:v>
                </c:pt>
                <c:pt idx="128">
                  <c:v>45559</c:v>
                </c:pt>
                <c:pt idx="129">
                  <c:v>45558</c:v>
                </c:pt>
                <c:pt idx="130">
                  <c:v>45555</c:v>
                </c:pt>
                <c:pt idx="131">
                  <c:v>45554</c:v>
                </c:pt>
                <c:pt idx="132">
                  <c:v>45553</c:v>
                </c:pt>
                <c:pt idx="133">
                  <c:v>45552</c:v>
                </c:pt>
                <c:pt idx="134">
                  <c:v>45551</c:v>
                </c:pt>
                <c:pt idx="135">
                  <c:v>45548</c:v>
                </c:pt>
                <c:pt idx="136">
                  <c:v>45547</c:v>
                </c:pt>
                <c:pt idx="137">
                  <c:v>45546</c:v>
                </c:pt>
                <c:pt idx="138">
                  <c:v>45545</c:v>
                </c:pt>
                <c:pt idx="139">
                  <c:v>45544</c:v>
                </c:pt>
                <c:pt idx="140">
                  <c:v>45541</c:v>
                </c:pt>
                <c:pt idx="141">
                  <c:v>45540</c:v>
                </c:pt>
                <c:pt idx="142">
                  <c:v>45539</c:v>
                </c:pt>
                <c:pt idx="143">
                  <c:v>45538</c:v>
                </c:pt>
                <c:pt idx="144">
                  <c:v>45537</c:v>
                </c:pt>
                <c:pt idx="145">
                  <c:v>45534</c:v>
                </c:pt>
                <c:pt idx="146">
                  <c:v>45533</c:v>
                </c:pt>
                <c:pt idx="147">
                  <c:v>45532</c:v>
                </c:pt>
                <c:pt idx="148">
                  <c:v>45531</c:v>
                </c:pt>
                <c:pt idx="149">
                  <c:v>45530</c:v>
                </c:pt>
                <c:pt idx="150">
                  <c:v>45527</c:v>
                </c:pt>
                <c:pt idx="151">
                  <c:v>45526</c:v>
                </c:pt>
                <c:pt idx="152">
                  <c:v>45525</c:v>
                </c:pt>
                <c:pt idx="153">
                  <c:v>45524</c:v>
                </c:pt>
                <c:pt idx="154">
                  <c:v>45523</c:v>
                </c:pt>
                <c:pt idx="155">
                  <c:v>45520</c:v>
                </c:pt>
                <c:pt idx="156">
                  <c:v>45518</c:v>
                </c:pt>
                <c:pt idx="157">
                  <c:v>45517</c:v>
                </c:pt>
                <c:pt idx="158">
                  <c:v>45516</c:v>
                </c:pt>
                <c:pt idx="159">
                  <c:v>45513</c:v>
                </c:pt>
                <c:pt idx="160">
                  <c:v>45512</c:v>
                </c:pt>
                <c:pt idx="161">
                  <c:v>45511</c:v>
                </c:pt>
                <c:pt idx="162">
                  <c:v>45510</c:v>
                </c:pt>
                <c:pt idx="163">
                  <c:v>45509</c:v>
                </c:pt>
                <c:pt idx="164">
                  <c:v>45506</c:v>
                </c:pt>
                <c:pt idx="165">
                  <c:v>45505</c:v>
                </c:pt>
                <c:pt idx="166">
                  <c:v>45504</c:v>
                </c:pt>
                <c:pt idx="167">
                  <c:v>45503</c:v>
                </c:pt>
                <c:pt idx="168">
                  <c:v>45502</c:v>
                </c:pt>
                <c:pt idx="169">
                  <c:v>45499</c:v>
                </c:pt>
                <c:pt idx="170">
                  <c:v>45498</c:v>
                </c:pt>
                <c:pt idx="171">
                  <c:v>45497</c:v>
                </c:pt>
                <c:pt idx="172">
                  <c:v>45496</c:v>
                </c:pt>
                <c:pt idx="173">
                  <c:v>45495</c:v>
                </c:pt>
                <c:pt idx="174">
                  <c:v>45492</c:v>
                </c:pt>
                <c:pt idx="175">
                  <c:v>45491</c:v>
                </c:pt>
                <c:pt idx="176">
                  <c:v>45489</c:v>
                </c:pt>
                <c:pt idx="177">
                  <c:v>45488</c:v>
                </c:pt>
                <c:pt idx="178">
                  <c:v>45485</c:v>
                </c:pt>
                <c:pt idx="179">
                  <c:v>45484</c:v>
                </c:pt>
                <c:pt idx="180">
                  <c:v>45483</c:v>
                </c:pt>
                <c:pt idx="181">
                  <c:v>45482</c:v>
                </c:pt>
                <c:pt idx="182">
                  <c:v>45481</c:v>
                </c:pt>
                <c:pt idx="183">
                  <c:v>45478</c:v>
                </c:pt>
                <c:pt idx="184">
                  <c:v>45477</c:v>
                </c:pt>
                <c:pt idx="185">
                  <c:v>45476</c:v>
                </c:pt>
                <c:pt idx="186">
                  <c:v>45475</c:v>
                </c:pt>
                <c:pt idx="187">
                  <c:v>45474</c:v>
                </c:pt>
                <c:pt idx="188">
                  <c:v>45471</c:v>
                </c:pt>
                <c:pt idx="189">
                  <c:v>45470</c:v>
                </c:pt>
                <c:pt idx="190">
                  <c:v>45469</c:v>
                </c:pt>
                <c:pt idx="191">
                  <c:v>45468</c:v>
                </c:pt>
                <c:pt idx="192">
                  <c:v>45467</c:v>
                </c:pt>
                <c:pt idx="193">
                  <c:v>45464</c:v>
                </c:pt>
                <c:pt idx="194">
                  <c:v>45463</c:v>
                </c:pt>
                <c:pt idx="195">
                  <c:v>45462</c:v>
                </c:pt>
                <c:pt idx="196">
                  <c:v>45461</c:v>
                </c:pt>
                <c:pt idx="197">
                  <c:v>45457</c:v>
                </c:pt>
                <c:pt idx="198">
                  <c:v>45456</c:v>
                </c:pt>
                <c:pt idx="199">
                  <c:v>45455</c:v>
                </c:pt>
                <c:pt idx="200">
                  <c:v>45454</c:v>
                </c:pt>
                <c:pt idx="201">
                  <c:v>45453</c:v>
                </c:pt>
                <c:pt idx="202">
                  <c:v>45450</c:v>
                </c:pt>
                <c:pt idx="203">
                  <c:v>45449</c:v>
                </c:pt>
                <c:pt idx="204">
                  <c:v>45448</c:v>
                </c:pt>
                <c:pt idx="205">
                  <c:v>45447</c:v>
                </c:pt>
                <c:pt idx="206">
                  <c:v>45446</c:v>
                </c:pt>
                <c:pt idx="207">
                  <c:v>45443</c:v>
                </c:pt>
                <c:pt idx="208">
                  <c:v>45442</c:v>
                </c:pt>
                <c:pt idx="209">
                  <c:v>45441</c:v>
                </c:pt>
                <c:pt idx="210">
                  <c:v>45440</c:v>
                </c:pt>
                <c:pt idx="211">
                  <c:v>45439</c:v>
                </c:pt>
                <c:pt idx="212">
                  <c:v>45436</c:v>
                </c:pt>
                <c:pt idx="213">
                  <c:v>45435</c:v>
                </c:pt>
                <c:pt idx="214">
                  <c:v>45434</c:v>
                </c:pt>
                <c:pt idx="215">
                  <c:v>45433</c:v>
                </c:pt>
                <c:pt idx="216">
                  <c:v>45430</c:v>
                </c:pt>
                <c:pt idx="217">
                  <c:v>45429</c:v>
                </c:pt>
                <c:pt idx="218">
                  <c:v>45428</c:v>
                </c:pt>
                <c:pt idx="219">
                  <c:v>45427</c:v>
                </c:pt>
                <c:pt idx="220">
                  <c:v>45426</c:v>
                </c:pt>
                <c:pt idx="221">
                  <c:v>45425</c:v>
                </c:pt>
                <c:pt idx="222">
                  <c:v>45422</c:v>
                </c:pt>
                <c:pt idx="223">
                  <c:v>45421</c:v>
                </c:pt>
                <c:pt idx="224">
                  <c:v>45420</c:v>
                </c:pt>
                <c:pt idx="225">
                  <c:v>45419</c:v>
                </c:pt>
                <c:pt idx="226">
                  <c:v>45418</c:v>
                </c:pt>
                <c:pt idx="227">
                  <c:v>45415</c:v>
                </c:pt>
                <c:pt idx="228">
                  <c:v>45414</c:v>
                </c:pt>
                <c:pt idx="229">
                  <c:v>45412</c:v>
                </c:pt>
                <c:pt idx="230">
                  <c:v>45411</c:v>
                </c:pt>
                <c:pt idx="231">
                  <c:v>45408</c:v>
                </c:pt>
                <c:pt idx="232">
                  <c:v>45407</c:v>
                </c:pt>
                <c:pt idx="233">
                  <c:v>45406</c:v>
                </c:pt>
                <c:pt idx="234">
                  <c:v>45405</c:v>
                </c:pt>
                <c:pt idx="235">
                  <c:v>45404</c:v>
                </c:pt>
                <c:pt idx="236">
                  <c:v>45401</c:v>
                </c:pt>
                <c:pt idx="237">
                  <c:v>45400</c:v>
                </c:pt>
                <c:pt idx="238">
                  <c:v>45398</c:v>
                </c:pt>
                <c:pt idx="239">
                  <c:v>45397</c:v>
                </c:pt>
                <c:pt idx="240">
                  <c:v>45394</c:v>
                </c:pt>
                <c:pt idx="241">
                  <c:v>45392</c:v>
                </c:pt>
                <c:pt idx="242">
                  <c:v>45391</c:v>
                </c:pt>
                <c:pt idx="243">
                  <c:v>45390</c:v>
                </c:pt>
                <c:pt idx="244">
                  <c:v>45387</c:v>
                </c:pt>
                <c:pt idx="245">
                  <c:v>45386</c:v>
                </c:pt>
                <c:pt idx="246">
                  <c:v>45385</c:v>
                </c:pt>
                <c:pt idx="247">
                  <c:v>45384</c:v>
                </c:pt>
                <c:pt idx="248">
                  <c:v>45383</c:v>
                </c:pt>
              </c:numCache>
            </c:numRef>
          </c:cat>
          <c:val>
            <c:numRef>
              <c:f>'Price Movement Analysis'!$I$3:$I$251</c:f>
              <c:numCache>
                <c:formatCode>#,##0</c:formatCode>
                <c:ptCount val="249"/>
                <c:pt idx="0">
                  <c:v>405048</c:v>
                </c:pt>
                <c:pt idx="1">
                  <c:v>149782</c:v>
                </c:pt>
                <c:pt idx="2">
                  <c:v>111424</c:v>
                </c:pt>
                <c:pt idx="3">
                  <c:v>104508</c:v>
                </c:pt>
                <c:pt idx="4">
                  <c:v>114547</c:v>
                </c:pt>
                <c:pt idx="5">
                  <c:v>130336</c:v>
                </c:pt>
                <c:pt idx="6">
                  <c:v>98728</c:v>
                </c:pt>
                <c:pt idx="7">
                  <c:v>127773</c:v>
                </c:pt>
                <c:pt idx="8">
                  <c:v>89849</c:v>
                </c:pt>
                <c:pt idx="9">
                  <c:v>125011</c:v>
                </c:pt>
                <c:pt idx="10">
                  <c:v>109731</c:v>
                </c:pt>
                <c:pt idx="11">
                  <c:v>164096</c:v>
                </c:pt>
                <c:pt idx="12">
                  <c:v>63128</c:v>
                </c:pt>
                <c:pt idx="13">
                  <c:v>72358</c:v>
                </c:pt>
                <c:pt idx="14">
                  <c:v>61540</c:v>
                </c:pt>
                <c:pt idx="15">
                  <c:v>61765</c:v>
                </c:pt>
                <c:pt idx="16">
                  <c:v>90411</c:v>
                </c:pt>
                <c:pt idx="17">
                  <c:v>85795</c:v>
                </c:pt>
                <c:pt idx="18">
                  <c:v>179183</c:v>
                </c:pt>
                <c:pt idx="19">
                  <c:v>153312</c:v>
                </c:pt>
                <c:pt idx="20">
                  <c:v>351668</c:v>
                </c:pt>
                <c:pt idx="21">
                  <c:v>1046583</c:v>
                </c:pt>
                <c:pt idx="22">
                  <c:v>533086</c:v>
                </c:pt>
                <c:pt idx="23">
                  <c:v>595310</c:v>
                </c:pt>
                <c:pt idx="24">
                  <c:v>129345</c:v>
                </c:pt>
                <c:pt idx="25">
                  <c:v>197385</c:v>
                </c:pt>
                <c:pt idx="26">
                  <c:v>499929</c:v>
                </c:pt>
                <c:pt idx="27">
                  <c:v>198184</c:v>
                </c:pt>
                <c:pt idx="28">
                  <c:v>127682</c:v>
                </c:pt>
                <c:pt idx="29">
                  <c:v>216551</c:v>
                </c:pt>
                <c:pt idx="30">
                  <c:v>247157</c:v>
                </c:pt>
                <c:pt idx="31">
                  <c:v>324175</c:v>
                </c:pt>
                <c:pt idx="32">
                  <c:v>160276</c:v>
                </c:pt>
                <c:pt idx="33">
                  <c:v>86962</c:v>
                </c:pt>
                <c:pt idx="34">
                  <c:v>160062</c:v>
                </c:pt>
                <c:pt idx="35">
                  <c:v>84644</c:v>
                </c:pt>
                <c:pt idx="36">
                  <c:v>354217</c:v>
                </c:pt>
                <c:pt idx="37">
                  <c:v>998808</c:v>
                </c:pt>
                <c:pt idx="38">
                  <c:v>916732</c:v>
                </c:pt>
                <c:pt idx="39">
                  <c:v>260783</c:v>
                </c:pt>
                <c:pt idx="40">
                  <c:v>385248</c:v>
                </c:pt>
                <c:pt idx="41">
                  <c:v>347931</c:v>
                </c:pt>
                <c:pt idx="42">
                  <c:v>244554</c:v>
                </c:pt>
                <c:pt idx="43">
                  <c:v>185578</c:v>
                </c:pt>
                <c:pt idx="44">
                  <c:v>116664</c:v>
                </c:pt>
                <c:pt idx="45">
                  <c:v>426525</c:v>
                </c:pt>
                <c:pt idx="46">
                  <c:v>222066</c:v>
                </c:pt>
                <c:pt idx="47">
                  <c:v>116474</c:v>
                </c:pt>
                <c:pt idx="48">
                  <c:v>84532</c:v>
                </c:pt>
                <c:pt idx="49">
                  <c:v>93613</c:v>
                </c:pt>
                <c:pt idx="50">
                  <c:v>149060</c:v>
                </c:pt>
                <c:pt idx="51">
                  <c:v>206940</c:v>
                </c:pt>
                <c:pt idx="52">
                  <c:v>174605</c:v>
                </c:pt>
                <c:pt idx="53">
                  <c:v>200946</c:v>
                </c:pt>
                <c:pt idx="54">
                  <c:v>279113</c:v>
                </c:pt>
                <c:pt idx="55">
                  <c:v>112693</c:v>
                </c:pt>
                <c:pt idx="56">
                  <c:v>142177</c:v>
                </c:pt>
                <c:pt idx="57">
                  <c:v>85433</c:v>
                </c:pt>
                <c:pt idx="58">
                  <c:v>457642</c:v>
                </c:pt>
                <c:pt idx="59">
                  <c:v>338918</c:v>
                </c:pt>
                <c:pt idx="60">
                  <c:v>127608</c:v>
                </c:pt>
                <c:pt idx="61">
                  <c:v>91829</c:v>
                </c:pt>
                <c:pt idx="62">
                  <c:v>193306</c:v>
                </c:pt>
                <c:pt idx="63">
                  <c:v>383666</c:v>
                </c:pt>
                <c:pt idx="64">
                  <c:v>2596097</c:v>
                </c:pt>
                <c:pt idx="65">
                  <c:v>178261</c:v>
                </c:pt>
                <c:pt idx="66">
                  <c:v>231220</c:v>
                </c:pt>
                <c:pt idx="67">
                  <c:v>83487</c:v>
                </c:pt>
                <c:pt idx="68">
                  <c:v>121400</c:v>
                </c:pt>
                <c:pt idx="69">
                  <c:v>127455</c:v>
                </c:pt>
                <c:pt idx="70">
                  <c:v>80875</c:v>
                </c:pt>
                <c:pt idx="71">
                  <c:v>59374</c:v>
                </c:pt>
                <c:pt idx="72">
                  <c:v>107360</c:v>
                </c:pt>
                <c:pt idx="73">
                  <c:v>109719</c:v>
                </c:pt>
                <c:pt idx="74">
                  <c:v>77490</c:v>
                </c:pt>
                <c:pt idx="75">
                  <c:v>112680</c:v>
                </c:pt>
                <c:pt idx="76">
                  <c:v>157465</c:v>
                </c:pt>
                <c:pt idx="77">
                  <c:v>119924</c:v>
                </c:pt>
                <c:pt idx="78">
                  <c:v>209839</c:v>
                </c:pt>
                <c:pt idx="79">
                  <c:v>107526</c:v>
                </c:pt>
                <c:pt idx="80">
                  <c:v>266223</c:v>
                </c:pt>
                <c:pt idx="81">
                  <c:v>183367</c:v>
                </c:pt>
                <c:pt idx="82">
                  <c:v>306702</c:v>
                </c:pt>
                <c:pt idx="83">
                  <c:v>423537</c:v>
                </c:pt>
                <c:pt idx="84">
                  <c:v>237510</c:v>
                </c:pt>
                <c:pt idx="85">
                  <c:v>160938</c:v>
                </c:pt>
                <c:pt idx="86">
                  <c:v>555955</c:v>
                </c:pt>
                <c:pt idx="87">
                  <c:v>283078</c:v>
                </c:pt>
                <c:pt idx="88">
                  <c:v>123381</c:v>
                </c:pt>
                <c:pt idx="89">
                  <c:v>165055</c:v>
                </c:pt>
                <c:pt idx="90">
                  <c:v>300203</c:v>
                </c:pt>
                <c:pt idx="91">
                  <c:v>263399</c:v>
                </c:pt>
                <c:pt idx="92">
                  <c:v>159862</c:v>
                </c:pt>
                <c:pt idx="93">
                  <c:v>132831</c:v>
                </c:pt>
                <c:pt idx="94">
                  <c:v>330309</c:v>
                </c:pt>
                <c:pt idx="95">
                  <c:v>186781</c:v>
                </c:pt>
                <c:pt idx="96">
                  <c:v>98355</c:v>
                </c:pt>
                <c:pt idx="97">
                  <c:v>261356</c:v>
                </c:pt>
                <c:pt idx="98">
                  <c:v>352439</c:v>
                </c:pt>
                <c:pt idx="99">
                  <c:v>1134015</c:v>
                </c:pt>
                <c:pt idx="100">
                  <c:v>366261</c:v>
                </c:pt>
                <c:pt idx="101">
                  <c:v>44277</c:v>
                </c:pt>
                <c:pt idx="102">
                  <c:v>242375</c:v>
                </c:pt>
                <c:pt idx="103">
                  <c:v>330459</c:v>
                </c:pt>
                <c:pt idx="104">
                  <c:v>169419</c:v>
                </c:pt>
                <c:pt idx="105">
                  <c:v>98764</c:v>
                </c:pt>
                <c:pt idx="106">
                  <c:v>137411</c:v>
                </c:pt>
                <c:pt idx="107">
                  <c:v>117518</c:v>
                </c:pt>
                <c:pt idx="108">
                  <c:v>347457</c:v>
                </c:pt>
                <c:pt idx="109">
                  <c:v>616986</c:v>
                </c:pt>
                <c:pt idx="110">
                  <c:v>311450</c:v>
                </c:pt>
                <c:pt idx="111">
                  <c:v>364814</c:v>
                </c:pt>
                <c:pt idx="112">
                  <c:v>450226</c:v>
                </c:pt>
                <c:pt idx="113">
                  <c:v>163678</c:v>
                </c:pt>
                <c:pt idx="114">
                  <c:v>287862</c:v>
                </c:pt>
                <c:pt idx="115">
                  <c:v>157345</c:v>
                </c:pt>
                <c:pt idx="116">
                  <c:v>291909</c:v>
                </c:pt>
                <c:pt idx="117">
                  <c:v>360712</c:v>
                </c:pt>
                <c:pt idx="118">
                  <c:v>274924</c:v>
                </c:pt>
                <c:pt idx="119">
                  <c:v>289306</c:v>
                </c:pt>
                <c:pt idx="120">
                  <c:v>160064</c:v>
                </c:pt>
                <c:pt idx="121">
                  <c:v>487982</c:v>
                </c:pt>
                <c:pt idx="122">
                  <c:v>492342</c:v>
                </c:pt>
                <c:pt idx="123">
                  <c:v>113207</c:v>
                </c:pt>
                <c:pt idx="124">
                  <c:v>235858</c:v>
                </c:pt>
                <c:pt idx="125">
                  <c:v>731734</c:v>
                </c:pt>
                <c:pt idx="126">
                  <c:v>194985</c:v>
                </c:pt>
                <c:pt idx="127">
                  <c:v>432778</c:v>
                </c:pt>
                <c:pt idx="128">
                  <c:v>217070</c:v>
                </c:pt>
                <c:pt idx="129">
                  <c:v>112964</c:v>
                </c:pt>
                <c:pt idx="130">
                  <c:v>203288</c:v>
                </c:pt>
                <c:pt idx="131">
                  <c:v>150332</c:v>
                </c:pt>
                <c:pt idx="132">
                  <c:v>213886</c:v>
                </c:pt>
                <c:pt idx="133">
                  <c:v>93625</c:v>
                </c:pt>
                <c:pt idx="134">
                  <c:v>143559</c:v>
                </c:pt>
                <c:pt idx="135">
                  <c:v>137045</c:v>
                </c:pt>
                <c:pt idx="136">
                  <c:v>282717</c:v>
                </c:pt>
                <c:pt idx="137">
                  <c:v>187875</c:v>
                </c:pt>
                <c:pt idx="138">
                  <c:v>223953</c:v>
                </c:pt>
                <c:pt idx="139">
                  <c:v>378138</c:v>
                </c:pt>
                <c:pt idx="140">
                  <c:v>395504</c:v>
                </c:pt>
                <c:pt idx="141">
                  <c:v>396867</c:v>
                </c:pt>
                <c:pt idx="142">
                  <c:v>181540</c:v>
                </c:pt>
                <c:pt idx="143">
                  <c:v>298888</c:v>
                </c:pt>
                <c:pt idx="144">
                  <c:v>148241</c:v>
                </c:pt>
                <c:pt idx="145">
                  <c:v>169234</c:v>
                </c:pt>
                <c:pt idx="146">
                  <c:v>386922</c:v>
                </c:pt>
                <c:pt idx="147">
                  <c:v>257139</c:v>
                </c:pt>
                <c:pt idx="148">
                  <c:v>123640</c:v>
                </c:pt>
                <c:pt idx="149">
                  <c:v>244009</c:v>
                </c:pt>
                <c:pt idx="150">
                  <c:v>349250</c:v>
                </c:pt>
                <c:pt idx="151">
                  <c:v>674340</c:v>
                </c:pt>
                <c:pt idx="152">
                  <c:v>280678</c:v>
                </c:pt>
                <c:pt idx="153">
                  <c:v>193531</c:v>
                </c:pt>
                <c:pt idx="154">
                  <c:v>327997</c:v>
                </c:pt>
                <c:pt idx="155">
                  <c:v>363962</c:v>
                </c:pt>
                <c:pt idx="156">
                  <c:v>295572</c:v>
                </c:pt>
                <c:pt idx="157">
                  <c:v>354487</c:v>
                </c:pt>
                <c:pt idx="158">
                  <c:v>266322</c:v>
                </c:pt>
                <c:pt idx="159">
                  <c:v>273308</c:v>
                </c:pt>
                <c:pt idx="160">
                  <c:v>270031</c:v>
                </c:pt>
                <c:pt idx="161">
                  <c:v>1626959</c:v>
                </c:pt>
                <c:pt idx="162">
                  <c:v>516740</c:v>
                </c:pt>
                <c:pt idx="163">
                  <c:v>528741</c:v>
                </c:pt>
                <c:pt idx="164">
                  <c:v>569796</c:v>
                </c:pt>
                <c:pt idx="165">
                  <c:v>662370</c:v>
                </c:pt>
                <c:pt idx="166">
                  <c:v>210362</c:v>
                </c:pt>
                <c:pt idx="167">
                  <c:v>521143</c:v>
                </c:pt>
                <c:pt idx="168">
                  <c:v>489858</c:v>
                </c:pt>
                <c:pt idx="169">
                  <c:v>276011</c:v>
                </c:pt>
                <c:pt idx="170">
                  <c:v>584433</c:v>
                </c:pt>
                <c:pt idx="171">
                  <c:v>1075660</c:v>
                </c:pt>
                <c:pt idx="172">
                  <c:v>601011</c:v>
                </c:pt>
                <c:pt idx="173">
                  <c:v>347455</c:v>
                </c:pt>
                <c:pt idx="174">
                  <c:v>397365</c:v>
                </c:pt>
                <c:pt idx="175">
                  <c:v>453241</c:v>
                </c:pt>
                <c:pt idx="176">
                  <c:v>256190</c:v>
                </c:pt>
                <c:pt idx="177">
                  <c:v>227117</c:v>
                </c:pt>
                <c:pt idx="178">
                  <c:v>332563</c:v>
                </c:pt>
                <c:pt idx="179">
                  <c:v>195552</c:v>
                </c:pt>
                <c:pt idx="180">
                  <c:v>904727</c:v>
                </c:pt>
                <c:pt idx="181">
                  <c:v>844436</c:v>
                </c:pt>
                <c:pt idx="182">
                  <c:v>497122</c:v>
                </c:pt>
                <c:pt idx="183">
                  <c:v>252285</c:v>
                </c:pt>
                <c:pt idx="184">
                  <c:v>329064</c:v>
                </c:pt>
                <c:pt idx="185">
                  <c:v>233632</c:v>
                </c:pt>
                <c:pt idx="186">
                  <c:v>315066</c:v>
                </c:pt>
                <c:pt idx="187">
                  <c:v>861337</c:v>
                </c:pt>
                <c:pt idx="188">
                  <c:v>2109333</c:v>
                </c:pt>
                <c:pt idx="189">
                  <c:v>485473</c:v>
                </c:pt>
                <c:pt idx="190">
                  <c:v>341718</c:v>
                </c:pt>
                <c:pt idx="191">
                  <c:v>377733</c:v>
                </c:pt>
                <c:pt idx="192">
                  <c:v>245296</c:v>
                </c:pt>
                <c:pt idx="193">
                  <c:v>301512</c:v>
                </c:pt>
                <c:pt idx="194">
                  <c:v>609376</c:v>
                </c:pt>
                <c:pt idx="195">
                  <c:v>353950</c:v>
                </c:pt>
                <c:pt idx="196">
                  <c:v>411776</c:v>
                </c:pt>
                <c:pt idx="197">
                  <c:v>439642</c:v>
                </c:pt>
                <c:pt idx="198">
                  <c:v>262442</c:v>
                </c:pt>
                <c:pt idx="199">
                  <c:v>349208</c:v>
                </c:pt>
                <c:pt idx="200">
                  <c:v>383699</c:v>
                </c:pt>
                <c:pt idx="201">
                  <c:v>686400</c:v>
                </c:pt>
                <c:pt idx="202">
                  <c:v>448938</c:v>
                </c:pt>
                <c:pt idx="203">
                  <c:v>1165705</c:v>
                </c:pt>
                <c:pt idx="204">
                  <c:v>1245444</c:v>
                </c:pt>
                <c:pt idx="205">
                  <c:v>810262</c:v>
                </c:pt>
                <c:pt idx="206">
                  <c:v>527951</c:v>
                </c:pt>
                <c:pt idx="207">
                  <c:v>731290</c:v>
                </c:pt>
                <c:pt idx="208">
                  <c:v>2903377</c:v>
                </c:pt>
                <c:pt idx="209">
                  <c:v>645704</c:v>
                </c:pt>
                <c:pt idx="210">
                  <c:v>301156</c:v>
                </c:pt>
                <c:pt idx="211">
                  <c:v>314719</c:v>
                </c:pt>
                <c:pt idx="212">
                  <c:v>182966</c:v>
                </c:pt>
                <c:pt idx="213">
                  <c:v>203479</c:v>
                </c:pt>
                <c:pt idx="214">
                  <c:v>211691</c:v>
                </c:pt>
                <c:pt idx="215">
                  <c:v>278840</c:v>
                </c:pt>
                <c:pt idx="216">
                  <c:v>147930</c:v>
                </c:pt>
                <c:pt idx="217">
                  <c:v>805358</c:v>
                </c:pt>
                <c:pt idx="218">
                  <c:v>164981</c:v>
                </c:pt>
                <c:pt idx="219">
                  <c:v>165453</c:v>
                </c:pt>
                <c:pt idx="220">
                  <c:v>288805</c:v>
                </c:pt>
                <c:pt idx="221">
                  <c:v>294086</c:v>
                </c:pt>
                <c:pt idx="222">
                  <c:v>247831</c:v>
                </c:pt>
                <c:pt idx="223">
                  <c:v>447161</c:v>
                </c:pt>
                <c:pt idx="224">
                  <c:v>266820</c:v>
                </c:pt>
                <c:pt idx="225">
                  <c:v>303260</c:v>
                </c:pt>
                <c:pt idx="226">
                  <c:v>256674</c:v>
                </c:pt>
                <c:pt idx="227">
                  <c:v>312915</c:v>
                </c:pt>
                <c:pt idx="228">
                  <c:v>299319</c:v>
                </c:pt>
                <c:pt idx="229">
                  <c:v>396351</c:v>
                </c:pt>
                <c:pt idx="230">
                  <c:v>504759</c:v>
                </c:pt>
                <c:pt idx="231">
                  <c:v>1007512</c:v>
                </c:pt>
                <c:pt idx="232">
                  <c:v>346668</c:v>
                </c:pt>
                <c:pt idx="233">
                  <c:v>628985</c:v>
                </c:pt>
                <c:pt idx="234">
                  <c:v>455490</c:v>
                </c:pt>
                <c:pt idx="235">
                  <c:v>520748</c:v>
                </c:pt>
                <c:pt idx="236">
                  <c:v>866280</c:v>
                </c:pt>
                <c:pt idx="237">
                  <c:v>514300</c:v>
                </c:pt>
                <c:pt idx="238">
                  <c:v>503906</c:v>
                </c:pt>
                <c:pt idx="239">
                  <c:v>780335</c:v>
                </c:pt>
                <c:pt idx="240">
                  <c:v>1062242</c:v>
                </c:pt>
                <c:pt idx="241">
                  <c:v>1037763</c:v>
                </c:pt>
                <c:pt idx="242">
                  <c:v>608528</c:v>
                </c:pt>
                <c:pt idx="243">
                  <c:v>434631</c:v>
                </c:pt>
                <c:pt idx="244">
                  <c:v>435369</c:v>
                </c:pt>
                <c:pt idx="245">
                  <c:v>196616</c:v>
                </c:pt>
                <c:pt idx="246">
                  <c:v>214264</c:v>
                </c:pt>
                <c:pt idx="247">
                  <c:v>267323</c:v>
                </c:pt>
                <c:pt idx="248">
                  <c:v>275675</c:v>
                </c:pt>
              </c:numCache>
            </c:numRef>
          </c:val>
          <c:smooth val="0"/>
          <c:extLst>
            <c:ext xmlns:c16="http://schemas.microsoft.com/office/drawing/2014/chart" uri="{C3380CC4-5D6E-409C-BE32-E72D297353CC}">
              <c16:uniqueId val="{00000000-FB1A-497E-908A-A5D76ABF7B33}"/>
            </c:ext>
          </c:extLst>
        </c:ser>
        <c:dLbls>
          <c:showLegendKey val="0"/>
          <c:showVal val="0"/>
          <c:showCatName val="0"/>
          <c:showSerName val="0"/>
          <c:showPercent val="0"/>
          <c:showBubbleSize val="0"/>
        </c:dLbls>
        <c:smooth val="0"/>
        <c:axId val="1690552911"/>
        <c:axId val="1696679039"/>
      </c:lineChart>
      <c:dateAx>
        <c:axId val="1690552911"/>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79039"/>
        <c:crosses val="autoZero"/>
        <c:auto val="1"/>
        <c:lblOffset val="100"/>
        <c:baseTimeUnit val="days"/>
      </c:dateAx>
      <c:valAx>
        <c:axId val="1696679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55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Portfolio Weights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A-4BD5-8025-E0A11298D7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A-4BD5-8025-E0A11298D7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A-4BD5-8025-E0A11298D7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8A-4BD5-8025-E0A11298D7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8A-4BD5-8025-E0A11298D7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'Portfolio Analysis'!$R$104:$R$108</c:f>
              <c:strCache>
                <c:ptCount val="5"/>
                <c:pt idx="0">
                  <c:v>Bata</c:v>
                </c:pt>
                <c:pt idx="1">
                  <c:v>TRENT</c:v>
                </c:pt>
                <c:pt idx="2">
                  <c:v>BHEL</c:v>
                </c:pt>
                <c:pt idx="3">
                  <c:v>Dabur India Ltd</c:v>
                </c:pt>
                <c:pt idx="4">
                  <c:v>Mazdock</c:v>
                </c:pt>
              </c:strCache>
            </c:strRef>
          </c:cat>
          <c:val>
            <c:numRef>
              <c:f>'Portfolio Analysis'!$V$104:$V$108</c:f>
              <c:numCache>
                <c:formatCode>General</c:formatCode>
                <c:ptCount val="5"/>
                <c:pt idx="0">
                  <c:v>0.39196961141473591</c:v>
                </c:pt>
                <c:pt idx="1">
                  <c:v>0.15033351889820162</c:v>
                </c:pt>
                <c:pt idx="2">
                  <c:v>5.9090194765230419E-2</c:v>
                </c:pt>
                <c:pt idx="3">
                  <c:v>0.39095356162039452</c:v>
                </c:pt>
                <c:pt idx="4">
                  <c:v>7.6531133014375863E-3</c:v>
                </c:pt>
              </c:numCache>
            </c:numRef>
          </c:val>
          <c:extLst>
            <c:ext xmlns:c16="http://schemas.microsoft.com/office/drawing/2014/chart" uri="{C3380CC4-5D6E-409C-BE32-E72D297353CC}">
              <c16:uniqueId val="{00000000-2853-AE4C-AABB-69A0B8F48270}"/>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Portfolio Weights</a:t>
            </a:r>
            <a:endParaRPr lang="en-US"/>
          </a:p>
        </c:rich>
      </c:tx>
      <c:overlay val="0"/>
      <c:spPr>
        <a:noFill/>
        <a:ln>
          <a:noFill/>
        </a:ln>
        <a:effectLst/>
      </c:spPr>
    </c:title>
    <c:autoTitleDeleted val="0"/>
    <c:plotArea>
      <c:layout/>
      <c:pieChart>
        <c:varyColors val="1"/>
        <c:ser>
          <c:idx val="1"/>
          <c:order val="0"/>
          <c:dLbls>
            <c:spPr>
              <a:solidFill>
                <a:sysClr val="window" lastClr="FFFFFF"/>
              </a:solidFill>
              <a:ln>
                <a:solidFill>
                  <a:sysClr val="windowText" lastClr="000000">
                    <a:lumMod val="65000"/>
                    <a:lumOff val="35000"/>
                  </a:sysClr>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'Portfolio Analysis'!$R$86:$R$90</c:f>
              <c:strCache>
                <c:ptCount val="5"/>
                <c:pt idx="0">
                  <c:v>Bata</c:v>
                </c:pt>
                <c:pt idx="1">
                  <c:v>TRENT</c:v>
                </c:pt>
                <c:pt idx="2">
                  <c:v>BHEL</c:v>
                </c:pt>
                <c:pt idx="3">
                  <c:v>Dabur India Ltd</c:v>
                </c:pt>
                <c:pt idx="4">
                  <c:v>Mazdock</c:v>
                </c:pt>
              </c:strCache>
            </c:strRef>
          </c:cat>
          <c:val>
            <c:numRef>
              <c:f>'Portfolio Analysis'!$V$86:$V$90</c:f>
              <c:numCache>
                <c:formatCode>General</c:formatCode>
                <c:ptCount val="5"/>
                <c:pt idx="0">
                  <c:v>0.37066623728610371</c:v>
                </c:pt>
                <c:pt idx="1">
                  <c:v>9.4186040760571937E-2</c:v>
                </c:pt>
                <c:pt idx="2">
                  <c:v>2.7522067703985641E-2</c:v>
                </c:pt>
                <c:pt idx="3">
                  <c:v>0.48530516473177182</c:v>
                </c:pt>
                <c:pt idx="4">
                  <c:v>2.2320489517566558E-2</c:v>
                </c:pt>
              </c:numCache>
            </c:numRef>
          </c:val>
          <c:extLst>
            <c:ext xmlns:c16="http://schemas.microsoft.com/office/drawing/2014/chart" uri="{C3380CC4-5D6E-409C-BE32-E72D297353CC}">
              <c16:uniqueId val="{0000000D-C3DB-B147-A9FA-34E610F4AEB9}"/>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3DB-B147-A9FA-34E610F4AE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3DB-B147-A9FA-34E610F4AE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C3DB-B147-A9FA-34E610F4AE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C3DB-B147-A9FA-34E610F4AE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C3DB-B147-A9FA-34E610F4AEB9}"/>
              </c:ext>
            </c:extLst>
          </c:dPt>
          <c:dLbls>
            <c:spPr>
              <a:solidFill>
                <a:sysClr val="window" lastClr="FFFFFF"/>
              </a:solidFill>
              <a:ln>
                <a:solidFill>
                  <a:sysClr val="windowText" lastClr="000000">
                    <a:lumMod val="65000"/>
                    <a:lumOff val="35000"/>
                  </a:sysClr>
                </a:solidFill>
              </a:ln>
              <a:effectLst/>
            </c:sp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'Portfolio Analysis'!$R$104:$R$108</c:f>
              <c:strCache>
                <c:ptCount val="5"/>
                <c:pt idx="0">
                  <c:v>Bata</c:v>
                </c:pt>
                <c:pt idx="1">
                  <c:v>TRENT</c:v>
                </c:pt>
                <c:pt idx="2">
                  <c:v>BHEL</c:v>
                </c:pt>
                <c:pt idx="3">
                  <c:v>Dabur India Ltd</c:v>
                </c:pt>
                <c:pt idx="4">
                  <c:v>Mazdock</c:v>
                </c:pt>
              </c:strCache>
            </c:strRef>
          </c:cat>
          <c:val>
            <c:numRef>
              <c:f>'Portfolio Analysis'!$V$104:$V$108</c:f>
              <c:numCache>
                <c:formatCode>General</c:formatCode>
                <c:ptCount val="5"/>
                <c:pt idx="0">
                  <c:v>0.39196961141473591</c:v>
                </c:pt>
                <c:pt idx="1">
                  <c:v>0.15033351889820162</c:v>
                </c:pt>
                <c:pt idx="2">
                  <c:v>5.9090194765230419E-2</c:v>
                </c:pt>
                <c:pt idx="3">
                  <c:v>0.39095356162039452</c:v>
                </c:pt>
                <c:pt idx="4">
                  <c:v>7.6531133014375863E-3</c:v>
                </c:pt>
              </c:numCache>
            </c:numRef>
          </c:val>
          <c:extLst>
            <c:ext xmlns:c16="http://schemas.microsoft.com/office/drawing/2014/chart" uri="{C3380CC4-5D6E-409C-BE32-E72D297353CC}">
              <c16:uniqueId val="{0000000C-C3DB-B147-A9FA-34E610F4AEB9}"/>
            </c:ext>
          </c:extLst>
        </c:ser>
        <c:dLbls>
          <c:showLegendKey val="0"/>
          <c:showVal val="0"/>
          <c:showCatName val="0"/>
          <c:showSerName val="0"/>
          <c:showPercent val="0"/>
          <c:showBubbleSize val="0"/>
          <c:showLeaderLines val="0"/>
        </c:dLbls>
        <c:firstSliceAng val="0"/>
      </c:pieChart>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xdr:col>
      <xdr:colOff>853440</xdr:colOff>
      <xdr:row>10</xdr:row>
      <xdr:rowOff>64770</xdr:rowOff>
    </xdr:from>
    <xdr:ext cx="65" cy="172227"/>
    <xdr:sp macro="" textlink="">
      <xdr:nvSpPr>
        <xdr:cNvPr id="2" name="TextBox 1">
          <a:extLst>
            <a:ext uri="{FF2B5EF4-FFF2-40B4-BE49-F238E27FC236}">
              <a16:creationId xmlns:a16="http://schemas.microsoft.com/office/drawing/2014/main" id="{4593E7B7-BBA6-407B-B12F-98FCB8C03514}"/>
            </a:ext>
          </a:extLst>
        </xdr:cNvPr>
        <xdr:cNvSpPr txBox="1"/>
      </xdr:nvSpPr>
      <xdr:spPr>
        <a:xfrm>
          <a:off x="6804660" y="29832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4</xdr:col>
      <xdr:colOff>853440</xdr:colOff>
      <xdr:row>10</xdr:row>
      <xdr:rowOff>64770</xdr:rowOff>
    </xdr:from>
    <xdr:ext cx="65" cy="172227"/>
    <xdr:sp macro="" textlink="">
      <xdr:nvSpPr>
        <xdr:cNvPr id="3" name="TextBox 2">
          <a:extLst>
            <a:ext uri="{FF2B5EF4-FFF2-40B4-BE49-F238E27FC236}">
              <a16:creationId xmlns:a16="http://schemas.microsoft.com/office/drawing/2014/main" id="{F3B3DF29-0F0C-44F3-B185-A9A24A96D9EC}"/>
            </a:ext>
          </a:extLst>
        </xdr:cNvPr>
        <xdr:cNvSpPr txBox="1"/>
      </xdr:nvSpPr>
      <xdr:spPr>
        <a:xfrm>
          <a:off x="6804660" y="298323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16</xdr:col>
      <xdr:colOff>333499</xdr:colOff>
      <xdr:row>22</xdr:row>
      <xdr:rowOff>161299</xdr:rowOff>
    </xdr:from>
    <xdr:to>
      <xdr:col>23</xdr:col>
      <xdr:colOff>69272</xdr:colOff>
      <xdr:row>51</xdr:row>
      <xdr:rowOff>94796</xdr:rowOff>
    </xdr:to>
    <xdr:pic>
      <xdr:nvPicPr>
        <xdr:cNvPr id="17" name="Picture 16">
          <a:extLst>
            <a:ext uri="{FF2B5EF4-FFF2-40B4-BE49-F238E27FC236}">
              <a16:creationId xmlns:a16="http://schemas.microsoft.com/office/drawing/2014/main" id="{295CC7FE-0122-1F54-9550-4E5F8461E9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2263" y="5869372"/>
          <a:ext cx="9863446" cy="5156660"/>
        </a:xfrm>
        <a:prstGeom prst="rect">
          <a:avLst/>
        </a:prstGeom>
        <a:solidFill>
          <a:schemeClr val="accent2"/>
        </a:solidFill>
      </xdr:spPr>
    </xdr:pic>
    <xdr:clientData/>
  </xdr:twoCellAnchor>
  <xdr:twoCellAnchor>
    <xdr:from>
      <xdr:col>16</xdr:col>
      <xdr:colOff>360218</xdr:colOff>
      <xdr:row>53</xdr:row>
      <xdr:rowOff>13855</xdr:rowOff>
    </xdr:from>
    <xdr:to>
      <xdr:col>23</xdr:col>
      <xdr:colOff>1274620</xdr:colOff>
      <xdr:row>74</xdr:row>
      <xdr:rowOff>96982</xdr:rowOff>
    </xdr:to>
    <xdr:graphicFrame macro="">
      <xdr:nvGraphicFramePr>
        <xdr:cNvPr id="18" name="Chart 17">
          <a:extLst>
            <a:ext uri="{FF2B5EF4-FFF2-40B4-BE49-F238E27FC236}">
              <a16:creationId xmlns:a16="http://schemas.microsoft.com/office/drawing/2014/main" id="{2243391B-8CE4-F640-11C9-868735B1E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371475</xdr:colOff>
      <xdr:row>82</xdr:row>
      <xdr:rowOff>38100</xdr:rowOff>
    </xdr:from>
    <xdr:to>
      <xdr:col>16</xdr:col>
      <xdr:colOff>371475</xdr:colOff>
      <xdr:row>100</xdr:row>
      <xdr:rowOff>9525</xdr:rowOff>
    </xdr:to>
    <xdr:cxnSp macro="">
      <xdr:nvCxnSpPr>
        <xdr:cNvPr id="5" name="Straight Connector 4">
          <a:extLst>
            <a:ext uri="{FF2B5EF4-FFF2-40B4-BE49-F238E27FC236}">
              <a16:creationId xmlns:a16="http://schemas.microsoft.com/office/drawing/2014/main" id="{9713E8DF-ED59-085D-A570-D21F2008AF5B}"/>
            </a:ext>
          </a:extLst>
        </xdr:cNvPr>
        <xdr:cNvCxnSpPr/>
      </xdr:nvCxnSpPr>
      <xdr:spPr>
        <a:xfrm>
          <a:off x="15582900" y="15516225"/>
          <a:ext cx="0" cy="33528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352425</xdr:colOff>
      <xdr:row>82</xdr:row>
      <xdr:rowOff>34018</xdr:rowOff>
    </xdr:from>
    <xdr:to>
      <xdr:col>32</xdr:col>
      <xdr:colOff>34018</xdr:colOff>
      <xdr:row>82</xdr:row>
      <xdr:rowOff>38100</xdr:rowOff>
    </xdr:to>
    <xdr:cxnSp macro="">
      <xdr:nvCxnSpPr>
        <xdr:cNvPr id="7" name="Straight Connector 6">
          <a:extLst>
            <a:ext uri="{FF2B5EF4-FFF2-40B4-BE49-F238E27FC236}">
              <a16:creationId xmlns:a16="http://schemas.microsoft.com/office/drawing/2014/main" id="{41B18D5F-8A00-6C46-5822-1B7FCB5B36E0}"/>
            </a:ext>
          </a:extLst>
        </xdr:cNvPr>
        <xdr:cNvCxnSpPr/>
      </xdr:nvCxnSpPr>
      <xdr:spPr>
        <a:xfrm flipV="1">
          <a:off x="17293318" y="16464643"/>
          <a:ext cx="18697575" cy="408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14968</xdr:colOff>
      <xdr:row>82</xdr:row>
      <xdr:rowOff>26761</xdr:rowOff>
    </xdr:from>
    <xdr:to>
      <xdr:col>32</xdr:col>
      <xdr:colOff>14968</xdr:colOff>
      <xdr:row>100</xdr:row>
      <xdr:rowOff>7711</xdr:rowOff>
    </xdr:to>
    <xdr:cxnSp macro="">
      <xdr:nvCxnSpPr>
        <xdr:cNvPr id="9" name="Straight Connector 8">
          <a:extLst>
            <a:ext uri="{FF2B5EF4-FFF2-40B4-BE49-F238E27FC236}">
              <a16:creationId xmlns:a16="http://schemas.microsoft.com/office/drawing/2014/main" id="{A0F47360-699C-10AA-7C5E-62D14482B0FD}"/>
            </a:ext>
          </a:extLst>
        </xdr:cNvPr>
        <xdr:cNvCxnSpPr/>
      </xdr:nvCxnSpPr>
      <xdr:spPr>
        <a:xfrm>
          <a:off x="35971843" y="16457386"/>
          <a:ext cx="0" cy="351880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361950</xdr:colOff>
      <xdr:row>100</xdr:row>
      <xdr:rowOff>0</xdr:rowOff>
    </xdr:from>
    <xdr:to>
      <xdr:col>32</xdr:col>
      <xdr:colOff>22679</xdr:colOff>
      <xdr:row>100</xdr:row>
      <xdr:rowOff>9525</xdr:rowOff>
    </xdr:to>
    <xdr:cxnSp macro="">
      <xdr:nvCxnSpPr>
        <xdr:cNvPr id="11" name="Straight Connector 10">
          <a:extLst>
            <a:ext uri="{FF2B5EF4-FFF2-40B4-BE49-F238E27FC236}">
              <a16:creationId xmlns:a16="http://schemas.microsoft.com/office/drawing/2014/main" id="{C35DD61A-5502-9E1E-5707-DFC40834162B}"/>
            </a:ext>
          </a:extLst>
        </xdr:cNvPr>
        <xdr:cNvCxnSpPr/>
      </xdr:nvCxnSpPr>
      <xdr:spPr>
        <a:xfrm flipV="1">
          <a:off x="17302843" y="19968482"/>
          <a:ext cx="18676711" cy="95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333375</xdr:colOff>
      <xdr:row>100</xdr:row>
      <xdr:rowOff>149225</xdr:rowOff>
    </xdr:from>
    <xdr:to>
      <xdr:col>16</xdr:col>
      <xdr:colOff>333375</xdr:colOff>
      <xdr:row>118</xdr:row>
      <xdr:rowOff>19050</xdr:rowOff>
    </xdr:to>
    <xdr:cxnSp macro="">
      <xdr:nvCxnSpPr>
        <xdr:cNvPr id="13" name="Straight Connector 12">
          <a:extLst>
            <a:ext uri="{FF2B5EF4-FFF2-40B4-BE49-F238E27FC236}">
              <a16:creationId xmlns:a16="http://schemas.microsoft.com/office/drawing/2014/main" id="{883C408A-17E1-95A5-6B6B-D72920B75198}"/>
            </a:ext>
          </a:extLst>
        </xdr:cNvPr>
        <xdr:cNvCxnSpPr/>
      </xdr:nvCxnSpPr>
      <xdr:spPr>
        <a:xfrm>
          <a:off x="15535275" y="18754725"/>
          <a:ext cx="0" cy="314642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333375</xdr:colOff>
      <xdr:row>100</xdr:row>
      <xdr:rowOff>123825</xdr:rowOff>
    </xdr:from>
    <xdr:to>
      <xdr:col>32</xdr:col>
      <xdr:colOff>11339</xdr:colOff>
      <xdr:row>100</xdr:row>
      <xdr:rowOff>136072</xdr:rowOff>
    </xdr:to>
    <xdr:cxnSp macro="">
      <xdr:nvCxnSpPr>
        <xdr:cNvPr id="15" name="Straight Connector 14">
          <a:extLst>
            <a:ext uri="{FF2B5EF4-FFF2-40B4-BE49-F238E27FC236}">
              <a16:creationId xmlns:a16="http://schemas.microsoft.com/office/drawing/2014/main" id="{EE037D4A-00DA-DA66-F632-810A5A8563A1}"/>
            </a:ext>
          </a:extLst>
        </xdr:cNvPr>
        <xdr:cNvCxnSpPr/>
      </xdr:nvCxnSpPr>
      <xdr:spPr>
        <a:xfrm>
          <a:off x="17274268" y="20092307"/>
          <a:ext cx="18693946" cy="1224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11339</xdr:colOff>
      <xdr:row>100</xdr:row>
      <xdr:rowOff>124732</xdr:rowOff>
    </xdr:from>
    <xdr:to>
      <xdr:col>32</xdr:col>
      <xdr:colOff>12700</xdr:colOff>
      <xdr:row>118</xdr:row>
      <xdr:rowOff>98425</xdr:rowOff>
    </xdr:to>
    <xdr:cxnSp macro="">
      <xdr:nvCxnSpPr>
        <xdr:cNvPr id="17" name="Straight Connector 16">
          <a:extLst>
            <a:ext uri="{FF2B5EF4-FFF2-40B4-BE49-F238E27FC236}">
              <a16:creationId xmlns:a16="http://schemas.microsoft.com/office/drawing/2014/main" id="{28E1A594-29E0-D86E-4EF6-796566D22EF4}"/>
            </a:ext>
          </a:extLst>
        </xdr:cNvPr>
        <xdr:cNvCxnSpPr/>
      </xdr:nvCxnSpPr>
      <xdr:spPr>
        <a:xfrm>
          <a:off x="35968214" y="20093214"/>
          <a:ext cx="1361" cy="34661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339725</xdr:colOff>
      <xdr:row>118</xdr:row>
      <xdr:rowOff>22225</xdr:rowOff>
    </xdr:from>
    <xdr:to>
      <xdr:col>32</xdr:col>
      <xdr:colOff>45357</xdr:colOff>
      <xdr:row>118</xdr:row>
      <xdr:rowOff>22679</xdr:rowOff>
    </xdr:to>
    <xdr:cxnSp macro="">
      <xdr:nvCxnSpPr>
        <xdr:cNvPr id="19" name="Straight Connector 18">
          <a:extLst>
            <a:ext uri="{FF2B5EF4-FFF2-40B4-BE49-F238E27FC236}">
              <a16:creationId xmlns:a16="http://schemas.microsoft.com/office/drawing/2014/main" id="{89D54A49-C31D-1BDB-075B-7812D995EE6E}"/>
            </a:ext>
          </a:extLst>
        </xdr:cNvPr>
        <xdr:cNvCxnSpPr/>
      </xdr:nvCxnSpPr>
      <xdr:spPr>
        <a:xfrm>
          <a:off x="17280618" y="23483207"/>
          <a:ext cx="18721614" cy="45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917347</xdr:colOff>
      <xdr:row>101</xdr:row>
      <xdr:rowOff>176213</xdr:rowOff>
    </xdr:from>
    <xdr:to>
      <xdr:col>31</xdr:col>
      <xdr:colOff>272142</xdr:colOff>
      <xdr:row>117</xdr:row>
      <xdr:rowOff>56697</xdr:rowOff>
    </xdr:to>
    <xdr:graphicFrame macro="">
      <xdr:nvGraphicFramePr>
        <xdr:cNvPr id="3" name="Chart 2">
          <a:extLst>
            <a:ext uri="{FF2B5EF4-FFF2-40B4-BE49-F238E27FC236}">
              <a16:creationId xmlns:a16="http://schemas.microsoft.com/office/drawing/2014/main" id="{08252722-1D6B-45FA-38D5-782E5889D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781275</xdr:colOff>
      <xdr:row>83</xdr:row>
      <xdr:rowOff>22678</xdr:rowOff>
    </xdr:from>
    <xdr:to>
      <xdr:col>31</xdr:col>
      <xdr:colOff>283483</xdr:colOff>
      <xdr:row>98</xdr:row>
      <xdr:rowOff>170090</xdr:rowOff>
    </xdr:to>
    <xdr:graphicFrame macro="">
      <xdr:nvGraphicFramePr>
        <xdr:cNvPr id="6" name="Chart 5">
          <a:extLst>
            <a:ext uri="{FF2B5EF4-FFF2-40B4-BE49-F238E27FC236}">
              <a16:creationId xmlns:a16="http://schemas.microsoft.com/office/drawing/2014/main" id="{835A4AE2-F303-1731-6633-5D265CEB9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451E23-B825-4F69-A2F5-1D7142564427}" name="Table1" displayName="Table1" ref="B2:K251" totalsRowShown="0" headerRowDxfId="28" dataDxfId="26" headerRowBorderDxfId="27" tableBorderDxfId="25" totalsRowBorderDxfId="24">
  <autoFilter ref="B2:K251" xr:uid="{EF451E23-B825-4F69-A2F5-1D7142564427}"/>
  <tableColumns count="10">
    <tableColumn id="1" xr3:uid="{396B6541-63CF-4F70-9E33-F15C9ED2B1A3}" name="Date " dataDxfId="23"/>
    <tableColumn id="2" xr3:uid="{F5BC882A-FE74-4FDD-9A5C-9FCB28A7BB66}" name="OPEN " dataDxfId="22"/>
    <tableColumn id="3" xr3:uid="{1BE69127-D1FB-47E9-9465-7EEB66FCDA96}" name="HIGH " dataDxfId="21"/>
    <tableColumn id="4" xr3:uid="{4DD1FADA-8228-440E-B398-2D7918E6FF94}" name="LOW " dataDxfId="20"/>
    <tableColumn id="5" xr3:uid="{39471386-7AF5-4C87-A1A7-F0C5F3E73D52}" name="close " dataDxfId="19"/>
    <tableColumn id="6" xr3:uid="{4D7C1EC1-EFC9-461E-BE2B-74115AB04F93}" name="52W H " dataDxfId="18"/>
    <tableColumn id="7" xr3:uid="{D2A5AAAB-BAC6-494D-AD12-A728F0EF3BCB}" name="52W L " dataDxfId="17"/>
    <tableColumn id="8" xr3:uid="{49F545AD-811C-47EF-B6E8-9191E239A708}" name="VOLUME " dataDxfId="16"/>
    <tableColumn id="9" xr3:uid="{2DDABE88-25E2-4148-B238-F0EE074B0165}" name="VALUE " dataDxfId="15"/>
    <tableColumn id="10" xr3:uid="{D2E9632B-F7A6-4D5F-9F56-81A2A8059BC8}" name="No of trades " dataDxfId="1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3D3A8-2E01-408A-9B04-DEA2A6101AA2}" name="Table4" displayName="Table4" ref="M24:P77" totalsRowShown="0" headerRowDxfId="13" headerRowBorderDxfId="12" tableBorderDxfId="11" totalsRowBorderDxfId="10">
  <autoFilter ref="M24:P77" xr:uid="{F093D3A8-2E01-408A-9B04-DEA2A6101AA2}"/>
  <tableColumns count="4">
    <tableColumn id="1" xr3:uid="{D7063386-3056-4AFB-9B14-C535AB972B12}" name="Week Number" dataDxfId="9"/>
    <tableColumn id="2" xr3:uid="{628CCDD3-43B3-4E78-BAC4-62F1B07460E1}" name="Date" dataDxfId="8"/>
    <tableColumn id="3" xr3:uid="{3180F5E9-A6F9-44FF-AC15-6882CC408898}" name="Weekly Close" dataDxfId="7"/>
    <tableColumn id="4" xr3:uid="{27087F00-4BBA-4267-BA41-520D9F6A9D73}" name="Weekly Return (%)" dataDxfId="6">
      <calculatedColumnFormula>(O25-O24)/O24*100</calculatedColumnFormula>
    </tableColumn>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8B8CF6-89D0-4BBC-B306-21B55ADEE319}" name="Table8" displayName="Table8" ref="U2:V8" totalsRowShown="0" headerRowDxfId="5" dataDxfId="3" headerRowBorderDxfId="4" tableBorderDxfId="2">
  <autoFilter ref="U2:V8" xr:uid="{448B8CF6-89D0-4BBC-B306-21B55ADEE319}"/>
  <tableColumns count="2">
    <tableColumn id="1" xr3:uid="{3CA403B7-E45E-43F9-8D44-FD3B69FCC767}" name="Column1" dataDxfId="1"/>
    <tableColumn id="2" xr3:uid="{F18201B1-7548-4802-A792-DE58CF20E4B4}" name="Column2" dataDxfId="0"/>
  </tableColumns>
  <tableStyleInfo name="TableStyleMedium2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0ACC241-DF79-4B25-BFEF-425B86BDB258}" name="Table13" displayName="Table13" ref="A2:P746" totalsRowShown="0" headerRowDxfId="47" dataDxfId="46" tableBorderDxfId="45">
  <autoFilter ref="A2:P746" xr:uid="{80ACC241-DF79-4B25-BFEF-425B86BDB258}"/>
  <tableColumns count="16">
    <tableColumn id="1" xr3:uid="{6A402EF4-82F4-4B2B-A20D-02FFDA7F6B8A}" name="Date" dataDxfId="44"/>
    <tableColumn id="2" xr3:uid="{156DE74A-9010-4242-8C28-9EAAD478BF62}" name="Bata" dataDxfId="43"/>
    <tableColumn id="3" xr3:uid="{B93667CD-4DBC-499E-A119-F4456C02A12D}" name="TRENT" dataDxfId="42"/>
    <tableColumn id="4" xr3:uid="{B49E1BDA-10AD-4857-940F-20D22A8589D5}" name="BHEL" dataDxfId="41"/>
    <tableColumn id="5" xr3:uid="{FA390B74-802B-4AB6-8B5A-EB10A0DEFD2F}" name="Dabur" dataDxfId="40"/>
    <tableColumn id="6" xr3:uid="{D62DC57A-33A3-4575-94A7-F18C8697A174}" name="MAZDOCK" dataDxfId="39"/>
    <tableColumn id="7" xr3:uid="{837DDCF7-18D7-4C6E-B0F7-4748043475C7}" name="NIFTY 50" dataDxfId="38"/>
    <tableColumn id="8" xr3:uid="{2E300A95-DBB1-4784-BD94-42ECD39DEE38}" name="Bata2" dataDxfId="37">
      <calculatedColumnFormula>(B3 - B2) / B2</calculatedColumnFormula>
    </tableColumn>
    <tableColumn id="9" xr3:uid="{0763A314-8A21-4E9B-87BC-2F5E2924E98F}" name="TRENT2" dataDxfId="36">
      <calculatedColumnFormula>(C3 - C2) / C2</calculatedColumnFormula>
    </tableColumn>
    <tableColumn id="10" xr3:uid="{E0303E49-149D-47B7-812D-9BECAFC149AF}" name="BHEL2" dataDxfId="35">
      <calculatedColumnFormula>(D3 - D2) / D2</calculatedColumnFormula>
    </tableColumn>
    <tableColumn id="11" xr3:uid="{5A3C20B9-34F2-4767-BE01-71B77E9CA8A9}" name="Dabur2" dataDxfId="34">
      <calculatedColumnFormula>(E3 - E2) / E2</calculatedColumnFormula>
    </tableColumn>
    <tableColumn id="12" xr3:uid="{48B6038B-0C22-484C-880E-5AB98C39AE7F}" name="MAZDOCK2" dataDxfId="33">
      <calculatedColumnFormula>(F3 - F2) / F2</calculatedColumnFormula>
    </tableColumn>
    <tableColumn id="13" xr3:uid="{E6C5D3FE-5604-471E-8050-C946A2026D18}" name="NIFTY 507" dataDxfId="32">
      <calculatedColumnFormula>(G3 - G2) / G2</calculatedColumnFormula>
    </tableColumn>
    <tableColumn id="14" xr3:uid="{533EA207-7E04-4347-8826-76034D08C723}" name="Portfolio" dataDxfId="31">
      <calculatedColumnFormula>((H3 *0.3 ) + (I3 * 0.064462757 ) + (J3 * 0.026806099 ) + (K3 * 0.137093997) + (L3 * 0.471637147))</calculatedColumnFormula>
    </tableColumn>
    <tableColumn id="15" xr3:uid="{C3B49A65-4533-41E7-AC26-14D0E2665EEE}" name="Portfolio A" dataDxfId="30">
      <calculatedColumnFormula>$V$86*H3 +$V$87*I3 + $V$88*J3 + $V$89*K3+ $V$90*L3</calculatedColumnFormula>
    </tableColumn>
    <tableColumn id="16" xr3:uid="{0864CCD0-C7F4-4F6B-BC0C-6BBA3E8A476D}" name="Portfolio B" dataDxfId="29">
      <calculatedColumnFormula>$V$104*H3 +$V$105*I3 + $V$106*J3 + $V$107*K3+ $V$108*L3</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F5E7A-449B-45AB-8581-CEBB5706A883}">
  <dimension ref="B2:P17"/>
  <sheetViews>
    <sheetView zoomScaleNormal="100" workbookViewId="0">
      <selection activeCell="E22" sqref="E22"/>
    </sheetView>
  </sheetViews>
  <sheetFormatPr defaultColWidth="8.77734375" defaultRowHeight="14.4"/>
  <cols>
    <col min="2" max="2" width="18.6640625" customWidth="1"/>
    <col min="3" max="3" width="27.77734375" customWidth="1"/>
    <col min="4" max="4" width="16.44140625" customWidth="1"/>
    <col min="5" max="5" width="28.77734375" customWidth="1"/>
  </cols>
  <sheetData>
    <row r="2" spans="2:16">
      <c r="B2" s="235"/>
      <c r="C2" s="235"/>
      <c r="D2" s="235"/>
      <c r="E2" s="235"/>
    </row>
    <row r="3" spans="2:16" ht="23.55" customHeight="1">
      <c r="B3" s="236" t="s">
        <v>8</v>
      </c>
      <c r="C3" s="236"/>
      <c r="D3" s="236"/>
      <c r="E3" s="236"/>
      <c r="G3" s="234" t="s">
        <v>12</v>
      </c>
      <c r="H3" s="234"/>
      <c r="I3" s="234"/>
      <c r="J3" s="234"/>
      <c r="K3" s="234"/>
      <c r="L3" s="234"/>
      <c r="M3" s="234"/>
      <c r="N3" s="234"/>
      <c r="O3" s="234"/>
      <c r="P3" s="234"/>
    </row>
    <row r="4" spans="2:16" ht="18">
      <c r="B4" s="237" t="s">
        <v>335</v>
      </c>
      <c r="C4" s="238"/>
      <c r="D4" s="238"/>
      <c r="E4" s="239"/>
      <c r="G4" s="234"/>
      <c r="H4" s="234"/>
      <c r="I4" s="234"/>
      <c r="J4" s="234"/>
      <c r="K4" s="234"/>
      <c r="L4" s="234"/>
      <c r="M4" s="234"/>
      <c r="N4" s="234"/>
      <c r="O4" s="234"/>
      <c r="P4" s="234"/>
    </row>
    <row r="5" spans="2:16" ht="18">
      <c r="B5" s="237" t="s">
        <v>332</v>
      </c>
      <c r="C5" s="238"/>
      <c r="D5" s="238"/>
      <c r="E5" s="239"/>
      <c r="G5" s="234"/>
      <c r="H5" s="234"/>
      <c r="I5" s="234"/>
      <c r="J5" s="234"/>
      <c r="K5" s="234"/>
      <c r="L5" s="234"/>
      <c r="M5" s="234"/>
      <c r="N5" s="234"/>
      <c r="O5" s="234"/>
      <c r="P5" s="234"/>
    </row>
    <row r="6" spans="2:16" ht="18">
      <c r="B6" s="237" t="s">
        <v>10</v>
      </c>
      <c r="C6" s="238"/>
      <c r="D6" s="238"/>
      <c r="E6" s="239"/>
      <c r="G6" s="234"/>
      <c r="H6" s="234"/>
      <c r="I6" s="234"/>
      <c r="J6" s="234"/>
      <c r="K6" s="234"/>
      <c r="L6" s="234"/>
      <c r="M6" s="234"/>
      <c r="N6" s="234"/>
      <c r="O6" s="234"/>
      <c r="P6" s="234"/>
    </row>
    <row r="7" spans="2:16" ht="14.55" customHeight="1">
      <c r="B7" s="249" t="s">
        <v>11</v>
      </c>
      <c r="C7" s="250"/>
      <c r="D7" s="250"/>
      <c r="E7" s="251"/>
      <c r="G7" s="234"/>
      <c r="H7" s="234"/>
      <c r="I7" s="234"/>
      <c r="J7" s="234"/>
      <c r="K7" s="234"/>
      <c r="L7" s="234"/>
      <c r="M7" s="234"/>
      <c r="N7" s="234"/>
      <c r="O7" s="234"/>
      <c r="P7" s="234"/>
    </row>
    <row r="8" spans="2:16" ht="14.55" customHeight="1">
      <c r="B8" s="249"/>
      <c r="C8" s="250"/>
      <c r="D8" s="250"/>
      <c r="E8" s="251"/>
      <c r="G8" s="234"/>
      <c r="H8" s="234"/>
      <c r="I8" s="234"/>
      <c r="J8" s="234"/>
      <c r="K8" s="234"/>
      <c r="L8" s="234"/>
      <c r="M8" s="234"/>
      <c r="N8" s="234"/>
      <c r="O8" s="234"/>
      <c r="P8" s="234"/>
    </row>
    <row r="9" spans="2:16" ht="14.55" customHeight="1">
      <c r="B9" s="252"/>
      <c r="C9" s="253"/>
      <c r="D9" s="253"/>
      <c r="E9" s="254"/>
      <c r="G9" s="234"/>
      <c r="H9" s="234"/>
      <c r="I9" s="234"/>
      <c r="J9" s="234"/>
      <c r="K9" s="234"/>
      <c r="L9" s="234"/>
      <c r="M9" s="234"/>
      <c r="N9" s="234"/>
      <c r="O9" s="234"/>
      <c r="P9" s="234"/>
    </row>
    <row r="10" spans="2:16" ht="21">
      <c r="B10" s="240" t="s">
        <v>9</v>
      </c>
      <c r="C10" s="240"/>
      <c r="D10" s="240"/>
      <c r="E10" s="240"/>
      <c r="G10" s="234"/>
      <c r="H10" s="234"/>
      <c r="I10" s="234"/>
      <c r="J10" s="234"/>
      <c r="K10" s="234"/>
      <c r="L10" s="234"/>
      <c r="M10" s="234"/>
      <c r="N10" s="234"/>
      <c r="O10" s="234"/>
      <c r="P10" s="234"/>
    </row>
    <row r="11" spans="2:16" ht="21">
      <c r="B11" s="243" t="s">
        <v>7</v>
      </c>
      <c r="C11" s="244"/>
      <c r="D11" s="243" t="s">
        <v>6</v>
      </c>
      <c r="E11" s="244"/>
      <c r="G11" s="234"/>
      <c r="H11" s="234"/>
      <c r="I11" s="234"/>
      <c r="J11" s="234"/>
      <c r="K11" s="234"/>
      <c r="L11" s="234"/>
      <c r="M11" s="234"/>
      <c r="N11" s="234"/>
      <c r="O11" s="234"/>
      <c r="P11" s="234"/>
    </row>
    <row r="12" spans="2:16" ht="14.55" customHeight="1">
      <c r="B12" s="245"/>
      <c r="C12" s="246"/>
      <c r="D12" s="241"/>
      <c r="E12" s="242"/>
      <c r="G12" s="234"/>
      <c r="H12" s="234"/>
      <c r="I12" s="234"/>
      <c r="J12" s="234"/>
      <c r="K12" s="234"/>
      <c r="L12" s="234"/>
      <c r="M12" s="234"/>
      <c r="N12" s="234"/>
      <c r="O12" s="234"/>
      <c r="P12" s="234"/>
    </row>
    <row r="13" spans="2:16" ht="14.55" customHeight="1">
      <c r="B13" s="241" t="s">
        <v>0</v>
      </c>
      <c r="C13" s="242"/>
      <c r="D13" s="241" t="s">
        <v>1</v>
      </c>
      <c r="E13" s="242"/>
      <c r="G13" s="234"/>
      <c r="H13" s="234"/>
      <c r="I13" s="234"/>
      <c r="J13" s="234"/>
      <c r="K13" s="234"/>
      <c r="L13" s="234"/>
      <c r="M13" s="234"/>
      <c r="N13" s="234"/>
      <c r="O13" s="234"/>
      <c r="P13" s="234"/>
    </row>
    <row r="14" spans="2:16" ht="14.55" customHeight="1">
      <c r="B14" s="241" t="s">
        <v>2</v>
      </c>
      <c r="C14" s="242"/>
      <c r="D14" s="241" t="s">
        <v>3</v>
      </c>
      <c r="E14" s="242"/>
      <c r="G14" s="234"/>
      <c r="H14" s="234"/>
      <c r="I14" s="234"/>
      <c r="J14" s="234"/>
      <c r="K14" s="234"/>
      <c r="L14" s="234"/>
      <c r="M14" s="234"/>
      <c r="N14" s="234"/>
      <c r="O14" s="234"/>
      <c r="P14" s="234"/>
    </row>
    <row r="15" spans="2:16" ht="14.55" customHeight="1">
      <c r="B15" s="241" t="s">
        <v>4</v>
      </c>
      <c r="C15" s="242"/>
      <c r="D15" s="241" t="s">
        <v>385</v>
      </c>
      <c r="E15" s="242"/>
      <c r="G15" s="234"/>
      <c r="H15" s="234"/>
      <c r="I15" s="234"/>
      <c r="J15" s="234"/>
      <c r="K15" s="234"/>
      <c r="L15" s="234"/>
      <c r="M15" s="234"/>
      <c r="N15" s="234"/>
      <c r="O15" s="234"/>
      <c r="P15" s="234"/>
    </row>
    <row r="16" spans="2:16" ht="14.55" customHeight="1">
      <c r="B16" s="241" t="s">
        <v>295</v>
      </c>
      <c r="C16" s="242"/>
      <c r="D16" s="247" t="s">
        <v>331</v>
      </c>
      <c r="E16" s="242"/>
      <c r="G16" s="234"/>
      <c r="H16" s="234"/>
      <c r="I16" s="234"/>
      <c r="J16" s="234"/>
      <c r="K16" s="234"/>
      <c r="L16" s="234"/>
      <c r="M16" s="234"/>
      <c r="N16" s="234"/>
      <c r="O16" s="234"/>
      <c r="P16" s="234"/>
    </row>
    <row r="17" spans="2:16">
      <c r="B17" s="241" t="s">
        <v>5</v>
      </c>
      <c r="C17" s="242"/>
      <c r="D17" s="248" t="s">
        <v>353</v>
      </c>
      <c r="E17" s="242"/>
      <c r="G17" s="234"/>
      <c r="H17" s="234"/>
      <c r="I17" s="234"/>
      <c r="J17" s="234"/>
      <c r="K17" s="234"/>
      <c r="L17" s="234"/>
      <c r="M17" s="234"/>
      <c r="N17" s="234"/>
      <c r="O17" s="234"/>
      <c r="P17" s="234"/>
    </row>
  </sheetData>
  <mergeCells count="22">
    <mergeCell ref="B16:C16"/>
    <mergeCell ref="B17:C17"/>
    <mergeCell ref="D16:E16"/>
    <mergeCell ref="D17:E17"/>
    <mergeCell ref="B7:E9"/>
    <mergeCell ref="B15:C15"/>
    <mergeCell ref="G3:P17"/>
    <mergeCell ref="B2:E2"/>
    <mergeCell ref="B3:E3"/>
    <mergeCell ref="B4:E4"/>
    <mergeCell ref="B10:E10"/>
    <mergeCell ref="B5:E5"/>
    <mergeCell ref="B6:E6"/>
    <mergeCell ref="D12:E12"/>
    <mergeCell ref="D13:E13"/>
    <mergeCell ref="D14:E14"/>
    <mergeCell ref="D15:E15"/>
    <mergeCell ref="B11:C11"/>
    <mergeCell ref="D11:E11"/>
    <mergeCell ref="B12:C12"/>
    <mergeCell ref="B13:C13"/>
    <mergeCell ref="B14: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5EFB-CF34-461D-9EC2-A44B9E7479B5}">
  <dimension ref="B3:L51"/>
  <sheetViews>
    <sheetView zoomScale="80" zoomScaleNormal="80" workbookViewId="0">
      <selection activeCell="C26" sqref="C26"/>
    </sheetView>
  </sheetViews>
  <sheetFormatPr defaultColWidth="22.109375" defaultRowHeight="14.4"/>
  <cols>
    <col min="1" max="1" width="12.44140625" style="1" customWidth="1"/>
    <col min="2" max="3" width="22.109375" style="1"/>
    <col min="4" max="4" width="12.77734375" style="1" customWidth="1"/>
    <col min="5" max="5" width="32.6640625" style="1" customWidth="1"/>
    <col min="6" max="6" width="17.44140625" style="1" customWidth="1"/>
    <col min="7" max="7" width="18.109375" style="1" customWidth="1"/>
    <col min="8" max="8" width="10.44140625" style="1" customWidth="1"/>
    <col min="9" max="9" width="6.33203125" style="1" customWidth="1"/>
    <col min="10" max="10" width="40" style="1" customWidth="1"/>
    <col min="11" max="16384" width="22.109375" style="1"/>
  </cols>
  <sheetData>
    <row r="3" spans="2:12" ht="29.55" customHeight="1">
      <c r="B3" s="49" t="s">
        <v>13</v>
      </c>
      <c r="C3" s="49" t="s">
        <v>191</v>
      </c>
      <c r="E3" s="255" t="s">
        <v>49</v>
      </c>
      <c r="F3" s="256"/>
      <c r="G3" s="257"/>
      <c r="I3" s="181"/>
      <c r="J3" s="28" t="s">
        <v>13</v>
      </c>
      <c r="K3" s="28" t="s">
        <v>25</v>
      </c>
      <c r="L3" s="28" t="s">
        <v>26</v>
      </c>
    </row>
    <row r="4" spans="2:12" ht="16.8" customHeight="1">
      <c r="B4" s="50"/>
      <c r="C4" s="50"/>
      <c r="E4" s="52"/>
      <c r="F4" s="52"/>
      <c r="G4" s="52"/>
      <c r="J4" s="52"/>
      <c r="K4" s="52"/>
      <c r="L4" s="52"/>
    </row>
    <row r="5" spans="2:12" ht="36" customHeight="1">
      <c r="B5" s="29" t="s">
        <v>34</v>
      </c>
      <c r="C5" s="29" t="s">
        <v>225</v>
      </c>
      <c r="E5" s="34" t="s">
        <v>13</v>
      </c>
      <c r="F5" s="34" t="s">
        <v>14</v>
      </c>
      <c r="G5" s="34" t="s">
        <v>121</v>
      </c>
      <c r="I5" s="182"/>
      <c r="J5" s="30" t="s">
        <v>15</v>
      </c>
      <c r="K5" s="29" t="s">
        <v>27</v>
      </c>
      <c r="L5" s="29" t="s">
        <v>28</v>
      </c>
    </row>
    <row r="6" spans="2:12" ht="31.2" customHeight="1">
      <c r="B6" s="51" t="s">
        <v>17</v>
      </c>
      <c r="C6" s="51" t="s">
        <v>226</v>
      </c>
      <c r="E6" s="52" t="s">
        <v>122</v>
      </c>
      <c r="F6" s="52">
        <v>20.22</v>
      </c>
      <c r="G6" s="52">
        <v>25.55</v>
      </c>
      <c r="J6" s="53" t="s">
        <v>29</v>
      </c>
      <c r="K6" s="51" t="s">
        <v>37</v>
      </c>
      <c r="L6" s="51" t="s">
        <v>37</v>
      </c>
    </row>
    <row r="7" spans="2:12" ht="21.45" customHeight="1">
      <c r="B7" s="29" t="s">
        <v>38</v>
      </c>
      <c r="C7" s="29" t="s">
        <v>227</v>
      </c>
      <c r="E7" s="31" t="s">
        <v>123</v>
      </c>
      <c r="F7" s="31">
        <v>1364.2</v>
      </c>
      <c r="G7" s="31">
        <v>1219.9000000000001</v>
      </c>
      <c r="J7" s="30" t="s">
        <v>34</v>
      </c>
      <c r="K7" s="31">
        <v>67.467853610286852</v>
      </c>
      <c r="L7" s="31">
        <v>47.74559686888454</v>
      </c>
    </row>
    <row r="8" spans="2:12" ht="28.8" customHeight="1">
      <c r="B8" s="51" t="s">
        <v>35</v>
      </c>
      <c r="C8" s="51" t="s">
        <v>228</v>
      </c>
      <c r="E8" s="52" t="s">
        <v>177</v>
      </c>
      <c r="F8" s="52">
        <v>128527540</v>
      </c>
      <c r="G8" s="52">
        <v>128527540</v>
      </c>
      <c r="J8" s="53" t="s">
        <v>17</v>
      </c>
      <c r="K8" s="54">
        <v>0.253</v>
      </c>
      <c r="L8" s="54">
        <v>0.20979999999999999</v>
      </c>
    </row>
    <row r="9" spans="2:12" ht="21.45" customHeight="1">
      <c r="B9" s="29" t="s">
        <v>19</v>
      </c>
      <c r="C9" s="29" t="s">
        <v>229</v>
      </c>
      <c r="E9" s="35" t="s">
        <v>34</v>
      </c>
      <c r="F9" s="35">
        <f>F7/F6</f>
        <v>67.467853610286852</v>
      </c>
      <c r="G9" s="35">
        <f>G7/G6</f>
        <v>47.74559686888454</v>
      </c>
      <c r="J9" s="30" t="s">
        <v>38</v>
      </c>
      <c r="K9" s="29">
        <v>22.297443134052443</v>
      </c>
      <c r="L9" s="29">
        <v>21.151652919483173</v>
      </c>
    </row>
    <row r="10" spans="2:12" ht="30" customHeight="1">
      <c r="B10" s="51" t="s">
        <v>20</v>
      </c>
      <c r="C10" s="51" t="s">
        <v>230</v>
      </c>
      <c r="E10" s="52" t="s">
        <v>30</v>
      </c>
      <c r="F10" s="52">
        <v>8449.3799999999992</v>
      </c>
      <c r="G10" s="55">
        <v>8001.93</v>
      </c>
      <c r="J10" s="53" t="s">
        <v>35</v>
      </c>
      <c r="K10" s="52">
        <v>8.0527270516892076E-3</v>
      </c>
      <c r="L10" s="51">
        <v>7.0137499675504228E-2</v>
      </c>
    </row>
    <row r="11" spans="2:12" ht="27.45" customHeight="1">
      <c r="B11" s="29" t="s">
        <v>39</v>
      </c>
      <c r="C11" s="29" t="s">
        <v>231</v>
      </c>
      <c r="E11" s="31" t="s">
        <v>18</v>
      </c>
      <c r="F11" s="31">
        <v>33396.14</v>
      </c>
      <c r="G11" s="31">
        <v>38136.089999999997</v>
      </c>
      <c r="J11" s="32" t="s">
        <v>19</v>
      </c>
      <c r="K11" s="31">
        <v>0.87963641694766159</v>
      </c>
      <c r="L11" s="31">
        <v>1.55750471350111</v>
      </c>
    </row>
    <row r="12" spans="2:12" ht="27.45" customHeight="1">
      <c r="B12" s="51" t="s">
        <v>36</v>
      </c>
      <c r="C12" s="51" t="s">
        <v>232</v>
      </c>
      <c r="E12" s="56" t="s">
        <v>17</v>
      </c>
      <c r="F12" s="57">
        <f>F10/F11</f>
        <v>0.25300468856580427</v>
      </c>
      <c r="G12" s="57">
        <f>G10/G11</f>
        <v>0.20982565333782255</v>
      </c>
      <c r="J12" s="53" t="s">
        <v>39</v>
      </c>
      <c r="K12" s="51">
        <v>0.32380328984128109</v>
      </c>
      <c r="L12" s="51">
        <v>0.28978691837574333</v>
      </c>
    </row>
    <row r="13" spans="2:12" ht="30" customHeight="1">
      <c r="B13" s="29" t="s">
        <v>46</v>
      </c>
      <c r="C13" s="29" t="s">
        <v>222</v>
      </c>
      <c r="E13" s="31" t="s">
        <v>178</v>
      </c>
      <c r="F13" s="31">
        <f>F7*F8/1000000</f>
        <v>175337.27006800001</v>
      </c>
      <c r="G13" s="31">
        <f>G7*G8/1000000</f>
        <v>156790.74604599999</v>
      </c>
      <c r="J13" s="30" t="s">
        <v>36</v>
      </c>
      <c r="K13" s="29">
        <v>2.9283324360240438E-2</v>
      </c>
      <c r="L13" s="29">
        <v>-2.1631215995137416E-2</v>
      </c>
    </row>
    <row r="14" spans="2:12" ht="22.2" customHeight="1">
      <c r="B14" s="51" t="s">
        <v>31</v>
      </c>
      <c r="C14" s="51" t="s">
        <v>221</v>
      </c>
      <c r="E14" s="52" t="s">
        <v>179</v>
      </c>
      <c r="F14" s="52">
        <v>13553.07</v>
      </c>
      <c r="G14" s="52">
        <v>14464.51</v>
      </c>
      <c r="J14" s="53" t="s">
        <v>40</v>
      </c>
      <c r="K14" s="51">
        <v>1.0415613900289076</v>
      </c>
      <c r="L14" s="51">
        <v>0.91462601436067525</v>
      </c>
    </row>
    <row r="15" spans="2:12" ht="21" customHeight="1">
      <c r="B15" s="29" t="s">
        <v>183</v>
      </c>
      <c r="C15" s="29" t="s">
        <v>233</v>
      </c>
      <c r="E15" s="31" t="s">
        <v>181</v>
      </c>
      <c r="F15" s="31">
        <v>490.77</v>
      </c>
      <c r="G15" s="31">
        <v>2001.21</v>
      </c>
      <c r="J15" s="30" t="s">
        <v>41</v>
      </c>
      <c r="K15" s="29">
        <v>7.7830851110337898E-2</v>
      </c>
      <c r="L15" s="29">
        <v>8.6125504738424938E-2</v>
      </c>
    </row>
    <row r="16" spans="2:12" ht="30" customHeight="1">
      <c r="B16" s="51" t="s">
        <v>22</v>
      </c>
      <c r="C16" s="51" t="s">
        <v>221</v>
      </c>
      <c r="E16" s="52" t="s">
        <v>175</v>
      </c>
      <c r="F16" s="52">
        <f>F13+F14-F15</f>
        <v>188399.57006800003</v>
      </c>
      <c r="G16" s="52">
        <f>G13+G14-G15</f>
        <v>169254.046046</v>
      </c>
      <c r="J16" s="53" t="s">
        <v>42</v>
      </c>
      <c r="K16" s="58">
        <v>1.46E-2</v>
      </c>
      <c r="L16" s="58">
        <v>3.7399999999999998E-3</v>
      </c>
    </row>
    <row r="17" spans="2:12" ht="36" customHeight="1">
      <c r="B17" s="29" t="s">
        <v>24</v>
      </c>
      <c r="C17" s="29" t="s">
        <v>234</v>
      </c>
      <c r="E17" s="35" t="s">
        <v>38</v>
      </c>
      <c r="F17" s="35">
        <f>F16/F10</f>
        <v>22.297443134052443</v>
      </c>
      <c r="G17" s="35">
        <f>G16/G10</f>
        <v>21.151652919483173</v>
      </c>
      <c r="J17" s="30" t="s">
        <v>43</v>
      </c>
      <c r="K17" s="29">
        <v>7.3427505857533271E-2</v>
      </c>
      <c r="L17" s="29">
        <v>9.2439654410576846E-2</v>
      </c>
    </row>
    <row r="18" spans="2:12" ht="36" customHeight="1">
      <c r="B18" s="51" t="s">
        <v>235</v>
      </c>
      <c r="C18" s="51" t="s">
        <v>236</v>
      </c>
      <c r="E18" s="52" t="s">
        <v>33</v>
      </c>
      <c r="F18" s="52">
        <v>268.93</v>
      </c>
      <c r="G18" s="52">
        <v>2674.77</v>
      </c>
      <c r="J18" s="53" t="s">
        <v>44</v>
      </c>
      <c r="K18" s="51">
        <v>0.17100373948352501</v>
      </c>
      <c r="L18" s="51">
        <v>0.20975643400842603</v>
      </c>
    </row>
    <row r="19" spans="2:12" ht="18">
      <c r="B19" s="183"/>
      <c r="C19" s="183"/>
      <c r="E19" s="31" t="s">
        <v>18</v>
      </c>
      <c r="F19" s="31">
        <v>33396.14</v>
      </c>
      <c r="G19" s="31">
        <v>38136.089999999997</v>
      </c>
      <c r="J19" s="33" t="s">
        <v>45</v>
      </c>
      <c r="K19" s="29">
        <v>7.3427505857533298E-2</v>
      </c>
      <c r="L19" s="29">
        <v>9.2439654410576846E-2</v>
      </c>
    </row>
    <row r="20" spans="2:12" ht="36" customHeight="1">
      <c r="B20" s="49" t="s">
        <v>219</v>
      </c>
      <c r="C20" s="49" t="s">
        <v>191</v>
      </c>
      <c r="E20" s="56" t="s">
        <v>35</v>
      </c>
      <c r="F20" s="56">
        <f>F18/F19</f>
        <v>8.0527270516892076E-3</v>
      </c>
      <c r="G20" s="56">
        <f>G18/G19</f>
        <v>7.0137499675504228E-2</v>
      </c>
      <c r="J20" s="60" t="s">
        <v>46</v>
      </c>
      <c r="K20" s="51">
        <v>1.0415613900289076</v>
      </c>
      <c r="L20" s="51">
        <v>0.91462601436067503</v>
      </c>
    </row>
    <row r="21" spans="2:12" ht="18">
      <c r="B21" s="29" t="s">
        <v>220</v>
      </c>
      <c r="C21" s="29" t="s">
        <v>221</v>
      </c>
      <c r="E21" s="31" t="s">
        <v>176</v>
      </c>
      <c r="F21" s="31">
        <v>12</v>
      </c>
      <c r="G21" s="31">
        <v>19</v>
      </c>
      <c r="J21" s="33" t="s">
        <v>188</v>
      </c>
      <c r="K21" s="29">
        <f>F19/F36</f>
        <v>2.1971202555796201</v>
      </c>
      <c r="L21" s="29">
        <f>G19/G36</f>
        <v>2.4354740752519861</v>
      </c>
    </row>
    <row r="22" spans="2:12" ht="36" customHeight="1">
      <c r="B22" s="51" t="s">
        <v>46</v>
      </c>
      <c r="C22" s="51" t="s">
        <v>222</v>
      </c>
      <c r="E22" s="56" t="s">
        <v>19</v>
      </c>
      <c r="F22" s="56">
        <f>F21/F7*100</f>
        <v>0.87963641694766159</v>
      </c>
      <c r="G22" s="56">
        <f>G21/G7*100</f>
        <v>1.5575047135011064</v>
      </c>
      <c r="J22" s="53" t="s">
        <v>47</v>
      </c>
      <c r="K22" s="52">
        <v>3610.4000000000005</v>
      </c>
      <c r="L22" s="55">
        <v>8203.81</v>
      </c>
    </row>
    <row r="23" spans="2:12" ht="21" customHeight="1">
      <c r="B23" s="29" t="s">
        <v>223</v>
      </c>
      <c r="C23" s="29" t="s">
        <v>224</v>
      </c>
      <c r="E23" s="31" t="s">
        <v>32</v>
      </c>
      <c r="F23" s="31">
        <v>18196.18</v>
      </c>
      <c r="G23" s="31">
        <v>22477.5</v>
      </c>
      <c r="J23" s="258" t="s">
        <v>48</v>
      </c>
      <c r="K23" s="261" t="s">
        <v>189</v>
      </c>
      <c r="L23" s="261" t="s">
        <v>190</v>
      </c>
    </row>
    <row r="24" spans="2:12" ht="23.55" customHeight="1">
      <c r="D24" s="61"/>
      <c r="E24" s="56" t="s">
        <v>20</v>
      </c>
      <c r="F24" s="56">
        <f>F23/F11</f>
        <v>0.54485877709220287</v>
      </c>
      <c r="G24" s="56">
        <f>G23/G11</f>
        <v>0.58940232205241816</v>
      </c>
      <c r="J24" s="259"/>
      <c r="K24" s="262"/>
      <c r="L24" s="262"/>
    </row>
    <row r="25" spans="2:12" ht="19.8" customHeight="1">
      <c r="B25" s="62"/>
      <c r="C25" s="61"/>
      <c r="E25" s="31" t="s">
        <v>180</v>
      </c>
      <c r="F25" s="31">
        <v>10813.78</v>
      </c>
      <c r="G25" s="31">
        <v>11051.34</v>
      </c>
      <c r="J25" s="259"/>
      <c r="K25" s="262"/>
      <c r="L25" s="262"/>
    </row>
    <row r="26" spans="2:12" ht="19.8" customHeight="1">
      <c r="E26" s="56" t="s">
        <v>39</v>
      </c>
      <c r="F26" s="56">
        <f>F25/F11</f>
        <v>0.32380328984128109</v>
      </c>
      <c r="G26" s="56">
        <f>G25/G11</f>
        <v>0.28978691837574333</v>
      </c>
      <c r="J26" s="259"/>
      <c r="K26" s="262"/>
      <c r="L26" s="262"/>
    </row>
    <row r="27" spans="2:12" ht="16.8" customHeight="1">
      <c r="E27" s="31" t="s">
        <v>182</v>
      </c>
      <c r="F27" s="31">
        <v>977.95</v>
      </c>
      <c r="G27" s="31">
        <v>-824.93</v>
      </c>
      <c r="J27" s="259"/>
      <c r="K27" s="262"/>
      <c r="L27" s="262"/>
    </row>
    <row r="28" spans="2:12" ht="20.55" customHeight="1">
      <c r="E28" s="56" t="s">
        <v>36</v>
      </c>
      <c r="F28" s="56">
        <f>F27/F19</f>
        <v>2.9283324360240438E-2</v>
      </c>
      <c r="G28" s="56">
        <f>G27/G19</f>
        <v>-2.1631215995137416E-2</v>
      </c>
      <c r="J28" s="259"/>
      <c r="K28" s="262"/>
      <c r="L28" s="262"/>
    </row>
    <row r="29" spans="2:12" ht="18.45" customHeight="1">
      <c r="E29" s="31" t="s">
        <v>16</v>
      </c>
      <c r="F29" s="31">
        <v>34784.129999999997</v>
      </c>
      <c r="G29" s="31">
        <v>34880.26</v>
      </c>
      <c r="J29" s="259"/>
      <c r="K29" s="262"/>
      <c r="L29" s="262"/>
    </row>
    <row r="30" spans="2:12" ht="18" customHeight="1">
      <c r="E30" s="56" t="s">
        <v>46</v>
      </c>
      <c r="F30" s="56">
        <f>F29/F11</f>
        <v>1.0415613900289076</v>
      </c>
      <c r="G30" s="56">
        <f>G29/G11</f>
        <v>0.91462601436067525</v>
      </c>
      <c r="J30" s="260"/>
      <c r="K30" s="263"/>
      <c r="L30" s="263"/>
    </row>
    <row r="31" spans="2:12" ht="18" customHeight="1">
      <c r="E31" s="31" t="s">
        <v>21</v>
      </c>
      <c r="F31" s="31">
        <v>2596.09</v>
      </c>
      <c r="G31" s="31">
        <v>3286.24</v>
      </c>
    </row>
    <row r="32" spans="2:12" ht="18" customHeight="1">
      <c r="E32" s="56" t="s">
        <v>41</v>
      </c>
      <c r="F32" s="56">
        <f>F31/F11</f>
        <v>7.7736229396570988E-2</v>
      </c>
      <c r="G32" s="56">
        <f>G31/G11</f>
        <v>8.6171393029542354E-2</v>
      </c>
      <c r="J32" s="264" t="s">
        <v>193</v>
      </c>
      <c r="K32" s="265"/>
      <c r="L32" s="266"/>
    </row>
    <row r="33" spans="2:12" ht="20.55" customHeight="1">
      <c r="E33" s="31" t="s">
        <v>16</v>
      </c>
      <c r="F33" s="31">
        <v>35398.86</v>
      </c>
      <c r="G33" s="31">
        <v>35531.18</v>
      </c>
      <c r="J33" s="267"/>
      <c r="K33" s="268"/>
      <c r="L33" s="269"/>
    </row>
    <row r="34" spans="2:12" ht="16.2" customHeight="1">
      <c r="E34" s="56" t="s">
        <v>183</v>
      </c>
      <c r="F34" s="57">
        <v>1.46E-2</v>
      </c>
      <c r="G34" s="57">
        <v>3.7399999999999998E-3</v>
      </c>
      <c r="J34" s="267"/>
      <c r="K34" s="268"/>
      <c r="L34" s="269"/>
    </row>
    <row r="35" spans="2:12" ht="17.55" customHeight="1">
      <c r="E35" s="35" t="s">
        <v>22</v>
      </c>
      <c r="F35" s="35">
        <f>F31/F33*100%</f>
        <v>7.3338237446064644E-2</v>
      </c>
      <c r="G35" s="35">
        <f>G31/G33*100%</f>
        <v>9.2488906926254624E-2</v>
      </c>
      <c r="J35" s="267"/>
      <c r="K35" s="268"/>
      <c r="L35" s="269"/>
    </row>
    <row r="36" spans="2:12" ht="17.55" customHeight="1">
      <c r="E36" s="52" t="s">
        <v>187</v>
      </c>
      <c r="F36" s="52">
        <v>15199.96</v>
      </c>
      <c r="G36" s="52">
        <v>15658.59</v>
      </c>
      <c r="J36" s="267"/>
      <c r="K36" s="268"/>
      <c r="L36" s="269"/>
    </row>
    <row r="37" spans="2:12" ht="16.8" customHeight="1">
      <c r="E37" s="35" t="s">
        <v>184</v>
      </c>
      <c r="F37" s="35">
        <f>F31/F36</f>
        <v>0.17079584419959001</v>
      </c>
      <c r="G37" s="35">
        <f>G31/G36</f>
        <v>0.2098681937518001</v>
      </c>
      <c r="J37" s="267"/>
      <c r="K37" s="268"/>
      <c r="L37" s="269"/>
    </row>
    <row r="38" spans="2:12" ht="18" customHeight="1">
      <c r="E38" s="52" t="s">
        <v>185</v>
      </c>
      <c r="F38" s="52">
        <v>4588.3500000000004</v>
      </c>
      <c r="G38" s="52">
        <v>7378.88</v>
      </c>
      <c r="J38" s="267"/>
      <c r="K38" s="268"/>
      <c r="L38" s="269"/>
    </row>
    <row r="39" spans="2:12" ht="16.8" customHeight="1">
      <c r="E39" s="35" t="s">
        <v>186</v>
      </c>
      <c r="F39" s="35">
        <f>F38-F27</f>
        <v>3610.4000000000005</v>
      </c>
      <c r="G39" s="180">
        <f>G38-G27</f>
        <v>8203.81</v>
      </c>
      <c r="J39" s="267"/>
      <c r="K39" s="268"/>
      <c r="L39" s="269"/>
    </row>
    <row r="40" spans="2:12" ht="14.55" customHeight="1">
      <c r="D40" s="175"/>
      <c r="J40" s="267"/>
      <c r="K40" s="268"/>
      <c r="L40" s="269"/>
    </row>
    <row r="41" spans="2:12" ht="14.55" customHeight="1">
      <c r="B41" s="175"/>
      <c r="C41" s="175"/>
      <c r="D41" s="175"/>
      <c r="J41" s="267"/>
      <c r="K41" s="268"/>
      <c r="L41" s="269"/>
    </row>
    <row r="42" spans="2:12" ht="14.55" customHeight="1">
      <c r="B42" s="175"/>
      <c r="C42" s="175"/>
      <c r="D42" s="175"/>
      <c r="J42" s="267"/>
      <c r="K42" s="268"/>
      <c r="L42" s="269"/>
    </row>
    <row r="43" spans="2:12" ht="14.55" customHeight="1">
      <c r="B43" s="175"/>
      <c r="C43" s="175"/>
      <c r="D43" s="175"/>
      <c r="J43" s="267"/>
      <c r="K43" s="268"/>
      <c r="L43" s="269"/>
    </row>
    <row r="44" spans="2:12" ht="14.55" customHeight="1">
      <c r="B44" s="175"/>
      <c r="C44" s="175"/>
      <c r="D44" s="175"/>
      <c r="J44" s="267"/>
      <c r="K44" s="268"/>
      <c r="L44" s="269"/>
    </row>
    <row r="45" spans="2:12" ht="14.55" customHeight="1">
      <c r="B45" s="175"/>
      <c r="C45" s="175"/>
      <c r="D45" s="175"/>
      <c r="J45" s="267"/>
      <c r="K45" s="268"/>
      <c r="L45" s="269"/>
    </row>
    <row r="46" spans="2:12" ht="14.55" customHeight="1">
      <c r="B46" s="175"/>
      <c r="C46" s="175"/>
      <c r="D46" s="175"/>
      <c r="J46" s="270"/>
      <c r="K46" s="271"/>
      <c r="L46" s="272"/>
    </row>
    <row r="47" spans="2:12" ht="14.55" customHeight="1">
      <c r="B47" s="175"/>
      <c r="C47" s="175"/>
      <c r="D47" s="175"/>
    </row>
    <row r="48" spans="2:12" ht="14.55" customHeight="1">
      <c r="B48" s="175"/>
      <c r="C48" s="175"/>
      <c r="D48" s="175"/>
    </row>
    <row r="49" spans="2:4" ht="14.55" customHeight="1">
      <c r="B49" s="175"/>
      <c r="C49" s="175"/>
      <c r="D49" s="175"/>
    </row>
    <row r="50" spans="2:4" ht="14.55" customHeight="1">
      <c r="B50" s="175"/>
      <c r="C50" s="175"/>
      <c r="D50" s="175"/>
    </row>
    <row r="51" spans="2:4" ht="18">
      <c r="B51" s="175"/>
      <c r="C51" s="175"/>
    </row>
  </sheetData>
  <mergeCells count="5">
    <mergeCell ref="E3:G3"/>
    <mergeCell ref="J23:J30"/>
    <mergeCell ref="K23:K30"/>
    <mergeCell ref="L23:L30"/>
    <mergeCell ref="J32:L4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7DF1-EDC9-4329-9AE7-8B34008A363E}">
  <dimension ref="A1:K58"/>
  <sheetViews>
    <sheetView zoomScale="55" zoomScaleNormal="55" workbookViewId="0">
      <selection activeCell="E60" sqref="E60"/>
    </sheetView>
  </sheetViews>
  <sheetFormatPr defaultColWidth="8.77734375" defaultRowHeight="14.4"/>
  <cols>
    <col min="1" max="1" width="38.109375" customWidth="1"/>
    <col min="2" max="2" width="20.77734375" customWidth="1"/>
    <col min="3" max="3" width="21.77734375" customWidth="1"/>
    <col min="4" max="4" width="12.77734375" customWidth="1"/>
    <col min="5" max="5" width="74.109375" customWidth="1"/>
    <col min="6" max="6" width="34.44140625" customWidth="1"/>
    <col min="7" max="7" width="36.109375" customWidth="1"/>
    <col min="8" max="8" width="12.109375" customWidth="1"/>
    <col min="9" max="9" width="63" customWidth="1"/>
    <col min="10" max="10" width="32.44140625" customWidth="1"/>
    <col min="11" max="11" width="31.77734375" customWidth="1"/>
  </cols>
  <sheetData>
    <row r="1" spans="1:11" ht="14.55" customHeight="1">
      <c r="A1" s="273" t="s">
        <v>192</v>
      </c>
      <c r="B1" s="273"/>
      <c r="C1" s="273"/>
      <c r="D1" s="273"/>
      <c r="E1" s="273"/>
      <c r="F1" s="273"/>
      <c r="G1" s="273"/>
      <c r="H1" s="273"/>
      <c r="I1" s="273"/>
      <c r="J1" s="273"/>
      <c r="K1" s="273"/>
    </row>
    <row r="2" spans="1:11" ht="14.55" customHeight="1">
      <c r="A2" s="273"/>
      <c r="B2" s="273"/>
      <c r="C2" s="273"/>
      <c r="D2" s="273"/>
      <c r="E2" s="273"/>
      <c r="F2" s="273"/>
      <c r="G2" s="273"/>
      <c r="H2" s="273"/>
      <c r="I2" s="273"/>
      <c r="J2" s="273"/>
      <c r="K2" s="273"/>
    </row>
    <row r="6" spans="1:11" ht="21">
      <c r="A6" s="274" t="s">
        <v>50</v>
      </c>
      <c r="B6" s="274"/>
      <c r="C6" s="274"/>
      <c r="E6" s="275" t="s">
        <v>87</v>
      </c>
      <c r="F6" s="276"/>
      <c r="G6" s="277"/>
      <c r="I6" s="274" t="s">
        <v>124</v>
      </c>
      <c r="J6" s="274"/>
      <c r="K6" s="274"/>
    </row>
    <row r="7" spans="1:11">
      <c r="A7" s="68" t="s">
        <v>51</v>
      </c>
      <c r="B7" s="68" t="s">
        <v>52</v>
      </c>
      <c r="C7" s="68" t="s">
        <v>53</v>
      </c>
      <c r="E7" s="63" t="s">
        <v>51</v>
      </c>
      <c r="F7" s="63" t="s">
        <v>88</v>
      </c>
      <c r="G7" s="63" t="s">
        <v>89</v>
      </c>
      <c r="I7" s="68" t="s">
        <v>51</v>
      </c>
      <c r="J7" s="68" t="s">
        <v>125</v>
      </c>
      <c r="K7" s="68" t="s">
        <v>126</v>
      </c>
    </row>
    <row r="8" spans="1:11" ht="17.399999999999999">
      <c r="A8" s="69"/>
      <c r="B8" s="69"/>
      <c r="C8" s="69"/>
      <c r="E8" s="64"/>
      <c r="F8" s="64"/>
      <c r="G8" s="64"/>
      <c r="I8" s="69"/>
      <c r="J8" s="69"/>
      <c r="K8" s="69"/>
    </row>
    <row r="9" spans="1:11">
      <c r="A9" s="70" t="s">
        <v>54</v>
      </c>
      <c r="B9" s="68"/>
      <c r="C9" s="68"/>
      <c r="E9" s="65" t="s">
        <v>90</v>
      </c>
      <c r="F9" s="66">
        <v>34880.26</v>
      </c>
      <c r="G9" s="66">
        <v>34784.129999999997</v>
      </c>
      <c r="I9" s="72" t="s">
        <v>127</v>
      </c>
      <c r="J9" s="68"/>
      <c r="K9" s="68"/>
    </row>
    <row r="10" spans="1:11">
      <c r="A10" s="70" t="s">
        <v>55</v>
      </c>
      <c r="B10" s="68"/>
      <c r="C10" s="68"/>
      <c r="E10" s="65" t="s">
        <v>91</v>
      </c>
      <c r="F10" s="66">
        <v>650.91999999999996</v>
      </c>
      <c r="G10" s="66">
        <v>614.73</v>
      </c>
      <c r="I10" s="71" t="s">
        <v>106</v>
      </c>
      <c r="J10" s="71">
        <v>4237.41</v>
      </c>
      <c r="K10" s="71">
        <v>3486.32</v>
      </c>
    </row>
    <row r="11" spans="1:11">
      <c r="A11" s="71" t="s">
        <v>56</v>
      </c>
      <c r="B11" s="71">
        <v>3200.18</v>
      </c>
      <c r="C11" s="71">
        <v>3264.97</v>
      </c>
      <c r="E11" s="65" t="s">
        <v>92</v>
      </c>
      <c r="F11" s="66">
        <v>35531.18</v>
      </c>
      <c r="G11" s="66">
        <v>35398.86</v>
      </c>
      <c r="I11" s="72" t="s">
        <v>128</v>
      </c>
      <c r="J11" s="68"/>
      <c r="K11" s="68"/>
    </row>
    <row r="12" spans="1:11">
      <c r="A12" s="71" t="s">
        <v>57</v>
      </c>
      <c r="B12" s="71">
        <v>12109.34</v>
      </c>
      <c r="C12" s="71">
        <v>11519.16</v>
      </c>
      <c r="E12" s="67" t="s">
        <v>93</v>
      </c>
      <c r="F12" s="63"/>
      <c r="G12" s="63"/>
      <c r="I12" s="71" t="s">
        <v>129</v>
      </c>
      <c r="J12" s="71">
        <v>3711.81</v>
      </c>
      <c r="K12" s="71">
        <v>3386.14</v>
      </c>
    </row>
    <row r="13" spans="1:11">
      <c r="A13" s="71" t="s">
        <v>58</v>
      </c>
      <c r="B13" s="71">
        <v>144.86000000000001</v>
      </c>
      <c r="C13" s="71">
        <v>15.65</v>
      </c>
      <c r="E13" s="65" t="s">
        <v>94</v>
      </c>
      <c r="F13" s="66">
        <v>2568.98</v>
      </c>
      <c r="G13" s="66">
        <v>2301.52</v>
      </c>
      <c r="I13" s="71" t="s">
        <v>130</v>
      </c>
      <c r="J13" s="71">
        <v>53.21</v>
      </c>
      <c r="K13" s="71">
        <v>19.170000000000002</v>
      </c>
    </row>
    <row r="14" spans="1:11">
      <c r="A14" s="71" t="s">
        <v>59</v>
      </c>
      <c r="B14" s="71">
        <v>2674.77</v>
      </c>
      <c r="C14" s="71">
        <v>268.93</v>
      </c>
      <c r="E14" s="65" t="s">
        <v>95</v>
      </c>
      <c r="F14" s="66">
        <v>11510.48</v>
      </c>
      <c r="G14" s="66">
        <v>12979.65</v>
      </c>
      <c r="I14" s="71" t="s">
        <v>131</v>
      </c>
      <c r="J14" s="71">
        <v>0</v>
      </c>
      <c r="K14" s="71">
        <v>0</v>
      </c>
    </row>
    <row r="15" spans="1:11">
      <c r="A15" s="71" t="s">
        <v>60</v>
      </c>
      <c r="B15" s="71">
        <v>21.57</v>
      </c>
      <c r="C15" s="71">
        <v>21.57</v>
      </c>
      <c r="E15" s="65" t="s">
        <v>96</v>
      </c>
      <c r="F15" s="66">
        <v>1171.19</v>
      </c>
      <c r="G15" s="66">
        <v>-336.59</v>
      </c>
      <c r="I15" s="71" t="s">
        <v>98</v>
      </c>
      <c r="J15" s="71">
        <v>1284.3900000000001</v>
      </c>
      <c r="K15" s="71">
        <v>1167.92</v>
      </c>
    </row>
    <row r="16" spans="1:11">
      <c r="A16" s="71" t="s">
        <v>61</v>
      </c>
      <c r="B16" s="71">
        <v>53.51</v>
      </c>
      <c r="C16" s="71">
        <v>48.51</v>
      </c>
      <c r="E16" s="65" t="s">
        <v>97</v>
      </c>
      <c r="F16" s="66">
        <v>4616.2299999999996</v>
      </c>
      <c r="G16" s="66">
        <v>4182.5600000000004</v>
      </c>
      <c r="I16" s="71" t="s">
        <v>132</v>
      </c>
      <c r="J16" s="71">
        <v>0</v>
      </c>
      <c r="K16" s="71">
        <v>0</v>
      </c>
    </row>
    <row r="17" spans="1:11">
      <c r="A17" s="71" t="s">
        <v>62</v>
      </c>
      <c r="B17" s="71">
        <v>1057.04</v>
      </c>
      <c r="C17" s="71">
        <v>1284.26</v>
      </c>
      <c r="E17" s="65" t="s">
        <v>98</v>
      </c>
      <c r="F17" s="66">
        <v>1284.3900000000001</v>
      </c>
      <c r="G17" s="66">
        <v>1167.92</v>
      </c>
      <c r="I17" s="71" t="s">
        <v>133</v>
      </c>
      <c r="J17" s="71">
        <v>-89.62</v>
      </c>
      <c r="K17" s="71">
        <v>-69.989999999999995</v>
      </c>
    </row>
    <row r="18" spans="1:11">
      <c r="A18" s="71" t="s">
        <v>63</v>
      </c>
      <c r="B18" s="71">
        <v>1421.88</v>
      </c>
      <c r="C18" s="71">
        <v>1756.73</v>
      </c>
      <c r="E18" s="65" t="s">
        <v>99</v>
      </c>
      <c r="F18" s="66">
        <v>3711.81</v>
      </c>
      <c r="G18" s="66">
        <v>3386.14</v>
      </c>
      <c r="I18" s="71" t="s">
        <v>134</v>
      </c>
      <c r="J18" s="71">
        <v>-5.03</v>
      </c>
      <c r="K18" s="71">
        <v>26.94</v>
      </c>
    </row>
    <row r="19" spans="1:11">
      <c r="A19" s="71" t="s">
        <v>64</v>
      </c>
      <c r="B19" s="71">
        <v>240.22</v>
      </c>
      <c r="C19" s="71">
        <v>155.33000000000001</v>
      </c>
      <c r="E19" s="65" t="s">
        <v>100</v>
      </c>
      <c r="F19" s="66">
        <v>7662.37</v>
      </c>
      <c r="G19" s="66">
        <v>7822.34</v>
      </c>
      <c r="I19" s="71" t="s">
        <v>135</v>
      </c>
      <c r="J19" s="71">
        <v>-1339.52</v>
      </c>
      <c r="K19" s="71">
        <v>0</v>
      </c>
    </row>
    <row r="20" spans="1:11">
      <c r="A20" s="71" t="s">
        <v>65</v>
      </c>
      <c r="B20" s="71">
        <v>135.86000000000001</v>
      </c>
      <c r="C20" s="71">
        <v>72.97</v>
      </c>
      <c r="E20" s="65" t="s">
        <v>101</v>
      </c>
      <c r="F20" s="66">
        <v>32525.45</v>
      </c>
      <c r="G20" s="66">
        <v>31503.54</v>
      </c>
      <c r="I20" s="71" t="s">
        <v>136</v>
      </c>
      <c r="J20" s="71">
        <v>0</v>
      </c>
      <c r="K20" s="71">
        <v>-6.5</v>
      </c>
    </row>
    <row r="21" spans="1:11">
      <c r="A21" s="70" t="s">
        <v>66</v>
      </c>
      <c r="B21" s="68"/>
      <c r="C21" s="68"/>
      <c r="E21" s="65" t="s">
        <v>102</v>
      </c>
      <c r="F21" s="66">
        <v>3005.73</v>
      </c>
      <c r="G21" s="66">
        <v>3895.32</v>
      </c>
      <c r="I21" s="71" t="s">
        <v>137</v>
      </c>
      <c r="J21" s="71">
        <v>-466.95</v>
      </c>
      <c r="K21" s="71">
        <v>0</v>
      </c>
    </row>
    <row r="22" spans="1:11">
      <c r="A22" s="71" t="s">
        <v>67</v>
      </c>
      <c r="B22" s="71">
        <v>8150.57</v>
      </c>
      <c r="C22" s="71">
        <v>9293.24</v>
      </c>
      <c r="E22" s="67" t="s">
        <v>103</v>
      </c>
      <c r="F22" s="63"/>
      <c r="G22" s="63"/>
      <c r="I22" s="71" t="s">
        <v>138</v>
      </c>
      <c r="J22" s="71">
        <v>7294.83</v>
      </c>
      <c r="K22" s="71">
        <v>7522.98</v>
      </c>
    </row>
    <row r="23" spans="1:11">
      <c r="A23" s="71" t="s">
        <v>68</v>
      </c>
      <c r="B23" s="71">
        <v>1115.45</v>
      </c>
      <c r="C23" s="71">
        <v>801.13</v>
      </c>
      <c r="E23" s="65" t="s">
        <v>104</v>
      </c>
      <c r="F23" s="66">
        <v>107.84</v>
      </c>
      <c r="G23" s="66">
        <v>409</v>
      </c>
      <c r="I23" s="72" t="s">
        <v>139</v>
      </c>
      <c r="J23" s="68"/>
      <c r="K23" s="68"/>
    </row>
    <row r="24" spans="1:11">
      <c r="A24" s="71" t="s">
        <v>69</v>
      </c>
      <c r="B24" s="71">
        <v>2001.22</v>
      </c>
      <c r="C24" s="71">
        <v>490.77</v>
      </c>
      <c r="E24" s="65" t="s">
        <v>105</v>
      </c>
      <c r="F24" s="66">
        <v>-1339.52</v>
      </c>
      <c r="G24" s="66">
        <v>0</v>
      </c>
      <c r="I24" s="71" t="s">
        <v>140</v>
      </c>
      <c r="J24" s="71">
        <v>-296.92</v>
      </c>
      <c r="K24" s="71">
        <v>50.64</v>
      </c>
    </row>
    <row r="25" spans="1:11">
      <c r="A25" s="71" t="s">
        <v>70</v>
      </c>
      <c r="B25" s="71">
        <v>4237.74</v>
      </c>
      <c r="C25" s="71">
        <v>3538.57</v>
      </c>
      <c r="E25" s="65" t="s">
        <v>106</v>
      </c>
      <c r="F25" s="66">
        <v>4237.41</v>
      </c>
      <c r="G25" s="66">
        <v>3486.32</v>
      </c>
      <c r="I25" s="71" t="s">
        <v>141</v>
      </c>
      <c r="J25" s="71">
        <v>1142.6199999999999</v>
      </c>
      <c r="K25" s="71">
        <v>-250.66</v>
      </c>
    </row>
    <row r="26" spans="1:11">
      <c r="A26" s="71" t="s">
        <v>71</v>
      </c>
      <c r="B26" s="71">
        <v>688.6</v>
      </c>
      <c r="C26" s="71">
        <v>363.39</v>
      </c>
      <c r="E26" s="67" t="s">
        <v>107</v>
      </c>
      <c r="F26" s="63"/>
      <c r="G26" s="63"/>
      <c r="I26" s="71" t="s">
        <v>142</v>
      </c>
      <c r="J26" s="71">
        <v>-514.99</v>
      </c>
      <c r="K26" s="71">
        <v>-179.74</v>
      </c>
    </row>
    <row r="27" spans="1:11">
      <c r="A27" s="71" t="s">
        <v>72</v>
      </c>
      <c r="B27" s="71">
        <v>904.85</v>
      </c>
      <c r="C27" s="71">
        <v>752.91</v>
      </c>
      <c r="E27" s="65" t="s">
        <v>108</v>
      </c>
      <c r="F27" s="66">
        <v>1108.07</v>
      </c>
      <c r="G27" s="66">
        <v>1013.31</v>
      </c>
      <c r="I27" s="71" t="s">
        <v>143</v>
      </c>
      <c r="J27" s="71">
        <v>-282.14</v>
      </c>
      <c r="K27" s="71">
        <v>-147.22999999999999</v>
      </c>
    </row>
    <row r="28" spans="1:11">
      <c r="A28" s="71" t="s">
        <v>73</v>
      </c>
      <c r="B28" s="71">
        <v>195.79</v>
      </c>
      <c r="C28" s="71"/>
      <c r="E28" s="65" t="s">
        <v>109</v>
      </c>
      <c r="F28" s="66">
        <v>-155.15</v>
      </c>
      <c r="G28" s="66">
        <v>-126.24</v>
      </c>
      <c r="I28" s="71" t="s">
        <v>144</v>
      </c>
      <c r="J28" s="71">
        <v>-32.68</v>
      </c>
      <c r="K28" s="71">
        <v>-48.18</v>
      </c>
    </row>
    <row r="29" spans="1:11">
      <c r="A29" s="70" t="s">
        <v>74</v>
      </c>
      <c r="B29" s="68"/>
      <c r="C29" s="68"/>
      <c r="E29" s="65" t="s">
        <v>110</v>
      </c>
      <c r="F29" s="66">
        <v>952.92</v>
      </c>
      <c r="G29" s="66">
        <v>887.07</v>
      </c>
      <c r="I29" s="71" t="s">
        <v>145</v>
      </c>
      <c r="J29" s="71">
        <v>-54.69</v>
      </c>
      <c r="K29" s="71">
        <v>0</v>
      </c>
    </row>
    <row r="30" spans="1:11">
      <c r="A30" s="70" t="s">
        <v>23</v>
      </c>
      <c r="B30" s="68"/>
      <c r="C30" s="68"/>
      <c r="E30" s="65" t="s">
        <v>111</v>
      </c>
      <c r="F30" s="66">
        <v>3284.49</v>
      </c>
      <c r="G30" s="66">
        <v>2599.25</v>
      </c>
      <c r="I30" s="71" t="s">
        <v>146</v>
      </c>
      <c r="J30" s="71">
        <v>2604.0100000000002</v>
      </c>
      <c r="K30" s="71">
        <v>2580.54</v>
      </c>
    </row>
    <row r="31" spans="1:11">
      <c r="A31" s="71" t="s">
        <v>75</v>
      </c>
      <c r="B31" s="71">
        <v>642.64</v>
      </c>
      <c r="C31" s="71">
        <v>642.64</v>
      </c>
      <c r="E31" s="67" t="s">
        <v>112</v>
      </c>
      <c r="F31" s="63"/>
      <c r="G31" s="63"/>
      <c r="I31" s="71" t="s">
        <v>147</v>
      </c>
      <c r="J31" s="71">
        <v>509.78</v>
      </c>
      <c r="K31" s="71">
        <v>-1097.8800000000001</v>
      </c>
    </row>
    <row r="32" spans="1:11">
      <c r="A32" s="71" t="s">
        <v>76</v>
      </c>
      <c r="B32" s="71">
        <v>15015.95</v>
      </c>
      <c r="C32" s="71">
        <v>14557.32</v>
      </c>
      <c r="E32" s="67" t="s">
        <v>113</v>
      </c>
      <c r="F32" s="63"/>
      <c r="G32" s="63"/>
      <c r="I32" s="71" t="s">
        <v>148</v>
      </c>
      <c r="J32" s="71">
        <v>108.4</v>
      </c>
      <c r="K32" s="71">
        <v>56.95</v>
      </c>
    </row>
    <row r="33" spans="1:11">
      <c r="A33" s="70" t="s">
        <v>77</v>
      </c>
      <c r="B33" s="68"/>
      <c r="C33" s="68"/>
      <c r="E33" s="65" t="s">
        <v>114</v>
      </c>
      <c r="F33" s="66">
        <v>2.34</v>
      </c>
      <c r="G33" s="66">
        <v>-4.2300000000000004</v>
      </c>
      <c r="I33" s="71" t="s">
        <v>149</v>
      </c>
      <c r="J33" s="71">
        <v>-194.3</v>
      </c>
      <c r="K33" s="71">
        <v>-214.09</v>
      </c>
    </row>
    <row r="34" spans="1:11">
      <c r="A34" s="71" t="s">
        <v>78</v>
      </c>
      <c r="B34" s="71">
        <v>11051.34</v>
      </c>
      <c r="C34" s="71">
        <v>10813.78</v>
      </c>
      <c r="E34" s="65" t="s">
        <v>115</v>
      </c>
      <c r="F34" s="66">
        <v>-0.59</v>
      </c>
      <c r="G34" s="66">
        <v>1.07</v>
      </c>
      <c r="I34" s="71" t="s">
        <v>150</v>
      </c>
      <c r="J34" s="71">
        <v>1277.5999999999999</v>
      </c>
      <c r="K34" s="71">
        <v>-1987.78</v>
      </c>
    </row>
    <row r="35" spans="1:11">
      <c r="A35" s="71" t="s">
        <v>79</v>
      </c>
      <c r="B35" s="71">
        <v>2047.94</v>
      </c>
      <c r="C35" s="71">
        <v>1046.9100000000001</v>
      </c>
      <c r="E35" s="65" t="s">
        <v>116</v>
      </c>
      <c r="F35" s="66">
        <v>1.75</v>
      </c>
      <c r="G35" s="66">
        <v>-3.16</v>
      </c>
      <c r="I35" s="71" t="s">
        <v>151</v>
      </c>
      <c r="J35" s="71">
        <v>8572.43</v>
      </c>
      <c r="K35" s="71">
        <v>5535.2</v>
      </c>
    </row>
    <row r="36" spans="1:11">
      <c r="A36" s="70" t="s">
        <v>80</v>
      </c>
      <c r="B36" s="68"/>
      <c r="C36" s="68"/>
      <c r="E36" s="65" t="s">
        <v>117</v>
      </c>
      <c r="F36" s="66">
        <v>3286.24</v>
      </c>
      <c r="G36" s="66">
        <v>2596.09</v>
      </c>
      <c r="I36" s="71" t="s">
        <v>152</v>
      </c>
      <c r="J36" s="71">
        <v>-1193.55</v>
      </c>
      <c r="K36" s="71">
        <v>-946.85</v>
      </c>
    </row>
    <row r="37" spans="1:11">
      <c r="A37" s="71" t="s">
        <v>81</v>
      </c>
      <c r="B37" s="71">
        <v>3413.17</v>
      </c>
      <c r="C37" s="71">
        <v>2739.29</v>
      </c>
      <c r="E37" s="67" t="s">
        <v>118</v>
      </c>
      <c r="F37" s="63"/>
      <c r="G37" s="63"/>
      <c r="I37" s="71" t="s">
        <v>153</v>
      </c>
      <c r="J37" s="71">
        <v>7378.88</v>
      </c>
      <c r="K37" s="71">
        <v>4588.3500000000004</v>
      </c>
    </row>
    <row r="38" spans="1:11">
      <c r="A38" s="71" t="s">
        <v>82</v>
      </c>
      <c r="B38" s="71">
        <v>892.76</v>
      </c>
      <c r="C38" s="71">
        <v>780.94</v>
      </c>
      <c r="E38" s="65" t="s">
        <v>119</v>
      </c>
      <c r="F38" s="66">
        <v>25.55</v>
      </c>
      <c r="G38" s="66">
        <v>20.22</v>
      </c>
      <c r="I38" s="72" t="s">
        <v>154</v>
      </c>
      <c r="J38" s="68"/>
      <c r="K38" s="68"/>
    </row>
    <row r="39" spans="1:11">
      <c r="A39" s="71" t="s">
        <v>83</v>
      </c>
      <c r="B39" s="71">
        <v>2599.67</v>
      </c>
      <c r="C39" s="71">
        <v>2203.3000000000002</v>
      </c>
      <c r="E39" s="65" t="s">
        <v>120</v>
      </c>
      <c r="F39" s="66">
        <v>25.55</v>
      </c>
      <c r="G39" s="66">
        <v>20.22</v>
      </c>
      <c r="I39" s="71" t="s">
        <v>155</v>
      </c>
      <c r="J39" s="71">
        <v>-725.97</v>
      </c>
      <c r="K39" s="71">
        <v>-1000.06</v>
      </c>
    </row>
    <row r="40" spans="1:11">
      <c r="A40" s="71" t="s">
        <v>84</v>
      </c>
      <c r="B40" s="71">
        <v>1492.06</v>
      </c>
      <c r="C40" s="71">
        <v>1011.08</v>
      </c>
      <c r="I40" s="71" t="s">
        <v>156</v>
      </c>
      <c r="J40" s="71">
        <v>15.59</v>
      </c>
      <c r="K40" s="71">
        <v>0</v>
      </c>
    </row>
    <row r="41" spans="1:11">
      <c r="A41" s="71" t="s">
        <v>85</v>
      </c>
      <c r="B41" s="71">
        <v>295.48</v>
      </c>
      <c r="C41" s="71">
        <v>139.82</v>
      </c>
      <c r="I41" s="71" t="s">
        <v>157</v>
      </c>
      <c r="J41" s="71">
        <v>1535.31</v>
      </c>
      <c r="K41" s="71">
        <v>0</v>
      </c>
    </row>
    <row r="42" spans="1:11">
      <c r="A42" s="71" t="s">
        <v>86</v>
      </c>
      <c r="B42" s="71">
        <v>685.08</v>
      </c>
      <c r="C42" s="71">
        <v>461.06</v>
      </c>
      <c r="I42" s="71" t="s">
        <v>158</v>
      </c>
      <c r="J42" s="71">
        <v>0</v>
      </c>
      <c r="K42" s="71">
        <v>-25</v>
      </c>
    </row>
    <row r="43" spans="1:11">
      <c r="I43" s="71" t="s">
        <v>159</v>
      </c>
      <c r="J43" s="71">
        <v>0</v>
      </c>
      <c r="K43" s="71">
        <v>50.81</v>
      </c>
    </row>
    <row r="44" spans="1:11">
      <c r="I44" s="71" t="s">
        <v>160</v>
      </c>
      <c r="J44" s="71">
        <v>-680</v>
      </c>
      <c r="K44" s="71">
        <v>-5257.29</v>
      </c>
    </row>
    <row r="45" spans="1:11">
      <c r="I45" s="71" t="s">
        <v>161</v>
      </c>
      <c r="J45" s="71">
        <v>-5</v>
      </c>
      <c r="K45" s="71">
        <v>0</v>
      </c>
    </row>
    <row r="46" spans="1:11">
      <c r="I46" s="71" t="s">
        <v>162</v>
      </c>
      <c r="J46" s="71">
        <v>5809.56</v>
      </c>
      <c r="K46" s="71">
        <v>606</v>
      </c>
    </row>
    <row r="47" spans="1:11">
      <c r="I47" s="71" t="s">
        <v>163</v>
      </c>
      <c r="J47" s="71">
        <v>373.83</v>
      </c>
      <c r="K47" s="71">
        <v>386.05</v>
      </c>
    </row>
    <row r="48" spans="1:11">
      <c r="I48" s="71" t="s">
        <v>164</v>
      </c>
      <c r="J48" s="71">
        <v>510.77</v>
      </c>
      <c r="K48" s="71">
        <v>329.93</v>
      </c>
    </row>
    <row r="49" spans="9:11">
      <c r="I49" s="72" t="s">
        <v>165</v>
      </c>
      <c r="J49" s="68"/>
      <c r="K49" s="68"/>
    </row>
    <row r="50" spans="9:11">
      <c r="I50" s="71" t="s">
        <v>166</v>
      </c>
      <c r="J50" s="71">
        <v>-2819.45</v>
      </c>
      <c r="K50" s="71">
        <v>-1730.97</v>
      </c>
    </row>
    <row r="51" spans="9:11">
      <c r="I51" s="71" t="s">
        <v>167</v>
      </c>
      <c r="J51" s="71">
        <v>-2306</v>
      </c>
      <c r="K51" s="71">
        <v>-2286.52</v>
      </c>
    </row>
    <row r="52" spans="9:11">
      <c r="I52" s="71" t="s">
        <v>168</v>
      </c>
      <c r="J52" s="71">
        <v>-1226.3699999999999</v>
      </c>
      <c r="K52" s="71">
        <v>-1140.28</v>
      </c>
    </row>
    <row r="53" spans="9:11">
      <c r="I53" s="71" t="s">
        <v>169</v>
      </c>
      <c r="J53" s="71">
        <v>-19.29</v>
      </c>
      <c r="K53" s="71">
        <v>-15</v>
      </c>
    </row>
    <row r="54" spans="9:11">
      <c r="I54" s="71" t="s">
        <v>170</v>
      </c>
      <c r="J54" s="71">
        <v>-8.09</v>
      </c>
      <c r="K54" s="71">
        <v>-4.1500000000000004</v>
      </c>
    </row>
    <row r="55" spans="9:11">
      <c r="I55" s="71" t="s">
        <v>171</v>
      </c>
      <c r="J55" s="71">
        <v>-6379.2</v>
      </c>
      <c r="K55" s="71">
        <v>-5172.92</v>
      </c>
    </row>
    <row r="56" spans="9:11">
      <c r="I56" s="71" t="s">
        <v>172</v>
      </c>
      <c r="J56" s="71">
        <v>1510.45</v>
      </c>
      <c r="K56" s="71">
        <v>-254.7</v>
      </c>
    </row>
    <row r="57" spans="9:11">
      <c r="I57" s="71" t="s">
        <v>173</v>
      </c>
      <c r="J57" s="71">
        <v>490.77</v>
      </c>
      <c r="K57" s="71">
        <v>745.47</v>
      </c>
    </row>
    <row r="58" spans="9:11">
      <c r="I58" s="71" t="s">
        <v>174</v>
      </c>
      <c r="J58" s="71">
        <v>2001.22</v>
      </c>
      <c r="K58" s="71">
        <v>490.77</v>
      </c>
    </row>
  </sheetData>
  <mergeCells count="4">
    <mergeCell ref="A1:K2"/>
    <mergeCell ref="A6:C6"/>
    <mergeCell ref="E6:G6"/>
    <mergeCell ref="I6:K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F6EE-9EA7-42A5-A7B0-437DB88DE567}">
  <dimension ref="B2:W498"/>
  <sheetViews>
    <sheetView topLeftCell="K57" zoomScale="70" zoomScaleNormal="70" workbookViewId="0">
      <selection activeCell="U94" sqref="U94"/>
    </sheetView>
  </sheetViews>
  <sheetFormatPr defaultColWidth="8.77734375" defaultRowHeight="14.4"/>
  <cols>
    <col min="1" max="1" width="5.33203125" customWidth="1"/>
    <col min="2" max="2" width="12.44140625" customWidth="1"/>
    <col min="3" max="3" width="9.44140625" customWidth="1"/>
    <col min="4" max="4" width="12.77734375" customWidth="1"/>
    <col min="5" max="5" width="12.109375" customWidth="1"/>
    <col min="6" max="6" width="9" customWidth="1"/>
    <col min="7" max="7" width="10.109375" customWidth="1"/>
    <col min="8" max="8" width="9.6640625" customWidth="1"/>
    <col min="9" max="9" width="13.109375" customWidth="1"/>
    <col min="10" max="10" width="18.77734375" customWidth="1"/>
    <col min="11" max="11" width="17.109375" customWidth="1"/>
    <col min="13" max="13" width="18.33203125" customWidth="1"/>
    <col min="14" max="14" width="19.77734375" customWidth="1"/>
    <col min="15" max="15" width="38.109375" customWidth="1"/>
    <col min="16" max="16" width="24.109375" customWidth="1"/>
    <col min="17" max="17" width="17.77734375" customWidth="1"/>
    <col min="18" max="18" width="18.77734375" customWidth="1"/>
    <col min="19" max="19" width="19.44140625" customWidth="1"/>
    <col min="20" max="20" width="10.6640625" customWidth="1"/>
    <col min="21" max="21" width="44.109375" customWidth="1"/>
    <col min="22" max="22" width="18.109375" customWidth="1"/>
    <col min="23" max="23" width="18.44140625" customWidth="1"/>
    <col min="24" max="24" width="18.77734375" customWidth="1"/>
  </cols>
  <sheetData>
    <row r="2" spans="2:22" ht="45" customHeight="1">
      <c r="B2" s="97" t="s">
        <v>194</v>
      </c>
      <c r="C2" s="98" t="s">
        <v>195</v>
      </c>
      <c r="D2" s="98" t="s">
        <v>196</v>
      </c>
      <c r="E2" s="98" t="s">
        <v>197</v>
      </c>
      <c r="F2" s="98" t="s">
        <v>198</v>
      </c>
      <c r="G2" s="98" t="s">
        <v>199</v>
      </c>
      <c r="H2" s="98" t="s">
        <v>200</v>
      </c>
      <c r="I2" s="98" t="s">
        <v>201</v>
      </c>
      <c r="J2" s="98" t="s">
        <v>202</v>
      </c>
      <c r="K2" s="99" t="s">
        <v>203</v>
      </c>
      <c r="M2" s="278" t="s">
        <v>244</v>
      </c>
      <c r="N2" s="279"/>
      <c r="O2" s="279"/>
      <c r="P2" s="279"/>
      <c r="Q2" s="279"/>
      <c r="R2" s="279"/>
      <c r="S2" s="280"/>
      <c r="T2" s="3"/>
      <c r="U2" s="95" t="s">
        <v>345</v>
      </c>
      <c r="V2" s="96" t="s">
        <v>346</v>
      </c>
    </row>
    <row r="3" spans="2:22" ht="34.799999999999997" customHeight="1">
      <c r="B3" s="73">
        <v>45744</v>
      </c>
      <c r="C3" s="8">
        <v>1204.2</v>
      </c>
      <c r="D3" s="8">
        <v>1224.4000000000001</v>
      </c>
      <c r="E3" s="8">
        <v>1204.2</v>
      </c>
      <c r="F3" s="8">
        <v>1219.9000000000001</v>
      </c>
      <c r="G3" s="8">
        <v>1633</v>
      </c>
      <c r="H3" s="8">
        <v>1177</v>
      </c>
      <c r="I3" s="9">
        <v>405048</v>
      </c>
      <c r="J3" s="8">
        <v>493723933.19999999</v>
      </c>
      <c r="K3" s="74">
        <v>23501</v>
      </c>
      <c r="M3" s="80" t="s">
        <v>204</v>
      </c>
      <c r="N3" s="80" t="s">
        <v>205</v>
      </c>
      <c r="O3" s="80" t="s">
        <v>206</v>
      </c>
      <c r="P3" s="80" t="s">
        <v>207</v>
      </c>
      <c r="Q3" s="80" t="s">
        <v>208</v>
      </c>
      <c r="R3" s="80" t="s">
        <v>209</v>
      </c>
      <c r="S3" s="80" t="s">
        <v>210</v>
      </c>
      <c r="T3" s="3"/>
      <c r="U3" s="18" t="s">
        <v>238</v>
      </c>
      <c r="V3" s="18">
        <v>1633</v>
      </c>
    </row>
    <row r="4" spans="2:22">
      <c r="B4" s="73">
        <v>45743</v>
      </c>
      <c r="C4" s="8">
        <v>1215.9000000000001</v>
      </c>
      <c r="D4" s="8">
        <v>1220.95</v>
      </c>
      <c r="E4" s="8">
        <v>1200</v>
      </c>
      <c r="F4" s="8">
        <v>1202.05</v>
      </c>
      <c r="G4" s="8">
        <v>1633</v>
      </c>
      <c r="H4" s="8">
        <v>1177</v>
      </c>
      <c r="I4" s="9">
        <v>149782</v>
      </c>
      <c r="J4" s="8">
        <v>180652309.69999999</v>
      </c>
      <c r="K4" s="74">
        <v>14059</v>
      </c>
      <c r="M4" s="81" t="s">
        <v>211</v>
      </c>
      <c r="N4" s="81" t="s">
        <v>212</v>
      </c>
      <c r="O4" s="81" t="s">
        <v>213</v>
      </c>
      <c r="P4" s="82">
        <v>45870</v>
      </c>
      <c r="Q4" s="82">
        <v>45870</v>
      </c>
      <c r="R4" s="81" t="s">
        <v>214</v>
      </c>
      <c r="S4" s="81" t="s">
        <v>214</v>
      </c>
      <c r="T4" s="3"/>
      <c r="U4" s="18" t="s">
        <v>239</v>
      </c>
      <c r="V4" s="18">
        <v>1177</v>
      </c>
    </row>
    <row r="5" spans="2:22">
      <c r="B5" s="73">
        <v>45742</v>
      </c>
      <c r="C5" s="8">
        <v>1233.95</v>
      </c>
      <c r="D5" s="8">
        <v>1241.3</v>
      </c>
      <c r="E5" s="8">
        <v>1210.0999999999999</v>
      </c>
      <c r="F5" s="8">
        <v>1213.0999999999999</v>
      </c>
      <c r="G5" s="8">
        <v>1633</v>
      </c>
      <c r="H5" s="8">
        <v>1177</v>
      </c>
      <c r="I5" s="9">
        <v>111424</v>
      </c>
      <c r="J5" s="8">
        <v>136436356.75</v>
      </c>
      <c r="K5" s="74">
        <v>13099</v>
      </c>
      <c r="M5" s="5" t="s">
        <v>211</v>
      </c>
      <c r="N5" s="5" t="s">
        <v>212</v>
      </c>
      <c r="O5" s="5" t="s">
        <v>215</v>
      </c>
      <c r="P5" s="11">
        <v>45520</v>
      </c>
      <c r="Q5" s="11">
        <v>45520</v>
      </c>
      <c r="R5" s="5" t="s">
        <v>214</v>
      </c>
      <c r="S5" s="5" t="s">
        <v>214</v>
      </c>
      <c r="T5" s="3"/>
      <c r="U5" s="18" t="s">
        <v>240</v>
      </c>
      <c r="V5" s="18">
        <v>2262</v>
      </c>
    </row>
    <row r="6" spans="2:22" ht="28.8">
      <c r="B6" s="73">
        <v>45741</v>
      </c>
      <c r="C6" s="8">
        <v>1246.9000000000001</v>
      </c>
      <c r="D6" s="8">
        <v>1248.95</v>
      </c>
      <c r="E6" s="8">
        <v>1224.8</v>
      </c>
      <c r="F6" s="8">
        <v>1229.9000000000001</v>
      </c>
      <c r="G6" s="8">
        <v>1633</v>
      </c>
      <c r="H6" s="8">
        <v>1177</v>
      </c>
      <c r="I6" s="9">
        <v>104508</v>
      </c>
      <c r="J6" s="8">
        <v>129033262.45</v>
      </c>
      <c r="K6" s="74">
        <v>13044</v>
      </c>
      <c r="M6" s="81" t="s">
        <v>211</v>
      </c>
      <c r="N6" s="81" t="s">
        <v>212</v>
      </c>
      <c r="O6" s="81" t="s">
        <v>216</v>
      </c>
      <c r="P6" s="82">
        <v>45504</v>
      </c>
      <c r="Q6" s="81" t="s">
        <v>214</v>
      </c>
      <c r="R6" s="82">
        <v>45505</v>
      </c>
      <c r="S6" s="82">
        <v>45511</v>
      </c>
      <c r="T6" s="3"/>
      <c r="U6" s="18" t="s">
        <v>241</v>
      </c>
      <c r="V6" s="18">
        <v>11.55</v>
      </c>
    </row>
    <row r="7" spans="2:22" ht="28.8">
      <c r="B7" s="73">
        <v>45740</v>
      </c>
      <c r="C7" s="8">
        <v>1256.8</v>
      </c>
      <c r="D7" s="8">
        <v>1256.8</v>
      </c>
      <c r="E7" s="8">
        <v>1231.55</v>
      </c>
      <c r="F7" s="8">
        <v>1236.45</v>
      </c>
      <c r="G7" s="8">
        <v>1633</v>
      </c>
      <c r="H7" s="8">
        <v>1177</v>
      </c>
      <c r="I7" s="9">
        <v>114547</v>
      </c>
      <c r="J7" s="8">
        <v>142390310.90000001</v>
      </c>
      <c r="K7" s="74">
        <v>13625</v>
      </c>
      <c r="M7" s="5" t="s">
        <v>211</v>
      </c>
      <c r="N7" s="5" t="s">
        <v>212</v>
      </c>
      <c r="O7" s="5" t="s">
        <v>217</v>
      </c>
      <c r="P7" s="11">
        <v>45141</v>
      </c>
      <c r="Q7" s="5" t="s">
        <v>214</v>
      </c>
      <c r="R7" s="11">
        <v>45142</v>
      </c>
      <c r="S7" s="11">
        <v>45148</v>
      </c>
      <c r="T7" s="3"/>
      <c r="U7" s="92" t="s">
        <v>242</v>
      </c>
      <c r="V7" s="92">
        <f>(F3-V5)/V5*100</f>
        <v>-46.069849690539343</v>
      </c>
    </row>
    <row r="8" spans="2:22" ht="28.8">
      <c r="B8" s="73">
        <v>45737</v>
      </c>
      <c r="C8" s="8">
        <v>1271.25</v>
      </c>
      <c r="D8" s="8">
        <v>1280</v>
      </c>
      <c r="E8" s="8">
        <v>1237</v>
      </c>
      <c r="F8" s="8">
        <v>1243.4000000000001</v>
      </c>
      <c r="G8" s="8">
        <v>1633</v>
      </c>
      <c r="H8" s="8">
        <v>1177</v>
      </c>
      <c r="I8" s="9">
        <v>130336</v>
      </c>
      <c r="J8" s="8">
        <v>163480302.40000001</v>
      </c>
      <c r="K8" s="74">
        <v>11187</v>
      </c>
      <c r="M8" s="81" t="s">
        <v>211</v>
      </c>
      <c r="N8" s="81" t="s">
        <v>212</v>
      </c>
      <c r="O8" s="81" t="s">
        <v>218</v>
      </c>
      <c r="P8" s="82">
        <v>44777</v>
      </c>
      <c r="Q8" s="81" t="s">
        <v>214</v>
      </c>
      <c r="R8" s="82">
        <v>44779</v>
      </c>
      <c r="S8" s="82">
        <v>44785</v>
      </c>
      <c r="U8" s="93" t="s">
        <v>243</v>
      </c>
      <c r="V8" s="94">
        <f>AVERAGE(I:I)</f>
        <v>357133.0281124498</v>
      </c>
    </row>
    <row r="9" spans="2:22">
      <c r="B9" s="73">
        <v>45736</v>
      </c>
      <c r="C9" s="8">
        <v>1271.1500000000001</v>
      </c>
      <c r="D9" s="8">
        <v>1294</v>
      </c>
      <c r="E9" s="8">
        <v>1261.3499999999999</v>
      </c>
      <c r="F9" s="8">
        <v>1269.3</v>
      </c>
      <c r="G9" s="8">
        <v>1633</v>
      </c>
      <c r="H9" s="8">
        <v>1177</v>
      </c>
      <c r="I9" s="9">
        <v>98728</v>
      </c>
      <c r="J9" s="8">
        <v>125823691.2</v>
      </c>
      <c r="K9" s="74">
        <v>13105</v>
      </c>
    </row>
    <row r="10" spans="2:22">
      <c r="B10" s="73">
        <v>45735</v>
      </c>
      <c r="C10" s="8">
        <v>1240</v>
      </c>
      <c r="D10" s="8">
        <v>1275</v>
      </c>
      <c r="E10" s="8">
        <v>1227.5</v>
      </c>
      <c r="F10" s="8">
        <v>1269.1500000000001</v>
      </c>
      <c r="G10" s="8">
        <v>1633</v>
      </c>
      <c r="H10" s="8">
        <v>1177</v>
      </c>
      <c r="I10" s="9">
        <v>127773</v>
      </c>
      <c r="J10" s="8">
        <v>160347167.15000001</v>
      </c>
      <c r="K10" s="74">
        <v>12720</v>
      </c>
      <c r="M10" s="281" t="s">
        <v>245</v>
      </c>
      <c r="N10" s="281"/>
      <c r="O10" s="281"/>
      <c r="P10" s="193" t="s">
        <v>246</v>
      </c>
      <c r="Q10" s="193"/>
      <c r="R10" s="193"/>
      <c r="S10" s="193"/>
    </row>
    <row r="11" spans="2:22">
      <c r="B11" s="73">
        <v>45734</v>
      </c>
      <c r="C11" s="8">
        <v>1215</v>
      </c>
      <c r="D11" s="8">
        <v>1238.8499999999999</v>
      </c>
      <c r="E11" s="8">
        <v>1204.8</v>
      </c>
      <c r="F11" s="8">
        <v>1235.9000000000001</v>
      </c>
      <c r="G11" s="8">
        <v>1633</v>
      </c>
      <c r="H11" s="8">
        <v>1177</v>
      </c>
      <c r="I11" s="9">
        <v>89849</v>
      </c>
      <c r="J11" s="8">
        <v>110280186.90000001</v>
      </c>
      <c r="K11" s="74">
        <v>10064</v>
      </c>
      <c r="M11" s="281"/>
      <c r="N11" s="281"/>
      <c r="O11" s="281"/>
      <c r="P11" s="193"/>
      <c r="Q11" s="193"/>
      <c r="R11" s="193"/>
      <c r="S11" s="193"/>
    </row>
    <row r="12" spans="2:22">
      <c r="B12" s="73">
        <v>45733</v>
      </c>
      <c r="C12" s="8">
        <v>1230</v>
      </c>
      <c r="D12" s="8">
        <v>1239.75</v>
      </c>
      <c r="E12" s="8">
        <v>1202</v>
      </c>
      <c r="F12" s="8">
        <v>1205.9000000000001</v>
      </c>
      <c r="G12" s="8">
        <v>1633</v>
      </c>
      <c r="H12" s="8">
        <v>1177</v>
      </c>
      <c r="I12" s="9">
        <v>125011</v>
      </c>
      <c r="J12" s="8">
        <v>152046746.30000001</v>
      </c>
      <c r="K12" s="74">
        <v>16387</v>
      </c>
      <c r="M12" s="281"/>
      <c r="N12" s="281"/>
      <c r="O12" s="281"/>
      <c r="P12" s="193"/>
      <c r="Q12" s="193"/>
      <c r="R12" s="193"/>
      <c r="S12" s="193"/>
    </row>
    <row r="13" spans="2:22">
      <c r="B13" s="73">
        <v>45729</v>
      </c>
      <c r="C13" s="8">
        <v>1230</v>
      </c>
      <c r="D13" s="8">
        <v>1240</v>
      </c>
      <c r="E13" s="8">
        <v>1214.95</v>
      </c>
      <c r="F13" s="8">
        <v>1236.45</v>
      </c>
      <c r="G13" s="8">
        <v>1633</v>
      </c>
      <c r="H13" s="8">
        <v>1177</v>
      </c>
      <c r="I13" s="9">
        <v>109731</v>
      </c>
      <c r="J13" s="8">
        <v>135174518.15000001</v>
      </c>
      <c r="K13" s="74">
        <v>13991</v>
      </c>
      <c r="M13" s="284"/>
      <c r="N13" s="284"/>
      <c r="O13" s="284"/>
      <c r="P13" s="284"/>
      <c r="Q13" s="284"/>
      <c r="R13" s="284"/>
      <c r="S13" s="284"/>
    </row>
    <row r="14" spans="2:22">
      <c r="B14" s="73">
        <v>45728</v>
      </c>
      <c r="C14" s="8">
        <v>1197.8</v>
      </c>
      <c r="D14" s="8">
        <v>1231.4000000000001</v>
      </c>
      <c r="E14" s="8">
        <v>1197.8</v>
      </c>
      <c r="F14" s="8">
        <v>1229.0999999999999</v>
      </c>
      <c r="G14" s="8">
        <v>1633</v>
      </c>
      <c r="H14" s="8">
        <v>1177</v>
      </c>
      <c r="I14" s="9">
        <v>164096</v>
      </c>
      <c r="J14" s="8">
        <v>199671350</v>
      </c>
      <c r="K14" s="74">
        <v>17968</v>
      </c>
      <c r="M14" s="282" t="s">
        <v>247</v>
      </c>
      <c r="N14" s="282"/>
      <c r="O14" s="282"/>
      <c r="P14" s="283" t="s">
        <v>248</v>
      </c>
      <c r="Q14" s="283"/>
      <c r="R14" s="283"/>
      <c r="S14" s="283"/>
    </row>
    <row r="15" spans="2:22">
      <c r="B15" s="73">
        <v>45727</v>
      </c>
      <c r="C15" s="8">
        <v>1215</v>
      </c>
      <c r="D15" s="8">
        <v>1215</v>
      </c>
      <c r="E15" s="8">
        <v>1196.0999999999999</v>
      </c>
      <c r="F15" s="8">
        <v>1197.4000000000001</v>
      </c>
      <c r="G15" s="8">
        <v>1633</v>
      </c>
      <c r="H15" s="8">
        <v>1177</v>
      </c>
      <c r="I15" s="9">
        <v>63128</v>
      </c>
      <c r="J15" s="8">
        <v>75843911.599999994</v>
      </c>
      <c r="K15" s="74">
        <v>8265</v>
      </c>
      <c r="M15" s="282"/>
      <c r="N15" s="282"/>
      <c r="O15" s="282"/>
      <c r="P15" s="283"/>
      <c r="Q15" s="283"/>
      <c r="R15" s="283"/>
      <c r="S15" s="283"/>
    </row>
    <row r="16" spans="2:22">
      <c r="B16" s="73">
        <v>45726</v>
      </c>
      <c r="C16" s="8">
        <v>1229</v>
      </c>
      <c r="D16" s="8">
        <v>1242.25</v>
      </c>
      <c r="E16" s="8">
        <v>1210.75</v>
      </c>
      <c r="F16" s="8">
        <v>1216.2</v>
      </c>
      <c r="G16" s="8">
        <v>1633</v>
      </c>
      <c r="H16" s="8">
        <v>1177</v>
      </c>
      <c r="I16" s="9">
        <v>72358</v>
      </c>
      <c r="J16" s="8">
        <v>88180704.099999994</v>
      </c>
      <c r="K16" s="74">
        <v>10769</v>
      </c>
      <c r="M16" s="282"/>
      <c r="N16" s="282"/>
      <c r="O16" s="282"/>
      <c r="P16" s="283"/>
      <c r="Q16" s="283"/>
      <c r="R16" s="283"/>
      <c r="S16" s="283"/>
    </row>
    <row r="17" spans="2:19">
      <c r="B17" s="73">
        <v>45723</v>
      </c>
      <c r="C17" s="8">
        <v>1245</v>
      </c>
      <c r="D17" s="8">
        <v>1254.4000000000001</v>
      </c>
      <c r="E17" s="8">
        <v>1228</v>
      </c>
      <c r="F17" s="8">
        <v>1233.0999999999999</v>
      </c>
      <c r="G17" s="8">
        <v>1633</v>
      </c>
      <c r="H17" s="8">
        <v>1177</v>
      </c>
      <c r="I17" s="9">
        <v>61540</v>
      </c>
      <c r="J17" s="8">
        <v>76398583.400000006</v>
      </c>
      <c r="K17" s="74">
        <v>7042</v>
      </c>
      <c r="M17" s="284"/>
      <c r="N17" s="284"/>
      <c r="O17" s="284"/>
      <c r="P17" s="284"/>
      <c r="Q17" s="284"/>
      <c r="R17" s="284"/>
      <c r="S17" s="284"/>
    </row>
    <row r="18" spans="2:19">
      <c r="B18" s="73">
        <v>45722</v>
      </c>
      <c r="C18" s="8">
        <v>1256</v>
      </c>
      <c r="D18" s="8">
        <v>1259.45</v>
      </c>
      <c r="E18" s="8">
        <v>1233.1500000000001</v>
      </c>
      <c r="F18" s="8">
        <v>1246.6500000000001</v>
      </c>
      <c r="G18" s="8">
        <v>1633</v>
      </c>
      <c r="H18" s="8">
        <v>1177</v>
      </c>
      <c r="I18" s="9">
        <v>61765</v>
      </c>
      <c r="J18" s="8">
        <v>77163600.200000003</v>
      </c>
      <c r="K18" s="74">
        <v>9415</v>
      </c>
      <c r="M18" s="281" t="s">
        <v>249</v>
      </c>
      <c r="N18" s="281"/>
      <c r="O18" s="281"/>
      <c r="P18" s="193" t="s">
        <v>250</v>
      </c>
      <c r="Q18" s="193"/>
      <c r="R18" s="193"/>
      <c r="S18" s="193"/>
    </row>
    <row r="19" spans="2:19">
      <c r="B19" s="73">
        <v>45721</v>
      </c>
      <c r="C19" s="8">
        <v>1202.0999999999999</v>
      </c>
      <c r="D19" s="8">
        <v>1242</v>
      </c>
      <c r="E19" s="8">
        <v>1202.0999999999999</v>
      </c>
      <c r="F19" s="8">
        <v>1237.0999999999999</v>
      </c>
      <c r="G19" s="8">
        <v>1633</v>
      </c>
      <c r="H19" s="8">
        <v>1177</v>
      </c>
      <c r="I19" s="9">
        <v>90411</v>
      </c>
      <c r="J19" s="8">
        <v>111132897.59999999</v>
      </c>
      <c r="K19" s="74">
        <v>10519</v>
      </c>
      <c r="M19" s="281"/>
      <c r="N19" s="281"/>
      <c r="O19" s="281"/>
      <c r="P19" s="193"/>
      <c r="Q19" s="193"/>
      <c r="R19" s="193"/>
      <c r="S19" s="193"/>
    </row>
    <row r="20" spans="2:19">
      <c r="B20" s="73">
        <v>45720</v>
      </c>
      <c r="C20" s="8">
        <v>1222</v>
      </c>
      <c r="D20" s="8">
        <v>1232.45</v>
      </c>
      <c r="E20" s="8">
        <v>1205</v>
      </c>
      <c r="F20" s="8">
        <v>1211.95</v>
      </c>
      <c r="G20" s="8">
        <v>1633</v>
      </c>
      <c r="H20" s="8">
        <v>1177</v>
      </c>
      <c r="I20" s="9">
        <v>85795</v>
      </c>
      <c r="J20" s="8">
        <v>104558565.3</v>
      </c>
      <c r="K20" s="74">
        <v>10222</v>
      </c>
      <c r="M20" s="281"/>
      <c r="N20" s="281"/>
      <c r="O20" s="281"/>
      <c r="P20" s="193"/>
      <c r="Q20" s="193"/>
      <c r="R20" s="193"/>
      <c r="S20" s="193"/>
    </row>
    <row r="21" spans="2:19">
      <c r="B21" s="73">
        <v>45719</v>
      </c>
      <c r="C21" s="8">
        <v>1224</v>
      </c>
      <c r="D21" s="8">
        <v>1260</v>
      </c>
      <c r="E21" s="8">
        <v>1177</v>
      </c>
      <c r="F21" s="8">
        <v>1237.8</v>
      </c>
      <c r="G21" s="8">
        <v>1633</v>
      </c>
      <c r="H21" s="8">
        <v>1177</v>
      </c>
      <c r="I21" s="9">
        <v>179183</v>
      </c>
      <c r="J21" s="8">
        <v>216214331.34999999</v>
      </c>
      <c r="K21" s="74">
        <v>26084</v>
      </c>
      <c r="N21" s="13"/>
      <c r="O21" s="14"/>
    </row>
    <row r="22" spans="2:19">
      <c r="B22" s="73">
        <v>45716</v>
      </c>
      <c r="C22" s="8">
        <v>1264.4000000000001</v>
      </c>
      <c r="D22" s="8">
        <v>1267</v>
      </c>
      <c r="E22" s="8">
        <v>1213.8</v>
      </c>
      <c r="F22" s="8">
        <v>1221.0999999999999</v>
      </c>
      <c r="G22" s="8">
        <v>1633</v>
      </c>
      <c r="H22" s="8">
        <v>1213.8</v>
      </c>
      <c r="I22" s="9">
        <v>153312</v>
      </c>
      <c r="J22" s="8">
        <v>189647366.40000001</v>
      </c>
      <c r="K22" s="74">
        <v>13106</v>
      </c>
      <c r="N22" s="13"/>
      <c r="O22" s="13"/>
    </row>
    <row r="23" spans="2:19">
      <c r="B23" s="73">
        <v>45715</v>
      </c>
      <c r="C23" s="8">
        <v>1330.45</v>
      </c>
      <c r="D23" s="8">
        <v>1343.85</v>
      </c>
      <c r="E23" s="8">
        <v>1247.5</v>
      </c>
      <c r="F23" s="8">
        <v>1282.25</v>
      </c>
      <c r="G23" s="8">
        <v>1633</v>
      </c>
      <c r="H23" s="8">
        <v>1228.05</v>
      </c>
      <c r="I23" s="9">
        <v>351668</v>
      </c>
      <c r="J23" s="8">
        <v>460199498.10000002</v>
      </c>
      <c r="K23" s="74">
        <v>20476</v>
      </c>
    </row>
    <row r="24" spans="2:19">
      <c r="B24" s="73">
        <v>45713</v>
      </c>
      <c r="C24" s="8">
        <v>1336</v>
      </c>
      <c r="D24" s="8">
        <v>1377.15</v>
      </c>
      <c r="E24" s="8">
        <v>1330.55</v>
      </c>
      <c r="F24" s="8">
        <v>1346.05</v>
      </c>
      <c r="G24" s="8">
        <v>1633</v>
      </c>
      <c r="H24" s="8">
        <v>1228.05</v>
      </c>
      <c r="I24" s="9">
        <v>1046583</v>
      </c>
      <c r="J24" s="8">
        <v>1422445641.7</v>
      </c>
      <c r="K24" s="74">
        <v>48875</v>
      </c>
      <c r="M24" s="85" t="s">
        <v>251</v>
      </c>
      <c r="N24" s="86" t="s">
        <v>252</v>
      </c>
      <c r="O24" s="86" t="s">
        <v>253</v>
      </c>
      <c r="P24" s="87" t="s">
        <v>254</v>
      </c>
    </row>
    <row r="25" spans="2:19">
      <c r="B25" s="73">
        <v>45712</v>
      </c>
      <c r="C25" s="8">
        <v>1277.45</v>
      </c>
      <c r="D25" s="8">
        <v>1351.7</v>
      </c>
      <c r="E25" s="8">
        <v>1277.45</v>
      </c>
      <c r="F25" s="8">
        <v>1336.3</v>
      </c>
      <c r="G25" s="8">
        <v>1633</v>
      </c>
      <c r="H25" s="8">
        <v>1228.05</v>
      </c>
      <c r="I25" s="9">
        <v>533086</v>
      </c>
      <c r="J25" s="8">
        <v>709348775.10000002</v>
      </c>
      <c r="K25" s="74">
        <v>34343</v>
      </c>
      <c r="M25" s="44">
        <v>0</v>
      </c>
      <c r="N25" s="17" t="s">
        <v>255</v>
      </c>
      <c r="O25" s="2">
        <v>1364.2</v>
      </c>
      <c r="P25" s="43"/>
    </row>
    <row r="26" spans="2:19">
      <c r="B26" s="73">
        <v>45709</v>
      </c>
      <c r="C26" s="8">
        <v>1265</v>
      </c>
      <c r="D26" s="8">
        <v>1323.8</v>
      </c>
      <c r="E26" s="8">
        <v>1263.05</v>
      </c>
      <c r="F26" s="8">
        <v>1298.0999999999999</v>
      </c>
      <c r="G26" s="8">
        <v>1633</v>
      </c>
      <c r="H26" s="8">
        <v>1228.05</v>
      </c>
      <c r="I26" s="9">
        <v>595310</v>
      </c>
      <c r="J26" s="8">
        <v>775787182.14999998</v>
      </c>
      <c r="K26" s="74">
        <v>32457</v>
      </c>
      <c r="M26" s="83">
        <v>1</v>
      </c>
      <c r="N26" s="17">
        <v>45387</v>
      </c>
      <c r="O26" s="6">
        <v>1359.4</v>
      </c>
      <c r="P26" s="84">
        <f t="shared" ref="P26:P57" si="0">(O26-O25)/O25*100</f>
        <v>-0.35185456677906135</v>
      </c>
    </row>
    <row r="27" spans="2:19">
      <c r="B27" s="73">
        <v>45708</v>
      </c>
      <c r="C27" s="8">
        <v>1254.4000000000001</v>
      </c>
      <c r="D27" s="8">
        <v>1269</v>
      </c>
      <c r="E27" s="8">
        <v>1245.5</v>
      </c>
      <c r="F27" s="8">
        <v>1264.1500000000001</v>
      </c>
      <c r="G27" s="8">
        <v>1633</v>
      </c>
      <c r="H27" s="8">
        <v>1228.05</v>
      </c>
      <c r="I27" s="9">
        <v>129345</v>
      </c>
      <c r="J27" s="8">
        <v>162517242</v>
      </c>
      <c r="K27" s="74">
        <v>9654</v>
      </c>
      <c r="M27" s="83">
        <v>2</v>
      </c>
      <c r="N27" s="17">
        <v>45394</v>
      </c>
      <c r="O27" s="6">
        <v>1387.5</v>
      </c>
      <c r="P27" s="84">
        <f t="shared" si="0"/>
        <v>2.0670884213623588</v>
      </c>
    </row>
    <row r="28" spans="2:19">
      <c r="B28" s="73">
        <v>45707</v>
      </c>
      <c r="C28" s="8">
        <v>1284</v>
      </c>
      <c r="D28" s="8">
        <v>1310.0999999999999</v>
      </c>
      <c r="E28" s="8">
        <v>1251.25</v>
      </c>
      <c r="F28" s="8">
        <v>1256.3499999999999</v>
      </c>
      <c r="G28" s="8">
        <v>1633</v>
      </c>
      <c r="H28" s="8">
        <v>1228.05</v>
      </c>
      <c r="I28" s="9">
        <v>197385</v>
      </c>
      <c r="J28" s="8">
        <v>249387048.55000001</v>
      </c>
      <c r="K28" s="74">
        <v>14791</v>
      </c>
      <c r="M28" s="83">
        <v>3</v>
      </c>
      <c r="N28" s="17">
        <v>45401</v>
      </c>
      <c r="O28" s="6">
        <v>1320.4</v>
      </c>
      <c r="P28" s="84">
        <f t="shared" si="0"/>
        <v>-4.8360360360360293</v>
      </c>
    </row>
    <row r="29" spans="2:19">
      <c r="B29" s="73">
        <v>45706</v>
      </c>
      <c r="C29" s="8">
        <v>1294.9000000000001</v>
      </c>
      <c r="D29" s="8">
        <v>1295.5999999999999</v>
      </c>
      <c r="E29" s="8">
        <v>1264.5</v>
      </c>
      <c r="F29" s="8">
        <v>1284.75</v>
      </c>
      <c r="G29" s="8">
        <v>1633</v>
      </c>
      <c r="H29" s="8">
        <v>1228.05</v>
      </c>
      <c r="I29" s="9">
        <v>499929</v>
      </c>
      <c r="J29" s="8">
        <v>635686915.54999995</v>
      </c>
      <c r="K29" s="74">
        <v>12533</v>
      </c>
      <c r="M29" s="83">
        <v>4</v>
      </c>
      <c r="N29" s="17">
        <v>45408</v>
      </c>
      <c r="O29" s="6">
        <v>1363.4</v>
      </c>
      <c r="P29" s="84">
        <f t="shared" si="0"/>
        <v>3.2565889124507725</v>
      </c>
    </row>
    <row r="30" spans="2:19">
      <c r="B30" s="73">
        <v>45705</v>
      </c>
      <c r="C30" s="8">
        <v>1309.5999999999999</v>
      </c>
      <c r="D30" s="8">
        <v>1328.35</v>
      </c>
      <c r="E30" s="8">
        <v>1280.5999999999999</v>
      </c>
      <c r="F30" s="8">
        <v>1296.3</v>
      </c>
      <c r="G30" s="8">
        <v>1633</v>
      </c>
      <c r="H30" s="8">
        <v>1228.05</v>
      </c>
      <c r="I30" s="9">
        <v>198184</v>
      </c>
      <c r="J30" s="8">
        <v>256634323.25</v>
      </c>
      <c r="K30" s="74">
        <v>19690</v>
      </c>
      <c r="M30" s="83">
        <v>5</v>
      </c>
      <c r="N30" s="17">
        <v>45415</v>
      </c>
      <c r="O30" s="6">
        <v>1338.35</v>
      </c>
      <c r="P30" s="84">
        <f t="shared" si="0"/>
        <v>-1.8373184685345594</v>
      </c>
    </row>
    <row r="31" spans="2:19">
      <c r="B31" s="73">
        <v>45702</v>
      </c>
      <c r="C31" s="8">
        <v>1334</v>
      </c>
      <c r="D31" s="8">
        <v>1344</v>
      </c>
      <c r="E31" s="8">
        <v>1303.45</v>
      </c>
      <c r="F31" s="8">
        <v>1320.05</v>
      </c>
      <c r="G31" s="8">
        <v>1633</v>
      </c>
      <c r="H31" s="8">
        <v>1228.05</v>
      </c>
      <c r="I31" s="9">
        <v>127682</v>
      </c>
      <c r="J31" s="8">
        <v>169053554.84999999</v>
      </c>
      <c r="K31" s="74">
        <v>11616</v>
      </c>
      <c r="M31" s="83">
        <v>6</v>
      </c>
      <c r="N31" s="17">
        <v>45422</v>
      </c>
      <c r="O31" s="6">
        <v>1309.0999999999999</v>
      </c>
      <c r="P31" s="84">
        <f t="shared" si="0"/>
        <v>-2.1855269548324432</v>
      </c>
    </row>
    <row r="32" spans="2:19">
      <c r="B32" s="73">
        <v>45701</v>
      </c>
      <c r="C32" s="8">
        <v>1350.25</v>
      </c>
      <c r="D32" s="8">
        <v>1358.4</v>
      </c>
      <c r="E32" s="8">
        <v>1317.6</v>
      </c>
      <c r="F32" s="8">
        <v>1333.7</v>
      </c>
      <c r="G32" s="8">
        <v>1633</v>
      </c>
      <c r="H32" s="8">
        <v>1228.05</v>
      </c>
      <c r="I32" s="9">
        <v>216551</v>
      </c>
      <c r="J32" s="8">
        <v>288131740.89999998</v>
      </c>
      <c r="K32" s="74">
        <v>13883</v>
      </c>
      <c r="M32" s="83">
        <v>7</v>
      </c>
      <c r="N32" s="17">
        <v>45429</v>
      </c>
      <c r="O32" s="6">
        <v>1353.05</v>
      </c>
      <c r="P32" s="84">
        <f t="shared" si="0"/>
        <v>3.3572683523031124</v>
      </c>
    </row>
    <row r="33" spans="2:16">
      <c r="B33" s="73">
        <v>45700</v>
      </c>
      <c r="C33" s="8">
        <v>1336</v>
      </c>
      <c r="D33" s="8">
        <v>1378.95</v>
      </c>
      <c r="E33" s="8">
        <v>1335.65</v>
      </c>
      <c r="F33" s="8">
        <v>1353.6</v>
      </c>
      <c r="G33" s="8">
        <v>1633</v>
      </c>
      <c r="H33" s="8">
        <v>1228.05</v>
      </c>
      <c r="I33" s="9">
        <v>247157</v>
      </c>
      <c r="J33" s="8">
        <v>335679013.85000002</v>
      </c>
      <c r="K33" s="74">
        <v>18069</v>
      </c>
      <c r="M33" s="83">
        <v>8</v>
      </c>
      <c r="N33" s="17">
        <v>45436</v>
      </c>
      <c r="O33" s="6">
        <v>1346.4</v>
      </c>
      <c r="P33" s="84">
        <f t="shared" si="0"/>
        <v>-0.49148220686595939</v>
      </c>
    </row>
    <row r="34" spans="2:16">
      <c r="B34" s="73">
        <v>45699</v>
      </c>
      <c r="C34" s="8">
        <v>1348.4</v>
      </c>
      <c r="D34" s="8">
        <v>1362.9</v>
      </c>
      <c r="E34" s="8">
        <v>1326.05</v>
      </c>
      <c r="F34" s="8">
        <v>1343.4</v>
      </c>
      <c r="G34" s="8">
        <v>1633</v>
      </c>
      <c r="H34" s="8">
        <v>1228.05</v>
      </c>
      <c r="I34" s="9">
        <v>324175</v>
      </c>
      <c r="J34" s="8">
        <v>435802983.30000001</v>
      </c>
      <c r="K34" s="74">
        <v>24978</v>
      </c>
      <c r="M34" s="83">
        <v>9</v>
      </c>
      <c r="N34" s="17">
        <v>45443</v>
      </c>
      <c r="O34" s="6">
        <v>1365.45</v>
      </c>
      <c r="P34" s="84">
        <f t="shared" si="0"/>
        <v>1.4148841354723674</v>
      </c>
    </row>
    <row r="35" spans="2:16">
      <c r="B35" s="73">
        <v>45698</v>
      </c>
      <c r="C35" s="8">
        <v>1332.05</v>
      </c>
      <c r="D35" s="8">
        <v>1351.95</v>
      </c>
      <c r="E35" s="8">
        <v>1322.55</v>
      </c>
      <c r="F35" s="8">
        <v>1341.15</v>
      </c>
      <c r="G35" s="8">
        <v>1633</v>
      </c>
      <c r="H35" s="8">
        <v>1228.05</v>
      </c>
      <c r="I35" s="9">
        <v>160276</v>
      </c>
      <c r="J35" s="8">
        <v>214959461.65000001</v>
      </c>
      <c r="K35" s="74">
        <v>16059</v>
      </c>
      <c r="M35" s="83">
        <v>10</v>
      </c>
      <c r="N35" s="17">
        <v>45450</v>
      </c>
      <c r="O35" s="6">
        <v>1465.9</v>
      </c>
      <c r="P35" s="84">
        <f t="shared" si="0"/>
        <v>7.3565491229997466</v>
      </c>
    </row>
    <row r="36" spans="2:16">
      <c r="B36" s="73">
        <v>45695</v>
      </c>
      <c r="C36" s="8">
        <v>1356</v>
      </c>
      <c r="D36" s="8">
        <v>1360.5</v>
      </c>
      <c r="E36" s="8">
        <v>1330</v>
      </c>
      <c r="F36" s="8">
        <v>1334.5</v>
      </c>
      <c r="G36" s="8">
        <v>1633</v>
      </c>
      <c r="H36" s="8">
        <v>1228.05</v>
      </c>
      <c r="I36" s="9">
        <v>86962</v>
      </c>
      <c r="J36" s="8">
        <v>116472068.3</v>
      </c>
      <c r="K36" s="74">
        <v>8139</v>
      </c>
      <c r="M36" s="83">
        <v>11</v>
      </c>
      <c r="N36" s="17">
        <v>45457</v>
      </c>
      <c r="O36" s="6">
        <v>1451.8</v>
      </c>
      <c r="P36" s="84">
        <f t="shared" si="0"/>
        <v>-0.96186643017942119</v>
      </c>
    </row>
    <row r="37" spans="2:16">
      <c r="B37" s="73">
        <v>45694</v>
      </c>
      <c r="C37" s="8">
        <v>1365</v>
      </c>
      <c r="D37" s="8">
        <v>1381.9</v>
      </c>
      <c r="E37" s="8">
        <v>1352.35</v>
      </c>
      <c r="F37" s="8">
        <v>1356.75</v>
      </c>
      <c r="G37" s="8">
        <v>1633</v>
      </c>
      <c r="H37" s="8">
        <v>1228.05</v>
      </c>
      <c r="I37" s="9">
        <v>160062</v>
      </c>
      <c r="J37" s="8">
        <v>218969434.75</v>
      </c>
      <c r="K37" s="74">
        <v>13695</v>
      </c>
      <c r="M37" s="83">
        <v>12</v>
      </c>
      <c r="N37" s="17">
        <v>45464</v>
      </c>
      <c r="O37" s="6">
        <v>1461.2</v>
      </c>
      <c r="P37" s="84">
        <f t="shared" si="0"/>
        <v>0.64747210359554286</v>
      </c>
    </row>
    <row r="38" spans="2:16">
      <c r="B38" s="73">
        <v>45693</v>
      </c>
      <c r="C38" s="8">
        <v>1374</v>
      </c>
      <c r="D38" s="8">
        <v>1384.25</v>
      </c>
      <c r="E38" s="8">
        <v>1360</v>
      </c>
      <c r="F38" s="8">
        <v>1368.75</v>
      </c>
      <c r="G38" s="8">
        <v>1633</v>
      </c>
      <c r="H38" s="8">
        <v>1228.05</v>
      </c>
      <c r="I38" s="9">
        <v>84644</v>
      </c>
      <c r="J38" s="8">
        <v>116103516.3</v>
      </c>
      <c r="K38" s="74">
        <v>8023</v>
      </c>
      <c r="M38" s="83">
        <v>13</v>
      </c>
      <c r="N38" s="17">
        <v>45471</v>
      </c>
      <c r="O38" s="6">
        <v>1513.75</v>
      </c>
      <c r="P38" s="84">
        <f t="shared" si="0"/>
        <v>3.5963591568573738</v>
      </c>
    </row>
    <row r="39" spans="2:16">
      <c r="B39" s="73">
        <v>45692</v>
      </c>
      <c r="C39" s="8">
        <v>1401.55</v>
      </c>
      <c r="D39" s="8">
        <v>1420.25</v>
      </c>
      <c r="E39" s="8">
        <v>1351.55</v>
      </c>
      <c r="F39" s="8">
        <v>1368.35</v>
      </c>
      <c r="G39" s="8">
        <v>1633</v>
      </c>
      <c r="H39" s="8">
        <v>1228.05</v>
      </c>
      <c r="I39" s="9">
        <v>354217</v>
      </c>
      <c r="J39" s="8">
        <v>485902047.05000001</v>
      </c>
      <c r="K39" s="74">
        <v>26401</v>
      </c>
      <c r="M39" s="83">
        <v>14</v>
      </c>
      <c r="N39" s="17">
        <v>45478</v>
      </c>
      <c r="O39" s="6">
        <v>1507.65</v>
      </c>
      <c r="P39" s="84">
        <f t="shared" si="0"/>
        <v>-0.40297274979355302</v>
      </c>
    </row>
    <row r="40" spans="2:16">
      <c r="B40" s="73">
        <v>45691</v>
      </c>
      <c r="C40" s="8">
        <v>1364.05</v>
      </c>
      <c r="D40" s="8">
        <v>1424.6</v>
      </c>
      <c r="E40" s="8">
        <v>1351.75</v>
      </c>
      <c r="F40" s="8">
        <v>1415.3</v>
      </c>
      <c r="G40" s="8">
        <v>1633</v>
      </c>
      <c r="H40" s="8">
        <v>1228.05</v>
      </c>
      <c r="I40" s="9">
        <v>998808</v>
      </c>
      <c r="J40" s="8">
        <v>1401932378.95</v>
      </c>
      <c r="K40" s="74">
        <v>59952</v>
      </c>
      <c r="M40" s="83">
        <v>15</v>
      </c>
      <c r="N40" s="17">
        <v>45485</v>
      </c>
      <c r="O40" s="6">
        <v>1516.1</v>
      </c>
      <c r="P40" s="84">
        <f t="shared" si="0"/>
        <v>0.56047491128576377</v>
      </c>
    </row>
    <row r="41" spans="2:16">
      <c r="B41" s="73">
        <v>45689</v>
      </c>
      <c r="C41" s="8">
        <v>1295</v>
      </c>
      <c r="D41" s="8">
        <v>1385.15</v>
      </c>
      <c r="E41" s="8">
        <v>1288.05</v>
      </c>
      <c r="F41" s="8">
        <v>1377.15</v>
      </c>
      <c r="G41" s="8">
        <v>1633</v>
      </c>
      <c r="H41" s="8">
        <v>1228.05</v>
      </c>
      <c r="I41" s="9">
        <v>916732</v>
      </c>
      <c r="J41" s="8">
        <v>1227390397.3</v>
      </c>
      <c r="K41" s="74">
        <v>38656</v>
      </c>
      <c r="M41" s="83">
        <v>16</v>
      </c>
      <c r="N41" s="17">
        <v>45492</v>
      </c>
      <c r="O41" s="6">
        <v>1523.8</v>
      </c>
      <c r="P41" s="84">
        <f t="shared" si="0"/>
        <v>0.5078820658267954</v>
      </c>
    </row>
    <row r="42" spans="2:16">
      <c r="B42" s="73">
        <v>45688</v>
      </c>
      <c r="C42" s="8">
        <v>1268.4000000000001</v>
      </c>
      <c r="D42" s="8">
        <v>1299.95</v>
      </c>
      <c r="E42" s="8">
        <v>1267.2</v>
      </c>
      <c r="F42" s="8">
        <v>1296.8</v>
      </c>
      <c r="G42" s="8">
        <v>1633</v>
      </c>
      <c r="H42" s="8">
        <v>1228.05</v>
      </c>
      <c r="I42" s="9">
        <v>260783</v>
      </c>
      <c r="J42" s="8">
        <v>336213827.69999999</v>
      </c>
      <c r="K42" s="74">
        <v>18967</v>
      </c>
      <c r="M42" s="83">
        <v>17</v>
      </c>
      <c r="N42" s="17">
        <v>45499</v>
      </c>
      <c r="O42" s="6">
        <v>1608.35</v>
      </c>
      <c r="P42" s="84">
        <f>(O42-O41)/O41*100</f>
        <v>5.5486284289276782</v>
      </c>
    </row>
    <row r="43" spans="2:16">
      <c r="B43" s="73">
        <v>45687</v>
      </c>
      <c r="C43" s="8">
        <v>1264.55</v>
      </c>
      <c r="D43" s="8">
        <v>1286.95</v>
      </c>
      <c r="E43" s="8">
        <v>1254</v>
      </c>
      <c r="F43" s="8">
        <v>1267.2</v>
      </c>
      <c r="G43" s="8">
        <v>1633</v>
      </c>
      <c r="H43" s="8">
        <v>1228.05</v>
      </c>
      <c r="I43" s="9">
        <v>385248</v>
      </c>
      <c r="J43" s="8">
        <v>489253265.89999998</v>
      </c>
      <c r="K43" s="74">
        <v>21165</v>
      </c>
      <c r="M43" s="83">
        <v>18</v>
      </c>
      <c r="N43" s="17">
        <v>45506</v>
      </c>
      <c r="O43" s="6">
        <v>1619.2</v>
      </c>
      <c r="P43" s="84">
        <f t="shared" si="0"/>
        <v>0.67460440824448265</v>
      </c>
    </row>
    <row r="44" spans="2:16">
      <c r="B44" s="73">
        <v>45686</v>
      </c>
      <c r="C44" s="8">
        <v>1231</v>
      </c>
      <c r="D44" s="8">
        <v>1278.95</v>
      </c>
      <c r="E44" s="8">
        <v>1231</v>
      </c>
      <c r="F44" s="8">
        <v>1263.5</v>
      </c>
      <c r="G44" s="8">
        <v>1633</v>
      </c>
      <c r="H44" s="8">
        <v>1228.05</v>
      </c>
      <c r="I44" s="9">
        <v>347931</v>
      </c>
      <c r="J44" s="8">
        <v>440618614.39999998</v>
      </c>
      <c r="K44" s="74">
        <v>23320</v>
      </c>
      <c r="M44" s="83">
        <v>19</v>
      </c>
      <c r="N44" s="17">
        <v>45513</v>
      </c>
      <c r="O44" s="6">
        <v>1443</v>
      </c>
      <c r="P44" s="84">
        <f t="shared" si="0"/>
        <v>-10.881916996047433</v>
      </c>
    </row>
    <row r="45" spans="2:16">
      <c r="B45" s="73">
        <v>45685</v>
      </c>
      <c r="C45" s="8">
        <v>1241.95</v>
      </c>
      <c r="D45" s="8">
        <v>1253.25</v>
      </c>
      <c r="E45" s="8">
        <v>1228.05</v>
      </c>
      <c r="F45" s="8">
        <v>1237.7</v>
      </c>
      <c r="G45" s="8">
        <v>1633</v>
      </c>
      <c r="H45" s="8">
        <v>1228.05</v>
      </c>
      <c r="I45" s="9">
        <v>244554</v>
      </c>
      <c r="J45" s="8">
        <v>303275520.55000001</v>
      </c>
      <c r="K45" s="74">
        <v>10924</v>
      </c>
      <c r="M45" s="83">
        <v>20</v>
      </c>
      <c r="N45" s="17">
        <v>45520</v>
      </c>
      <c r="O45" s="6">
        <v>1421.15</v>
      </c>
      <c r="P45" s="84">
        <f t="shared" si="0"/>
        <v>-1.514206514206508</v>
      </c>
    </row>
    <row r="46" spans="2:16">
      <c r="B46" s="73">
        <v>45684</v>
      </c>
      <c r="C46" s="8">
        <v>1279.95</v>
      </c>
      <c r="D46" s="8">
        <v>1279.95</v>
      </c>
      <c r="E46" s="8">
        <v>1231.2</v>
      </c>
      <c r="F46" s="8">
        <v>1238.2</v>
      </c>
      <c r="G46" s="8">
        <v>1633</v>
      </c>
      <c r="H46" s="8">
        <v>1231.2</v>
      </c>
      <c r="I46" s="9">
        <v>185578</v>
      </c>
      <c r="J46" s="8">
        <v>232666142.25</v>
      </c>
      <c r="K46" s="74">
        <v>14344</v>
      </c>
      <c r="M46" s="83">
        <v>21</v>
      </c>
      <c r="N46" s="17">
        <v>45527</v>
      </c>
      <c r="O46" s="6">
        <v>1452.95</v>
      </c>
      <c r="P46" s="84">
        <f t="shared" si="0"/>
        <v>2.2376244590648384</v>
      </c>
    </row>
    <row r="47" spans="2:16">
      <c r="B47" s="73">
        <v>45681</v>
      </c>
      <c r="C47" s="8">
        <v>1295</v>
      </c>
      <c r="D47" s="8">
        <v>1307</v>
      </c>
      <c r="E47" s="8">
        <v>1277.3499999999999</v>
      </c>
      <c r="F47" s="8">
        <v>1281.3499999999999</v>
      </c>
      <c r="G47" s="8">
        <v>1633</v>
      </c>
      <c r="H47" s="8">
        <v>1260.5</v>
      </c>
      <c r="I47" s="9">
        <v>116664</v>
      </c>
      <c r="J47" s="8">
        <v>150657566.55000001</v>
      </c>
      <c r="K47" s="74">
        <v>7790</v>
      </c>
      <c r="M47" s="83">
        <v>22</v>
      </c>
      <c r="N47" s="17">
        <v>45534</v>
      </c>
      <c r="O47" s="6">
        <v>1452.65</v>
      </c>
      <c r="P47" s="84">
        <f t="shared" si="0"/>
        <v>-2.0647647888774871E-2</v>
      </c>
    </row>
    <row r="48" spans="2:16">
      <c r="B48" s="73">
        <v>45680</v>
      </c>
      <c r="C48" s="8">
        <v>1279.95</v>
      </c>
      <c r="D48" s="8">
        <v>1310.7</v>
      </c>
      <c r="E48" s="8">
        <v>1275</v>
      </c>
      <c r="F48" s="8">
        <v>1300.9000000000001</v>
      </c>
      <c r="G48" s="8">
        <v>1633</v>
      </c>
      <c r="H48" s="8">
        <v>1260.5</v>
      </c>
      <c r="I48" s="9">
        <v>426525</v>
      </c>
      <c r="J48" s="8">
        <v>554333519.45000005</v>
      </c>
      <c r="K48" s="74">
        <v>14981</v>
      </c>
      <c r="M48" s="83">
        <v>23</v>
      </c>
      <c r="N48" s="17">
        <v>45541</v>
      </c>
      <c r="O48" s="6">
        <v>1406.25</v>
      </c>
      <c r="P48" s="84">
        <f t="shared" si="0"/>
        <v>-3.1941623928682126</v>
      </c>
    </row>
    <row r="49" spans="2:16">
      <c r="B49" s="73">
        <v>45679</v>
      </c>
      <c r="C49" s="8">
        <v>1296.4000000000001</v>
      </c>
      <c r="D49" s="8">
        <v>1296.6500000000001</v>
      </c>
      <c r="E49" s="8">
        <v>1260.5</v>
      </c>
      <c r="F49" s="8">
        <v>1276.1500000000001</v>
      </c>
      <c r="G49" s="8">
        <v>1633</v>
      </c>
      <c r="H49" s="8">
        <v>1260.5</v>
      </c>
      <c r="I49" s="9">
        <v>222066</v>
      </c>
      <c r="J49" s="8">
        <v>282934444.19999999</v>
      </c>
      <c r="K49" s="74">
        <v>15202</v>
      </c>
      <c r="M49" s="83">
        <v>24</v>
      </c>
      <c r="N49" s="17">
        <v>45548</v>
      </c>
      <c r="O49" s="6">
        <v>1437.95</v>
      </c>
      <c r="P49" s="84">
        <f t="shared" si="0"/>
        <v>2.2542222222222255</v>
      </c>
    </row>
    <row r="50" spans="2:16">
      <c r="B50" s="73">
        <v>45678</v>
      </c>
      <c r="C50" s="8">
        <v>1302.9000000000001</v>
      </c>
      <c r="D50" s="8">
        <v>1313.2</v>
      </c>
      <c r="E50" s="8">
        <v>1285.0999999999999</v>
      </c>
      <c r="F50" s="8">
        <v>1288.8499999999999</v>
      </c>
      <c r="G50" s="8">
        <v>1633</v>
      </c>
      <c r="H50" s="8">
        <v>1269</v>
      </c>
      <c r="I50" s="9">
        <v>116474</v>
      </c>
      <c r="J50" s="8">
        <v>151075878.55000001</v>
      </c>
      <c r="K50" s="74">
        <v>8475</v>
      </c>
      <c r="M50" s="83">
        <v>25</v>
      </c>
      <c r="N50" s="17">
        <v>45555</v>
      </c>
      <c r="O50" s="6">
        <v>1426.1</v>
      </c>
      <c r="P50" s="84">
        <f t="shared" si="0"/>
        <v>-0.82408985013388059</v>
      </c>
    </row>
    <row r="51" spans="2:16">
      <c r="B51" s="73">
        <v>45677</v>
      </c>
      <c r="C51" s="8">
        <v>1322</v>
      </c>
      <c r="D51" s="8">
        <v>1322</v>
      </c>
      <c r="E51" s="8">
        <v>1299.3</v>
      </c>
      <c r="F51" s="8">
        <v>1302.8499999999999</v>
      </c>
      <c r="G51" s="8">
        <v>1633</v>
      </c>
      <c r="H51" s="8">
        <v>1269</v>
      </c>
      <c r="I51" s="9">
        <v>84532</v>
      </c>
      <c r="J51" s="8">
        <v>110270052.59999999</v>
      </c>
      <c r="K51" s="74">
        <v>6580</v>
      </c>
      <c r="M51" s="83">
        <v>26</v>
      </c>
      <c r="N51" s="17">
        <v>45562</v>
      </c>
      <c r="O51" s="6">
        <v>1449.55</v>
      </c>
      <c r="P51" s="84">
        <f t="shared" si="0"/>
        <v>1.6443447163593048</v>
      </c>
    </row>
    <row r="52" spans="2:16">
      <c r="B52" s="73">
        <v>45674</v>
      </c>
      <c r="C52" s="8">
        <v>1316.7</v>
      </c>
      <c r="D52" s="8">
        <v>1319.15</v>
      </c>
      <c r="E52" s="8">
        <v>1301.6500000000001</v>
      </c>
      <c r="F52" s="8">
        <v>1310.8</v>
      </c>
      <c r="G52" s="8">
        <v>1633</v>
      </c>
      <c r="H52" s="8">
        <v>1269</v>
      </c>
      <c r="I52" s="9">
        <v>93613</v>
      </c>
      <c r="J52" s="8">
        <v>122699530.45</v>
      </c>
      <c r="K52" s="74">
        <v>10729</v>
      </c>
      <c r="M52" s="83">
        <v>27</v>
      </c>
      <c r="N52" s="17">
        <v>45569</v>
      </c>
      <c r="O52" s="6">
        <v>1364.55</v>
      </c>
      <c r="P52" s="84">
        <f t="shared" si="0"/>
        <v>-5.8638887930737127</v>
      </c>
    </row>
    <row r="53" spans="2:16">
      <c r="B53" s="73">
        <v>45673</v>
      </c>
      <c r="C53" s="8">
        <v>1323.95</v>
      </c>
      <c r="D53" s="8">
        <v>1325</v>
      </c>
      <c r="E53" s="8">
        <v>1300.4000000000001</v>
      </c>
      <c r="F53" s="8">
        <v>1307.95</v>
      </c>
      <c r="G53" s="8">
        <v>1633</v>
      </c>
      <c r="H53" s="8">
        <v>1269</v>
      </c>
      <c r="I53" s="9">
        <v>149060</v>
      </c>
      <c r="J53" s="8">
        <v>195193279.55000001</v>
      </c>
      <c r="K53" s="74">
        <v>13104</v>
      </c>
      <c r="M53" s="83">
        <v>28</v>
      </c>
      <c r="N53" s="17">
        <v>45576</v>
      </c>
      <c r="O53" s="6">
        <v>1406.1</v>
      </c>
      <c r="P53" s="84">
        <f t="shared" si="0"/>
        <v>3.0449598768824857</v>
      </c>
    </row>
    <row r="54" spans="2:16">
      <c r="B54" s="73">
        <v>45672</v>
      </c>
      <c r="C54" s="8">
        <v>1347.5</v>
      </c>
      <c r="D54" s="8">
        <v>1350</v>
      </c>
      <c r="E54" s="8">
        <v>1306</v>
      </c>
      <c r="F54" s="8">
        <v>1308.55</v>
      </c>
      <c r="G54" s="8">
        <v>1633</v>
      </c>
      <c r="H54" s="8">
        <v>1269</v>
      </c>
      <c r="I54" s="9">
        <v>206940</v>
      </c>
      <c r="J54" s="8">
        <v>272466508.55000001</v>
      </c>
      <c r="K54" s="74">
        <v>15886</v>
      </c>
      <c r="M54" s="83">
        <v>29</v>
      </c>
      <c r="N54" s="17">
        <v>45583</v>
      </c>
      <c r="O54" s="6">
        <v>1464.95</v>
      </c>
      <c r="P54" s="84">
        <f t="shared" si="0"/>
        <v>4.1853353246568625</v>
      </c>
    </row>
    <row r="55" spans="2:16">
      <c r="B55" s="73">
        <v>45671</v>
      </c>
      <c r="C55" s="8">
        <v>1365</v>
      </c>
      <c r="D55" s="8">
        <v>1376.7</v>
      </c>
      <c r="E55" s="8">
        <v>1332</v>
      </c>
      <c r="F55" s="8">
        <v>1343.55</v>
      </c>
      <c r="G55" s="8">
        <v>1633</v>
      </c>
      <c r="H55" s="8">
        <v>1269</v>
      </c>
      <c r="I55" s="9">
        <v>174605</v>
      </c>
      <c r="J55" s="8">
        <v>235198886.69999999</v>
      </c>
      <c r="K55" s="74">
        <v>12547</v>
      </c>
      <c r="M55" s="83">
        <v>30</v>
      </c>
      <c r="N55" s="17">
        <v>45590</v>
      </c>
      <c r="O55" s="6">
        <v>1364.75</v>
      </c>
      <c r="P55" s="84">
        <f t="shared" si="0"/>
        <v>-6.8398238847742281</v>
      </c>
    </row>
    <row r="56" spans="2:16">
      <c r="B56" s="73">
        <v>45670</v>
      </c>
      <c r="C56" s="8">
        <v>1420</v>
      </c>
      <c r="D56" s="8">
        <v>1420</v>
      </c>
      <c r="E56" s="8">
        <v>1359</v>
      </c>
      <c r="F56" s="8">
        <v>1364.05</v>
      </c>
      <c r="G56" s="8">
        <v>1633</v>
      </c>
      <c r="H56" s="8">
        <v>1269</v>
      </c>
      <c r="I56" s="9">
        <v>200946</v>
      </c>
      <c r="J56" s="8">
        <v>276679273.14999998</v>
      </c>
      <c r="K56" s="74">
        <v>17722</v>
      </c>
      <c r="M56" s="83">
        <v>31</v>
      </c>
      <c r="N56" s="17">
        <v>45597</v>
      </c>
      <c r="O56" s="6">
        <v>1356.75</v>
      </c>
      <c r="P56" s="84">
        <f t="shared" si="0"/>
        <v>-0.58618794651034989</v>
      </c>
    </row>
    <row r="57" spans="2:16">
      <c r="B57" s="73">
        <v>45667</v>
      </c>
      <c r="C57" s="8">
        <v>1412.9</v>
      </c>
      <c r="D57" s="8">
        <v>1445.2</v>
      </c>
      <c r="E57" s="8">
        <v>1403</v>
      </c>
      <c r="F57" s="8">
        <v>1425.9</v>
      </c>
      <c r="G57" s="8">
        <v>1633</v>
      </c>
      <c r="H57" s="8">
        <v>1269</v>
      </c>
      <c r="I57" s="9">
        <v>279113</v>
      </c>
      <c r="J57" s="8">
        <v>398830087.19999999</v>
      </c>
      <c r="K57" s="74">
        <v>18225</v>
      </c>
      <c r="M57" s="83">
        <v>32</v>
      </c>
      <c r="N57" s="17">
        <v>45604</v>
      </c>
      <c r="O57" s="6">
        <v>1336.3</v>
      </c>
      <c r="P57" s="84">
        <f t="shared" si="0"/>
        <v>-1.5072784227013116</v>
      </c>
    </row>
    <row r="58" spans="2:16">
      <c r="B58" s="73">
        <v>45666</v>
      </c>
      <c r="C58" s="8">
        <v>1421</v>
      </c>
      <c r="D58" s="8">
        <v>1434.4</v>
      </c>
      <c r="E58" s="8">
        <v>1405.4</v>
      </c>
      <c r="F58" s="8">
        <v>1412.9</v>
      </c>
      <c r="G58" s="8">
        <v>1633</v>
      </c>
      <c r="H58" s="8">
        <v>1269</v>
      </c>
      <c r="I58" s="9">
        <v>112693</v>
      </c>
      <c r="J58" s="8">
        <v>159940651.55000001</v>
      </c>
      <c r="K58" s="74">
        <v>10447</v>
      </c>
      <c r="M58" s="83">
        <v>33</v>
      </c>
      <c r="N58" s="17">
        <v>45611</v>
      </c>
      <c r="O58" s="6">
        <v>1307.3499999999999</v>
      </c>
      <c r="P58" s="84">
        <f t="shared" ref="P58:P77" si="1">(O58-O57)/O57*100</f>
        <v>-2.1664296939310068</v>
      </c>
    </row>
    <row r="59" spans="2:16">
      <c r="B59" s="73">
        <v>45665</v>
      </c>
      <c r="C59" s="8">
        <v>1427.4</v>
      </c>
      <c r="D59" s="8">
        <v>1432.1</v>
      </c>
      <c r="E59" s="8">
        <v>1386.85</v>
      </c>
      <c r="F59" s="8">
        <v>1420.75</v>
      </c>
      <c r="G59" s="8">
        <v>1633</v>
      </c>
      <c r="H59" s="8">
        <v>1269</v>
      </c>
      <c r="I59" s="9">
        <v>142177</v>
      </c>
      <c r="J59" s="8">
        <v>200507406.19999999</v>
      </c>
      <c r="K59" s="74">
        <v>13935</v>
      </c>
      <c r="M59" s="83">
        <v>34</v>
      </c>
      <c r="N59" s="17">
        <v>45618</v>
      </c>
      <c r="O59" s="6">
        <v>1301.45</v>
      </c>
      <c r="P59" s="84">
        <f t="shared" si="1"/>
        <v>-0.45129460358739926</v>
      </c>
    </row>
    <row r="60" spans="2:16">
      <c r="B60" s="73">
        <v>45664</v>
      </c>
      <c r="C60" s="8">
        <v>1424</v>
      </c>
      <c r="D60" s="8">
        <v>1442</v>
      </c>
      <c r="E60" s="8">
        <v>1390</v>
      </c>
      <c r="F60" s="8">
        <v>1424.4</v>
      </c>
      <c r="G60" s="8">
        <v>1633</v>
      </c>
      <c r="H60" s="8">
        <v>1269</v>
      </c>
      <c r="I60" s="9">
        <v>85433</v>
      </c>
      <c r="J60" s="8">
        <v>122030209.09999999</v>
      </c>
      <c r="K60" s="74">
        <v>9174</v>
      </c>
      <c r="M60" s="83">
        <v>35</v>
      </c>
      <c r="N60" s="17">
        <v>45625</v>
      </c>
      <c r="O60" s="6">
        <v>1410.85</v>
      </c>
      <c r="P60" s="84">
        <f t="shared" si="1"/>
        <v>8.4060086826232165</v>
      </c>
    </row>
    <row r="61" spans="2:16">
      <c r="B61" s="73">
        <v>45663</v>
      </c>
      <c r="C61" s="8">
        <v>1466</v>
      </c>
      <c r="D61" s="8">
        <v>1479</v>
      </c>
      <c r="E61" s="8">
        <v>1411</v>
      </c>
      <c r="F61" s="8">
        <v>1423.95</v>
      </c>
      <c r="G61" s="8">
        <v>1633</v>
      </c>
      <c r="H61" s="8">
        <v>1269</v>
      </c>
      <c r="I61" s="9">
        <v>457642</v>
      </c>
      <c r="J61" s="8">
        <v>660436275.45000005</v>
      </c>
      <c r="K61" s="74">
        <v>35856</v>
      </c>
      <c r="M61" s="83">
        <v>36</v>
      </c>
      <c r="N61" s="17">
        <v>45632</v>
      </c>
      <c r="O61" s="6">
        <v>1447</v>
      </c>
      <c r="P61" s="84">
        <f t="shared" si="1"/>
        <v>2.5622851472516635</v>
      </c>
    </row>
    <row r="62" spans="2:16">
      <c r="B62" s="73">
        <v>45660</v>
      </c>
      <c r="C62" s="8">
        <v>1424</v>
      </c>
      <c r="D62" s="8">
        <v>1464.95</v>
      </c>
      <c r="E62" s="8">
        <v>1415</v>
      </c>
      <c r="F62" s="8">
        <v>1460.8</v>
      </c>
      <c r="G62" s="8">
        <v>1658.65</v>
      </c>
      <c r="H62" s="8">
        <v>1269</v>
      </c>
      <c r="I62" s="9">
        <v>338918</v>
      </c>
      <c r="J62" s="8">
        <v>491643251.69999999</v>
      </c>
      <c r="K62" s="74">
        <v>23598</v>
      </c>
      <c r="M62" s="83">
        <v>37</v>
      </c>
      <c r="N62" s="17">
        <v>45639</v>
      </c>
      <c r="O62" s="6">
        <v>1432.45</v>
      </c>
      <c r="P62" s="84">
        <f t="shared" si="1"/>
        <v>-1.0055286800276402</v>
      </c>
    </row>
    <row r="63" spans="2:16">
      <c r="B63" s="73">
        <v>45659</v>
      </c>
      <c r="C63" s="8">
        <v>1407.85</v>
      </c>
      <c r="D63" s="8">
        <v>1429.45</v>
      </c>
      <c r="E63" s="8">
        <v>1390.35</v>
      </c>
      <c r="F63" s="8">
        <v>1421.6</v>
      </c>
      <c r="G63" s="8">
        <v>1658.65</v>
      </c>
      <c r="H63" s="8">
        <v>1269</v>
      </c>
      <c r="I63" s="9">
        <v>127608</v>
      </c>
      <c r="J63" s="8">
        <v>180225165.65000001</v>
      </c>
      <c r="K63" s="74">
        <v>14646</v>
      </c>
      <c r="M63" s="83">
        <v>38</v>
      </c>
      <c r="N63" s="17">
        <v>45646</v>
      </c>
      <c r="O63" s="6">
        <v>1342.25</v>
      </c>
      <c r="P63" s="84">
        <f t="shared" si="1"/>
        <v>-6.2969039058954968</v>
      </c>
    </row>
    <row r="64" spans="2:16">
      <c r="B64" s="73">
        <v>45658</v>
      </c>
      <c r="C64" s="8">
        <v>1378.1</v>
      </c>
      <c r="D64" s="8">
        <v>1401</v>
      </c>
      <c r="E64" s="8">
        <v>1372.75</v>
      </c>
      <c r="F64" s="8">
        <v>1397</v>
      </c>
      <c r="G64" s="8">
        <v>1658.65</v>
      </c>
      <c r="H64" s="8">
        <v>1269</v>
      </c>
      <c r="I64" s="9">
        <v>91829</v>
      </c>
      <c r="J64" s="8">
        <v>127871848.25</v>
      </c>
      <c r="K64" s="74">
        <v>10446</v>
      </c>
      <c r="M64" s="83">
        <v>39</v>
      </c>
      <c r="N64" s="17">
        <v>45653</v>
      </c>
      <c r="O64" s="6">
        <v>1381.3</v>
      </c>
      <c r="P64" s="84">
        <f t="shared" si="1"/>
        <v>2.9092940957347704</v>
      </c>
    </row>
    <row r="65" spans="2:23">
      <c r="B65" s="73">
        <v>45657</v>
      </c>
      <c r="C65" s="8">
        <v>1375</v>
      </c>
      <c r="D65" s="8">
        <v>1389.9</v>
      </c>
      <c r="E65" s="8">
        <v>1366.85</v>
      </c>
      <c r="F65" s="8">
        <v>1374.9</v>
      </c>
      <c r="G65" s="8">
        <v>1658.65</v>
      </c>
      <c r="H65" s="8">
        <v>1269</v>
      </c>
      <c r="I65" s="9">
        <v>193306</v>
      </c>
      <c r="J65" s="8">
        <v>266351540.30000001</v>
      </c>
      <c r="K65" s="74">
        <v>14701</v>
      </c>
      <c r="M65" s="83">
        <v>40</v>
      </c>
      <c r="N65" s="17">
        <v>45660</v>
      </c>
      <c r="O65" s="6">
        <v>1460.8</v>
      </c>
      <c r="P65" s="84">
        <f t="shared" si="1"/>
        <v>5.7554477665966841</v>
      </c>
    </row>
    <row r="66" spans="2:23">
      <c r="B66" s="73">
        <v>45656</v>
      </c>
      <c r="C66" s="8">
        <v>1381.3</v>
      </c>
      <c r="D66" s="8">
        <v>1400</v>
      </c>
      <c r="E66" s="8">
        <v>1353.8</v>
      </c>
      <c r="F66" s="8">
        <v>1388.9</v>
      </c>
      <c r="G66" s="8">
        <v>1658.65</v>
      </c>
      <c r="H66" s="8">
        <v>1269</v>
      </c>
      <c r="I66" s="9">
        <v>383666</v>
      </c>
      <c r="J66" s="8">
        <v>528622975.75</v>
      </c>
      <c r="K66" s="74">
        <v>26393</v>
      </c>
      <c r="M66" s="83">
        <v>41</v>
      </c>
      <c r="N66" s="17">
        <v>45667</v>
      </c>
      <c r="O66" s="6">
        <v>1425.9</v>
      </c>
      <c r="P66" s="84">
        <f t="shared" si="1"/>
        <v>-2.389101861993419</v>
      </c>
    </row>
    <row r="67" spans="2:23">
      <c r="B67" s="73">
        <v>45653</v>
      </c>
      <c r="C67" s="8">
        <v>1355.7</v>
      </c>
      <c r="D67" s="8">
        <v>1422.9</v>
      </c>
      <c r="E67" s="8">
        <v>1346.75</v>
      </c>
      <c r="F67" s="8">
        <v>1381.3</v>
      </c>
      <c r="G67" s="8">
        <v>1660.25</v>
      </c>
      <c r="H67" s="8">
        <v>1269</v>
      </c>
      <c r="I67" s="9">
        <v>2596097</v>
      </c>
      <c r="J67" s="8">
        <v>3625950274.3499999</v>
      </c>
      <c r="K67" s="74">
        <v>119404</v>
      </c>
      <c r="M67" s="83">
        <v>42</v>
      </c>
      <c r="N67" s="17">
        <v>45674</v>
      </c>
      <c r="O67" s="6">
        <v>1310.8</v>
      </c>
      <c r="P67" s="84">
        <f t="shared" si="1"/>
        <v>-8.0720948173083755</v>
      </c>
    </row>
    <row r="68" spans="2:23">
      <c r="B68" s="73">
        <v>45652</v>
      </c>
      <c r="C68" s="8">
        <v>1355</v>
      </c>
      <c r="D68" s="8">
        <v>1364.4</v>
      </c>
      <c r="E68" s="8">
        <v>1341.25</v>
      </c>
      <c r="F68" s="8">
        <v>1350.45</v>
      </c>
      <c r="G68" s="8">
        <v>1660.25</v>
      </c>
      <c r="H68" s="8">
        <v>1269</v>
      </c>
      <c r="I68" s="9">
        <v>178261</v>
      </c>
      <c r="J68" s="8">
        <v>241171157.19999999</v>
      </c>
      <c r="K68" s="74">
        <v>11754</v>
      </c>
      <c r="M68" s="83">
        <v>43</v>
      </c>
      <c r="N68" s="17">
        <v>45681</v>
      </c>
      <c r="O68" s="6">
        <v>1281.3499999999999</v>
      </c>
      <c r="P68" s="84">
        <f t="shared" si="1"/>
        <v>-2.2467195605736991</v>
      </c>
    </row>
    <row r="69" spans="2:23">
      <c r="B69" s="73">
        <v>45650</v>
      </c>
      <c r="C69" s="8">
        <v>1332.35</v>
      </c>
      <c r="D69" s="8">
        <v>1371.35</v>
      </c>
      <c r="E69" s="8">
        <v>1332.05</v>
      </c>
      <c r="F69" s="8">
        <v>1361.5</v>
      </c>
      <c r="G69" s="8">
        <v>1660.25</v>
      </c>
      <c r="H69" s="8">
        <v>1269</v>
      </c>
      <c r="I69" s="9">
        <v>231220</v>
      </c>
      <c r="J69" s="8">
        <v>313877311.5</v>
      </c>
      <c r="K69" s="74">
        <v>11390</v>
      </c>
      <c r="M69" s="83">
        <v>44</v>
      </c>
      <c r="N69" s="17">
        <v>45688</v>
      </c>
      <c r="O69" s="6">
        <v>1296.8</v>
      </c>
      <c r="P69" s="84">
        <f t="shared" si="1"/>
        <v>1.205759550474113</v>
      </c>
    </row>
    <row r="70" spans="2:23">
      <c r="B70" s="73">
        <v>45649</v>
      </c>
      <c r="C70" s="8">
        <v>1350.25</v>
      </c>
      <c r="D70" s="8">
        <v>1353.4</v>
      </c>
      <c r="E70" s="8">
        <v>1327.85</v>
      </c>
      <c r="F70" s="8">
        <v>1334.1</v>
      </c>
      <c r="G70" s="8">
        <v>1660.25</v>
      </c>
      <c r="H70" s="8">
        <v>1269</v>
      </c>
      <c r="I70" s="9">
        <v>83487</v>
      </c>
      <c r="J70" s="8">
        <v>111776425.84999999</v>
      </c>
      <c r="K70" s="74">
        <v>6508</v>
      </c>
      <c r="M70" s="83">
        <v>45</v>
      </c>
      <c r="N70" s="17">
        <v>45695</v>
      </c>
      <c r="O70" s="6">
        <v>1334.5</v>
      </c>
      <c r="P70" s="84">
        <f t="shared" si="1"/>
        <v>2.9071560764959941</v>
      </c>
    </row>
    <row r="71" spans="2:23">
      <c r="B71" s="73">
        <v>45646</v>
      </c>
      <c r="C71" s="8">
        <v>1365.55</v>
      </c>
      <c r="D71" s="8">
        <v>1374.75</v>
      </c>
      <c r="E71" s="8">
        <v>1338.2</v>
      </c>
      <c r="F71" s="8">
        <v>1342.25</v>
      </c>
      <c r="G71" s="8">
        <v>1724.25</v>
      </c>
      <c r="H71" s="8">
        <v>1269</v>
      </c>
      <c r="I71" s="9">
        <v>121400</v>
      </c>
      <c r="J71" s="8">
        <v>164475998.40000001</v>
      </c>
      <c r="K71" s="74">
        <v>8751</v>
      </c>
      <c r="M71" s="83">
        <v>46</v>
      </c>
      <c r="N71" s="17">
        <v>45702</v>
      </c>
      <c r="O71" s="6">
        <v>1320.05</v>
      </c>
      <c r="P71" s="84">
        <f t="shared" si="1"/>
        <v>-1.0828025477707039</v>
      </c>
    </row>
    <row r="72" spans="2:23">
      <c r="B72" s="73">
        <v>45645</v>
      </c>
      <c r="C72" s="8">
        <v>1360</v>
      </c>
      <c r="D72" s="8">
        <v>1384.95</v>
      </c>
      <c r="E72" s="8">
        <v>1354</v>
      </c>
      <c r="F72" s="8">
        <v>1368.3</v>
      </c>
      <c r="G72" s="8">
        <v>1724.25</v>
      </c>
      <c r="H72" s="8">
        <v>1269</v>
      </c>
      <c r="I72" s="9">
        <v>127455</v>
      </c>
      <c r="J72" s="8">
        <v>174201677.15000001</v>
      </c>
      <c r="K72" s="74">
        <v>12118</v>
      </c>
      <c r="M72" s="83">
        <v>47</v>
      </c>
      <c r="N72" s="17">
        <v>45709</v>
      </c>
      <c r="O72" s="6">
        <v>1298.0999999999999</v>
      </c>
      <c r="P72" s="84">
        <f t="shared" si="1"/>
        <v>-1.6628158024317294</v>
      </c>
    </row>
    <row r="73" spans="2:23">
      <c r="B73" s="73">
        <v>45644</v>
      </c>
      <c r="C73" s="8">
        <v>1410</v>
      </c>
      <c r="D73" s="8">
        <v>1414.9</v>
      </c>
      <c r="E73" s="8">
        <v>1378.05</v>
      </c>
      <c r="F73" s="8">
        <v>1380.05</v>
      </c>
      <c r="G73" s="8">
        <v>1724.25</v>
      </c>
      <c r="H73" s="8">
        <v>1269</v>
      </c>
      <c r="I73" s="9">
        <v>80875</v>
      </c>
      <c r="J73" s="8">
        <v>112730503.15000001</v>
      </c>
      <c r="K73" s="74">
        <v>6401</v>
      </c>
      <c r="M73" s="83">
        <v>48</v>
      </c>
      <c r="N73" s="17">
        <v>45716</v>
      </c>
      <c r="O73" s="6">
        <v>1221.0999999999999</v>
      </c>
      <c r="P73" s="84">
        <f t="shared" si="1"/>
        <v>-5.9317463985825443</v>
      </c>
    </row>
    <row r="74" spans="2:23">
      <c r="B74" s="73">
        <v>45643</v>
      </c>
      <c r="C74" s="8">
        <v>1435</v>
      </c>
      <c r="D74" s="8">
        <v>1440.05</v>
      </c>
      <c r="E74" s="8">
        <v>1410</v>
      </c>
      <c r="F74" s="8">
        <v>1412.55</v>
      </c>
      <c r="G74" s="8">
        <v>1724.25</v>
      </c>
      <c r="H74" s="8">
        <v>1269</v>
      </c>
      <c r="I74" s="9">
        <v>59374</v>
      </c>
      <c r="J74" s="8">
        <v>84504649.150000006</v>
      </c>
      <c r="K74" s="74">
        <v>4803</v>
      </c>
      <c r="M74" s="83">
        <v>49</v>
      </c>
      <c r="N74" s="17">
        <v>45723</v>
      </c>
      <c r="O74" s="6">
        <v>1233.0999999999999</v>
      </c>
      <c r="P74" s="84">
        <f t="shared" si="1"/>
        <v>0.98272049791171912</v>
      </c>
    </row>
    <row r="75" spans="2:23">
      <c r="B75" s="73">
        <v>45642</v>
      </c>
      <c r="C75" s="8">
        <v>1435.5</v>
      </c>
      <c r="D75" s="8">
        <v>1442.45</v>
      </c>
      <c r="E75" s="8">
        <v>1420.05</v>
      </c>
      <c r="F75" s="8">
        <v>1435.35</v>
      </c>
      <c r="G75" s="8">
        <v>1724.25</v>
      </c>
      <c r="H75" s="8">
        <v>1269</v>
      </c>
      <c r="I75" s="9">
        <v>107360</v>
      </c>
      <c r="J75" s="8">
        <v>154010078.94999999</v>
      </c>
      <c r="K75" s="74">
        <v>6557</v>
      </c>
      <c r="M75" s="83">
        <v>50</v>
      </c>
      <c r="N75" s="17">
        <v>45730</v>
      </c>
      <c r="O75" s="6">
        <v>1236.45</v>
      </c>
      <c r="P75" s="84">
        <f t="shared" si="1"/>
        <v>0.27167301921986348</v>
      </c>
    </row>
    <row r="76" spans="2:23">
      <c r="B76" s="73">
        <v>45639</v>
      </c>
      <c r="C76" s="8">
        <v>1429.8</v>
      </c>
      <c r="D76" s="8">
        <v>1434.8</v>
      </c>
      <c r="E76" s="8">
        <v>1406.3</v>
      </c>
      <c r="F76" s="8">
        <v>1432.45</v>
      </c>
      <c r="G76" s="8">
        <v>1724.25</v>
      </c>
      <c r="H76" s="8">
        <v>1269</v>
      </c>
      <c r="I76" s="9">
        <v>109719</v>
      </c>
      <c r="J76" s="8">
        <v>156074023.80000001</v>
      </c>
      <c r="K76" s="74">
        <v>6869</v>
      </c>
      <c r="M76" s="83">
        <v>51</v>
      </c>
      <c r="N76" s="17">
        <v>45737</v>
      </c>
      <c r="O76" s="6">
        <v>1243.4000000000001</v>
      </c>
      <c r="P76" s="84">
        <f t="shared" si="1"/>
        <v>0.56209308908569255</v>
      </c>
    </row>
    <row r="77" spans="2:23">
      <c r="B77" s="73">
        <v>45638</v>
      </c>
      <c r="C77" s="8">
        <v>1450</v>
      </c>
      <c r="D77" s="8">
        <v>1450</v>
      </c>
      <c r="E77" s="8">
        <v>1411</v>
      </c>
      <c r="F77" s="8">
        <v>1429.8</v>
      </c>
      <c r="G77" s="8">
        <v>1724.25</v>
      </c>
      <c r="H77" s="8">
        <v>1269</v>
      </c>
      <c r="I77" s="9">
        <v>77490</v>
      </c>
      <c r="J77" s="8">
        <v>110689446.65000001</v>
      </c>
      <c r="K77" s="74">
        <v>6449</v>
      </c>
      <c r="M77" s="88">
        <v>52</v>
      </c>
      <c r="N77" s="89">
        <v>45744</v>
      </c>
      <c r="O77" s="90">
        <v>1219.9000000000001</v>
      </c>
      <c r="P77" s="91">
        <f t="shared" si="1"/>
        <v>-1.8899790895930513</v>
      </c>
    </row>
    <row r="78" spans="2:23">
      <c r="B78" s="73">
        <v>45637</v>
      </c>
      <c r="C78" s="8">
        <v>1431.9</v>
      </c>
      <c r="D78" s="8">
        <v>1452.45</v>
      </c>
      <c r="E78" s="8">
        <v>1430.65</v>
      </c>
      <c r="F78" s="8">
        <v>1447.5</v>
      </c>
      <c r="G78" s="8">
        <v>1724.25</v>
      </c>
      <c r="H78" s="8">
        <v>1269</v>
      </c>
      <c r="I78" s="9">
        <v>112680</v>
      </c>
      <c r="J78" s="8">
        <v>162901562.25</v>
      </c>
      <c r="K78" s="74">
        <v>5223</v>
      </c>
    </row>
    <row r="79" spans="2:23">
      <c r="B79" s="73">
        <v>45636</v>
      </c>
      <c r="C79" s="8">
        <v>1448.25</v>
      </c>
      <c r="D79" s="8">
        <v>1455.45</v>
      </c>
      <c r="E79" s="8">
        <v>1428.55</v>
      </c>
      <c r="F79" s="8">
        <v>1435.25</v>
      </c>
      <c r="G79" s="8">
        <v>1724.25</v>
      </c>
      <c r="H79" s="8">
        <v>1269</v>
      </c>
      <c r="I79" s="9">
        <v>157465</v>
      </c>
      <c r="J79" s="8">
        <v>226783696.05000001</v>
      </c>
      <c r="K79" s="74">
        <v>7519</v>
      </c>
    </row>
    <row r="80" spans="2:23">
      <c r="B80" s="73">
        <v>45635</v>
      </c>
      <c r="C80" s="8">
        <v>1448.8</v>
      </c>
      <c r="D80" s="8">
        <v>1457.5</v>
      </c>
      <c r="E80" s="8">
        <v>1439.35</v>
      </c>
      <c r="F80" s="8">
        <v>1448.25</v>
      </c>
      <c r="G80" s="8">
        <v>1724.25</v>
      </c>
      <c r="H80" s="8">
        <v>1269</v>
      </c>
      <c r="I80" s="9">
        <v>119924</v>
      </c>
      <c r="J80" s="8">
        <v>173798284.94999999</v>
      </c>
      <c r="K80" s="74">
        <v>7353</v>
      </c>
      <c r="R80" s="285" t="s">
        <v>384</v>
      </c>
      <c r="S80" s="285"/>
      <c r="T80" s="285"/>
      <c r="U80" s="285"/>
      <c r="V80" s="285"/>
      <c r="W80" s="285"/>
    </row>
    <row r="81" spans="2:23">
      <c r="B81" s="73">
        <v>45632</v>
      </c>
      <c r="C81" s="8">
        <v>1439.75</v>
      </c>
      <c r="D81" s="8">
        <v>1457</v>
      </c>
      <c r="E81" s="8">
        <v>1434.2</v>
      </c>
      <c r="F81" s="8">
        <v>1447</v>
      </c>
      <c r="G81" s="8">
        <v>1724.25</v>
      </c>
      <c r="H81" s="8">
        <v>1269</v>
      </c>
      <c r="I81" s="9">
        <v>209839</v>
      </c>
      <c r="J81" s="8">
        <v>303290703.85000002</v>
      </c>
      <c r="K81" s="74">
        <v>12509</v>
      </c>
      <c r="R81" s="285"/>
      <c r="S81" s="285"/>
      <c r="T81" s="285"/>
      <c r="U81" s="285"/>
      <c r="V81" s="285"/>
      <c r="W81" s="285"/>
    </row>
    <row r="82" spans="2:23" ht="18" customHeight="1">
      <c r="B82" s="73">
        <v>45631</v>
      </c>
      <c r="C82" s="8">
        <v>1446.95</v>
      </c>
      <c r="D82" s="8">
        <v>1449.75</v>
      </c>
      <c r="E82" s="8">
        <v>1429.45</v>
      </c>
      <c r="F82" s="8">
        <v>1439.75</v>
      </c>
      <c r="G82" s="8">
        <v>1724.25</v>
      </c>
      <c r="H82" s="8">
        <v>1269</v>
      </c>
      <c r="I82" s="9">
        <v>107526</v>
      </c>
      <c r="J82" s="8">
        <v>154900553.30000001</v>
      </c>
      <c r="K82" s="74">
        <v>9617</v>
      </c>
      <c r="M82" s="154" t="s">
        <v>359</v>
      </c>
      <c r="N82" s="154" t="s">
        <v>360</v>
      </c>
      <c r="O82" s="154" t="s">
        <v>361</v>
      </c>
      <c r="P82" s="154" t="s">
        <v>362</v>
      </c>
      <c r="R82" s="285"/>
      <c r="S82" s="285"/>
      <c r="T82" s="285"/>
      <c r="U82" s="285"/>
      <c r="V82" s="285"/>
      <c r="W82" s="285"/>
    </row>
    <row r="83" spans="2:23" ht="43.2">
      <c r="B83" s="73">
        <v>45630</v>
      </c>
      <c r="C83" s="8">
        <v>1425</v>
      </c>
      <c r="D83" s="8">
        <v>1447.25</v>
      </c>
      <c r="E83" s="8">
        <v>1425</v>
      </c>
      <c r="F83" s="8">
        <v>1443.85</v>
      </c>
      <c r="G83" s="8">
        <v>1724.25</v>
      </c>
      <c r="H83" s="8">
        <v>1269</v>
      </c>
      <c r="I83" s="9">
        <v>266223</v>
      </c>
      <c r="J83" s="8">
        <v>383433558.25</v>
      </c>
      <c r="K83" s="74">
        <v>19128</v>
      </c>
      <c r="M83" s="5" t="s">
        <v>363</v>
      </c>
      <c r="N83" s="5" t="s">
        <v>364</v>
      </c>
      <c r="O83" s="5" t="s">
        <v>365</v>
      </c>
      <c r="P83" s="5" t="s">
        <v>366</v>
      </c>
      <c r="R83" s="285"/>
      <c r="S83" s="285"/>
      <c r="T83" s="285"/>
      <c r="U83" s="285"/>
      <c r="V83" s="285"/>
      <c r="W83" s="285"/>
    </row>
    <row r="84" spans="2:23" ht="28.8">
      <c r="B84" s="73">
        <v>45629</v>
      </c>
      <c r="C84" s="8">
        <v>1435</v>
      </c>
      <c r="D84" s="8">
        <v>1436.85</v>
      </c>
      <c r="E84" s="8">
        <v>1411</v>
      </c>
      <c r="F84" s="8">
        <v>1425.9</v>
      </c>
      <c r="G84" s="8">
        <v>1724.25</v>
      </c>
      <c r="H84" s="8">
        <v>1269</v>
      </c>
      <c r="I84" s="9">
        <v>183367</v>
      </c>
      <c r="J84" s="8">
        <v>261245395.65000001</v>
      </c>
      <c r="K84" s="74">
        <v>16748</v>
      </c>
      <c r="M84" s="81" t="s">
        <v>367</v>
      </c>
      <c r="N84" s="81" t="s">
        <v>368</v>
      </c>
      <c r="O84" s="81" t="s">
        <v>369</v>
      </c>
      <c r="P84" s="81" t="s">
        <v>370</v>
      </c>
      <c r="R84" s="285"/>
      <c r="S84" s="285"/>
      <c r="T84" s="285"/>
      <c r="U84" s="285"/>
      <c r="V84" s="285"/>
      <c r="W84" s="285"/>
    </row>
    <row r="85" spans="2:23" ht="15" customHeight="1">
      <c r="B85" s="73">
        <v>45628</v>
      </c>
      <c r="C85" s="8">
        <v>1412</v>
      </c>
      <c r="D85" s="8">
        <v>1441.95</v>
      </c>
      <c r="E85" s="8">
        <v>1399.45</v>
      </c>
      <c r="F85" s="8">
        <v>1433.45</v>
      </c>
      <c r="G85" s="8">
        <v>1724.25</v>
      </c>
      <c r="H85" s="8">
        <v>1269</v>
      </c>
      <c r="I85" s="9">
        <v>306702</v>
      </c>
      <c r="J85" s="8">
        <v>438402079.64999998</v>
      </c>
      <c r="K85" s="74">
        <v>21312</v>
      </c>
      <c r="M85" s="193" t="s">
        <v>371</v>
      </c>
      <c r="N85" s="193" t="s">
        <v>372</v>
      </c>
      <c r="O85" s="193" t="s">
        <v>373</v>
      </c>
      <c r="P85" s="193" t="s">
        <v>374</v>
      </c>
      <c r="R85" s="285"/>
      <c r="S85" s="285"/>
      <c r="T85" s="285"/>
      <c r="U85" s="285"/>
      <c r="V85" s="285"/>
      <c r="W85" s="285"/>
    </row>
    <row r="86" spans="2:23" ht="15" customHeight="1">
      <c r="B86" s="73">
        <v>45625</v>
      </c>
      <c r="C86" s="8">
        <v>1365.1</v>
      </c>
      <c r="D86" s="8">
        <v>1418.15</v>
      </c>
      <c r="E86" s="8">
        <v>1358.5</v>
      </c>
      <c r="F86" s="8">
        <v>1410.85</v>
      </c>
      <c r="G86" s="8">
        <v>1724.25</v>
      </c>
      <c r="H86" s="8">
        <v>1269</v>
      </c>
      <c r="I86" s="9">
        <v>423537</v>
      </c>
      <c r="J86" s="8">
        <v>591929726.25</v>
      </c>
      <c r="K86" s="74">
        <v>27057</v>
      </c>
      <c r="M86" s="193"/>
      <c r="N86" s="193"/>
      <c r="O86" s="193"/>
      <c r="P86" s="193"/>
      <c r="R86" s="285"/>
      <c r="S86" s="285"/>
      <c r="T86" s="285"/>
      <c r="U86" s="285"/>
      <c r="V86" s="285"/>
      <c r="W86" s="285"/>
    </row>
    <row r="87" spans="2:23" ht="15" customHeight="1">
      <c r="B87" s="73">
        <v>45624</v>
      </c>
      <c r="C87" s="8">
        <v>1365.75</v>
      </c>
      <c r="D87" s="8">
        <v>1384.05</v>
      </c>
      <c r="E87" s="8">
        <v>1355</v>
      </c>
      <c r="F87" s="8">
        <v>1362.25</v>
      </c>
      <c r="G87" s="8">
        <v>1724.25</v>
      </c>
      <c r="H87" s="8">
        <v>1269</v>
      </c>
      <c r="I87" s="9">
        <v>237510</v>
      </c>
      <c r="J87" s="8">
        <v>324541158.35000002</v>
      </c>
      <c r="K87" s="74">
        <v>13781</v>
      </c>
      <c r="M87" s="283" t="s">
        <v>375</v>
      </c>
      <c r="N87" s="283" t="s">
        <v>376</v>
      </c>
      <c r="O87" s="283" t="s">
        <v>377</v>
      </c>
      <c r="P87" s="283" t="s">
        <v>378</v>
      </c>
      <c r="R87" s="285"/>
      <c r="S87" s="285"/>
      <c r="T87" s="285"/>
      <c r="U87" s="285"/>
      <c r="V87" s="285"/>
      <c r="W87" s="285"/>
    </row>
    <row r="88" spans="2:23" ht="19.8" customHeight="1">
      <c r="B88" s="73">
        <v>45623</v>
      </c>
      <c r="C88" s="8">
        <v>1365.9</v>
      </c>
      <c r="D88" s="8">
        <v>1378.45</v>
      </c>
      <c r="E88" s="8">
        <v>1358.25</v>
      </c>
      <c r="F88" s="8">
        <v>1370.3</v>
      </c>
      <c r="G88" s="8">
        <v>1724.25</v>
      </c>
      <c r="H88" s="8">
        <v>1269</v>
      </c>
      <c r="I88" s="9">
        <v>160938</v>
      </c>
      <c r="J88" s="8">
        <v>220379248.90000001</v>
      </c>
      <c r="K88" s="74">
        <v>13341</v>
      </c>
      <c r="M88" s="283"/>
      <c r="N88" s="283"/>
      <c r="O88" s="283"/>
      <c r="P88" s="283"/>
      <c r="R88" s="285"/>
      <c r="S88" s="285"/>
      <c r="T88" s="285"/>
      <c r="U88" s="285"/>
      <c r="V88" s="285"/>
      <c r="W88" s="285"/>
    </row>
    <row r="89" spans="2:23" ht="15" customHeight="1">
      <c r="B89" s="73">
        <v>45622</v>
      </c>
      <c r="C89" s="8">
        <v>1329.3</v>
      </c>
      <c r="D89" s="8">
        <v>1399</v>
      </c>
      <c r="E89" s="8">
        <v>1322.4</v>
      </c>
      <c r="F89" s="8">
        <v>1365.95</v>
      </c>
      <c r="G89" s="8">
        <v>1724.25</v>
      </c>
      <c r="H89" s="8">
        <v>1269</v>
      </c>
      <c r="I89" s="9">
        <v>555955</v>
      </c>
      <c r="J89" s="8">
        <v>754424334.25</v>
      </c>
      <c r="K89" s="74">
        <v>38807</v>
      </c>
      <c r="R89" s="285"/>
      <c r="S89" s="285"/>
      <c r="T89" s="285"/>
      <c r="U89" s="285"/>
      <c r="V89" s="285"/>
      <c r="W89" s="285"/>
    </row>
    <row r="90" spans="2:23" ht="15" customHeight="1">
      <c r="B90" s="73">
        <v>45621</v>
      </c>
      <c r="C90" s="8">
        <v>1310</v>
      </c>
      <c r="D90" s="8">
        <v>1330</v>
      </c>
      <c r="E90" s="8">
        <v>1308.05</v>
      </c>
      <c r="F90" s="8">
        <v>1321.5</v>
      </c>
      <c r="G90" s="8">
        <v>1724.25</v>
      </c>
      <c r="H90" s="8">
        <v>1269</v>
      </c>
      <c r="I90" s="9">
        <v>283078</v>
      </c>
      <c r="J90" s="8">
        <v>374188119.55000001</v>
      </c>
      <c r="K90" s="74">
        <v>11803</v>
      </c>
      <c r="R90" s="285"/>
      <c r="S90" s="285"/>
      <c r="T90" s="285"/>
      <c r="U90" s="285"/>
      <c r="V90" s="285"/>
      <c r="W90" s="285"/>
    </row>
    <row r="91" spans="2:23" ht="15" customHeight="1">
      <c r="B91" s="73">
        <v>45618</v>
      </c>
      <c r="C91" s="8">
        <v>1281.55</v>
      </c>
      <c r="D91" s="8">
        <v>1305.2</v>
      </c>
      <c r="E91" s="8">
        <v>1278</v>
      </c>
      <c r="F91" s="8">
        <v>1301.45</v>
      </c>
      <c r="G91" s="8">
        <v>1724.25</v>
      </c>
      <c r="H91" s="8">
        <v>1269</v>
      </c>
      <c r="I91" s="9">
        <v>123381</v>
      </c>
      <c r="J91" s="8">
        <v>159728507.69999999</v>
      </c>
      <c r="K91" s="74">
        <v>7461</v>
      </c>
      <c r="R91" s="179"/>
      <c r="S91" s="179"/>
      <c r="T91" s="179"/>
      <c r="U91" s="179"/>
      <c r="V91" s="179"/>
      <c r="W91" s="179"/>
    </row>
    <row r="92" spans="2:23" ht="15" customHeight="1">
      <c r="B92" s="73">
        <v>45617</v>
      </c>
      <c r="C92" s="8">
        <v>1287</v>
      </c>
      <c r="D92" s="8">
        <v>1290.6500000000001</v>
      </c>
      <c r="E92" s="8">
        <v>1275.55</v>
      </c>
      <c r="F92" s="8">
        <v>1281.55</v>
      </c>
      <c r="G92" s="8">
        <v>1724.25</v>
      </c>
      <c r="H92" s="8">
        <v>1269</v>
      </c>
      <c r="I92" s="9">
        <v>165055</v>
      </c>
      <c r="J92" s="8">
        <v>211521224.40000001</v>
      </c>
      <c r="K92" s="74">
        <v>10410</v>
      </c>
      <c r="R92" s="179"/>
      <c r="S92" s="179"/>
      <c r="T92" s="179"/>
      <c r="U92" s="179"/>
      <c r="V92" s="179"/>
      <c r="W92" s="179"/>
    </row>
    <row r="93" spans="2:23" ht="15" customHeight="1">
      <c r="B93" s="73">
        <v>45615</v>
      </c>
      <c r="C93" s="8">
        <v>1290</v>
      </c>
      <c r="D93" s="8">
        <v>1305.6500000000001</v>
      </c>
      <c r="E93" s="8">
        <v>1280</v>
      </c>
      <c r="F93" s="8">
        <v>1282.6500000000001</v>
      </c>
      <c r="G93" s="8">
        <v>1724.25</v>
      </c>
      <c r="H93" s="8">
        <v>1269</v>
      </c>
      <c r="I93" s="9">
        <v>300203</v>
      </c>
      <c r="J93" s="8">
        <v>389517100</v>
      </c>
      <c r="K93" s="74">
        <v>16197</v>
      </c>
      <c r="R93" s="179"/>
      <c r="S93" s="179"/>
      <c r="T93" s="179"/>
      <c r="U93" s="179"/>
      <c r="V93" s="179"/>
      <c r="W93" s="179"/>
    </row>
    <row r="94" spans="2:23" ht="15" customHeight="1">
      <c r="B94" s="73">
        <v>45614</v>
      </c>
      <c r="C94" s="8">
        <v>1303</v>
      </c>
      <c r="D94" s="8">
        <v>1306</v>
      </c>
      <c r="E94" s="8">
        <v>1283.5</v>
      </c>
      <c r="F94" s="8">
        <v>1289.3</v>
      </c>
      <c r="G94" s="8">
        <v>1724.25</v>
      </c>
      <c r="H94" s="8">
        <v>1269</v>
      </c>
      <c r="I94" s="9">
        <v>263399</v>
      </c>
      <c r="J94" s="8">
        <v>341071814.5</v>
      </c>
      <c r="K94" s="74">
        <v>18797</v>
      </c>
      <c r="R94" s="179"/>
      <c r="S94" s="179"/>
      <c r="T94" s="179"/>
      <c r="U94" s="179"/>
      <c r="V94" s="179"/>
      <c r="W94" s="179"/>
    </row>
    <row r="95" spans="2:23" ht="15" customHeight="1">
      <c r="B95" s="73">
        <v>45610</v>
      </c>
      <c r="C95" s="8">
        <v>1317.95</v>
      </c>
      <c r="D95" s="8">
        <v>1337.8</v>
      </c>
      <c r="E95" s="8">
        <v>1304.3</v>
      </c>
      <c r="F95" s="8">
        <v>1307.3499999999999</v>
      </c>
      <c r="G95" s="8">
        <v>1724.25</v>
      </c>
      <c r="H95" s="8">
        <v>1269</v>
      </c>
      <c r="I95" s="9">
        <v>159862</v>
      </c>
      <c r="J95" s="8">
        <v>211240761.75</v>
      </c>
      <c r="K95" s="74">
        <v>11213</v>
      </c>
      <c r="R95" s="179"/>
      <c r="S95" s="179"/>
      <c r="T95" s="179"/>
      <c r="U95" s="179"/>
      <c r="V95" s="179"/>
      <c r="W95" s="179"/>
    </row>
    <row r="96" spans="2:23" ht="15" customHeight="1">
      <c r="B96" s="73">
        <v>45609</v>
      </c>
      <c r="C96" s="8">
        <v>1334.9</v>
      </c>
      <c r="D96" s="8">
        <v>1340</v>
      </c>
      <c r="E96" s="8">
        <v>1314.65</v>
      </c>
      <c r="F96" s="8">
        <v>1317.95</v>
      </c>
      <c r="G96" s="8">
        <v>1724.25</v>
      </c>
      <c r="H96" s="8">
        <v>1269</v>
      </c>
      <c r="I96" s="9">
        <v>132831</v>
      </c>
      <c r="J96" s="8">
        <v>176428464.44999999</v>
      </c>
      <c r="K96" s="74">
        <v>14475</v>
      </c>
      <c r="R96" s="179"/>
      <c r="S96" s="179"/>
      <c r="T96" s="179"/>
      <c r="U96" s="179"/>
      <c r="V96" s="179"/>
      <c r="W96" s="179"/>
    </row>
    <row r="97" spans="2:23" ht="15" customHeight="1">
      <c r="B97" s="73">
        <v>45608</v>
      </c>
      <c r="C97" s="8">
        <v>1325.1</v>
      </c>
      <c r="D97" s="8">
        <v>1350.75</v>
      </c>
      <c r="E97" s="8">
        <v>1325.05</v>
      </c>
      <c r="F97" s="8">
        <v>1334.9</v>
      </c>
      <c r="G97" s="8">
        <v>1724.25</v>
      </c>
      <c r="H97" s="8">
        <v>1269</v>
      </c>
      <c r="I97" s="9">
        <v>330309</v>
      </c>
      <c r="J97" s="8">
        <v>442330604.55000001</v>
      </c>
      <c r="K97" s="74">
        <v>21280</v>
      </c>
      <c r="R97" s="179"/>
      <c r="S97" s="179"/>
      <c r="T97" s="179"/>
      <c r="U97" s="179"/>
      <c r="V97" s="179"/>
      <c r="W97" s="179"/>
    </row>
    <row r="98" spans="2:23" ht="15" customHeight="1">
      <c r="B98" s="73">
        <v>45607</v>
      </c>
      <c r="C98" s="8">
        <v>1336.3</v>
      </c>
      <c r="D98" s="8">
        <v>1340.55</v>
      </c>
      <c r="E98" s="8">
        <v>1318.85</v>
      </c>
      <c r="F98" s="8">
        <v>1330.9</v>
      </c>
      <c r="G98" s="8">
        <v>1724.25</v>
      </c>
      <c r="H98" s="8">
        <v>1269</v>
      </c>
      <c r="I98" s="9">
        <v>186781</v>
      </c>
      <c r="J98" s="8">
        <v>248691855.15000001</v>
      </c>
      <c r="K98" s="74">
        <v>17483</v>
      </c>
      <c r="R98" s="177"/>
      <c r="S98" s="177"/>
      <c r="T98" s="177"/>
      <c r="U98" s="177"/>
      <c r="V98" s="177"/>
      <c r="W98" s="177"/>
    </row>
    <row r="99" spans="2:23" ht="15" customHeight="1">
      <c r="B99" s="73">
        <v>45604</v>
      </c>
      <c r="C99" s="8">
        <v>1340.1</v>
      </c>
      <c r="D99" s="8">
        <v>1352.15</v>
      </c>
      <c r="E99" s="8">
        <v>1333.2</v>
      </c>
      <c r="F99" s="8">
        <v>1336.3</v>
      </c>
      <c r="G99" s="8">
        <v>1724.25</v>
      </c>
      <c r="H99" s="8">
        <v>1269</v>
      </c>
      <c r="I99" s="9">
        <v>98355</v>
      </c>
      <c r="J99" s="8">
        <v>131803203.15000001</v>
      </c>
      <c r="K99" s="74">
        <v>9187</v>
      </c>
      <c r="R99" s="177"/>
      <c r="S99" s="177"/>
      <c r="T99" s="177"/>
      <c r="U99" s="177"/>
      <c r="V99" s="177"/>
      <c r="W99" s="177"/>
    </row>
    <row r="100" spans="2:23" ht="15" customHeight="1">
      <c r="B100" s="73">
        <v>45603</v>
      </c>
      <c r="C100" s="8">
        <v>1357.8</v>
      </c>
      <c r="D100" s="8">
        <v>1359.65</v>
      </c>
      <c r="E100" s="8">
        <v>1332</v>
      </c>
      <c r="F100" s="8">
        <v>1340.05</v>
      </c>
      <c r="G100" s="8">
        <v>1724.25</v>
      </c>
      <c r="H100" s="8">
        <v>1269</v>
      </c>
      <c r="I100" s="9">
        <v>261356</v>
      </c>
      <c r="J100" s="8">
        <v>350230653.10000002</v>
      </c>
      <c r="K100" s="74">
        <v>20472</v>
      </c>
      <c r="R100" s="177"/>
      <c r="S100" s="177"/>
      <c r="T100" s="177"/>
      <c r="U100" s="177"/>
      <c r="V100" s="177"/>
      <c r="W100" s="177"/>
    </row>
    <row r="101" spans="2:23" ht="15" customHeight="1">
      <c r="B101" s="73">
        <v>45602</v>
      </c>
      <c r="C101" s="8">
        <v>1357.55</v>
      </c>
      <c r="D101" s="8">
        <v>1370</v>
      </c>
      <c r="E101" s="8">
        <v>1351</v>
      </c>
      <c r="F101" s="8">
        <v>1358.4</v>
      </c>
      <c r="G101" s="8">
        <v>1724.25</v>
      </c>
      <c r="H101" s="8">
        <v>1269</v>
      </c>
      <c r="I101" s="9">
        <v>352439</v>
      </c>
      <c r="J101" s="8">
        <v>479492857.10000002</v>
      </c>
      <c r="K101" s="74">
        <v>27877</v>
      </c>
      <c r="R101" s="178"/>
      <c r="S101" s="178"/>
      <c r="T101" s="178"/>
      <c r="U101" s="178"/>
      <c r="V101" s="178"/>
      <c r="W101" s="178"/>
    </row>
    <row r="102" spans="2:23">
      <c r="B102" s="73">
        <v>45601</v>
      </c>
      <c r="C102" s="8">
        <v>1300.05</v>
      </c>
      <c r="D102" s="8">
        <v>1359.6</v>
      </c>
      <c r="E102" s="8">
        <v>1300.05</v>
      </c>
      <c r="F102" s="8">
        <v>1356.1</v>
      </c>
      <c r="G102" s="8">
        <v>1724.25</v>
      </c>
      <c r="H102" s="8">
        <v>1269</v>
      </c>
      <c r="I102" s="9">
        <v>1134015</v>
      </c>
      <c r="J102" s="8">
        <v>1511206115.0999999</v>
      </c>
      <c r="K102" s="74">
        <v>53571</v>
      </c>
    </row>
    <row r="103" spans="2:23">
      <c r="B103" s="73">
        <v>45600</v>
      </c>
      <c r="C103" s="8">
        <v>1362</v>
      </c>
      <c r="D103" s="8">
        <v>1362</v>
      </c>
      <c r="E103" s="8">
        <v>1330</v>
      </c>
      <c r="F103" s="8">
        <v>1336.4</v>
      </c>
      <c r="G103" s="8">
        <v>1724.25</v>
      </c>
      <c r="H103" s="8">
        <v>1269</v>
      </c>
      <c r="I103" s="9">
        <v>366261</v>
      </c>
      <c r="J103" s="8">
        <v>491365099.19999999</v>
      </c>
      <c r="K103" s="74">
        <v>22376</v>
      </c>
    </row>
    <row r="104" spans="2:23">
      <c r="B104" s="73">
        <v>45597</v>
      </c>
      <c r="C104" s="8">
        <v>1365</v>
      </c>
      <c r="D104" s="8">
        <v>1365</v>
      </c>
      <c r="E104" s="8">
        <v>1354</v>
      </c>
      <c r="F104" s="8">
        <v>1356.75</v>
      </c>
      <c r="G104" s="8">
        <v>1724.25</v>
      </c>
      <c r="H104" s="8">
        <v>1269</v>
      </c>
      <c r="I104" s="9">
        <v>44277</v>
      </c>
      <c r="J104" s="8">
        <v>60103986.600000001</v>
      </c>
      <c r="K104" s="74">
        <v>3673</v>
      </c>
    </row>
    <row r="105" spans="2:23">
      <c r="B105" s="73">
        <v>45596</v>
      </c>
      <c r="C105" s="8">
        <v>1363.85</v>
      </c>
      <c r="D105" s="8">
        <v>1370</v>
      </c>
      <c r="E105" s="8">
        <v>1346.55</v>
      </c>
      <c r="F105" s="8">
        <v>1355.65</v>
      </c>
      <c r="G105" s="8">
        <v>1724.25</v>
      </c>
      <c r="H105" s="8">
        <v>1269</v>
      </c>
      <c r="I105" s="9">
        <v>242375</v>
      </c>
      <c r="J105" s="8">
        <v>329020306.80000001</v>
      </c>
      <c r="K105" s="74">
        <v>13967</v>
      </c>
    </row>
    <row r="106" spans="2:23">
      <c r="B106" s="73">
        <v>45595</v>
      </c>
      <c r="C106" s="8">
        <v>1360.25</v>
      </c>
      <c r="D106" s="8">
        <v>1380.2</v>
      </c>
      <c r="E106" s="8">
        <v>1352.05</v>
      </c>
      <c r="F106" s="8">
        <v>1363.85</v>
      </c>
      <c r="G106" s="8">
        <v>1724.25</v>
      </c>
      <c r="H106" s="8">
        <v>1269</v>
      </c>
      <c r="I106" s="9">
        <v>330459</v>
      </c>
      <c r="J106" s="8">
        <v>452583740.55000001</v>
      </c>
      <c r="K106" s="74">
        <v>15389</v>
      </c>
    </row>
    <row r="107" spans="2:23">
      <c r="B107" s="73">
        <v>45594</v>
      </c>
      <c r="C107" s="8">
        <v>1375</v>
      </c>
      <c r="D107" s="8">
        <v>1375</v>
      </c>
      <c r="E107" s="8">
        <v>1347.5</v>
      </c>
      <c r="F107" s="8">
        <v>1360.25</v>
      </c>
      <c r="G107" s="8">
        <v>1724.25</v>
      </c>
      <c r="H107" s="8">
        <v>1269</v>
      </c>
      <c r="I107" s="9">
        <v>169419</v>
      </c>
      <c r="J107" s="8">
        <v>230143248.25</v>
      </c>
      <c r="K107" s="74">
        <v>12715</v>
      </c>
    </row>
    <row r="108" spans="2:23">
      <c r="B108" s="73">
        <v>45593</v>
      </c>
      <c r="C108" s="8">
        <v>1370.05</v>
      </c>
      <c r="D108" s="8">
        <v>1386.6</v>
      </c>
      <c r="E108" s="8">
        <v>1363.65</v>
      </c>
      <c r="F108" s="8">
        <v>1372.95</v>
      </c>
      <c r="G108" s="8">
        <v>1724.25</v>
      </c>
      <c r="H108" s="8">
        <v>1269</v>
      </c>
      <c r="I108" s="9">
        <v>98764</v>
      </c>
      <c r="J108" s="8">
        <v>135871130.65000001</v>
      </c>
      <c r="K108" s="74">
        <v>10909</v>
      </c>
    </row>
    <row r="109" spans="2:23">
      <c r="B109" s="73">
        <v>45590</v>
      </c>
      <c r="C109" s="8">
        <v>1385.55</v>
      </c>
      <c r="D109" s="8">
        <v>1398.5</v>
      </c>
      <c r="E109" s="8">
        <v>1356.75</v>
      </c>
      <c r="F109" s="8">
        <v>1364.75</v>
      </c>
      <c r="G109" s="8">
        <v>1724.25</v>
      </c>
      <c r="H109" s="8">
        <v>1269</v>
      </c>
      <c r="I109" s="9">
        <v>137411</v>
      </c>
      <c r="J109" s="8">
        <v>188023412.40000001</v>
      </c>
      <c r="K109" s="74">
        <v>13191</v>
      </c>
    </row>
    <row r="110" spans="2:23">
      <c r="B110" s="73">
        <v>45589</v>
      </c>
      <c r="C110" s="8">
        <v>1400</v>
      </c>
      <c r="D110" s="8">
        <v>1400.15</v>
      </c>
      <c r="E110" s="8">
        <v>1371</v>
      </c>
      <c r="F110" s="8">
        <v>1384.65</v>
      </c>
      <c r="G110" s="8">
        <v>1724.25</v>
      </c>
      <c r="H110" s="8">
        <v>1269</v>
      </c>
      <c r="I110" s="9">
        <v>117518</v>
      </c>
      <c r="J110" s="8">
        <v>162635428.19999999</v>
      </c>
      <c r="K110" s="74">
        <v>13770</v>
      </c>
    </row>
    <row r="111" spans="2:23">
      <c r="B111" s="73">
        <v>45588</v>
      </c>
      <c r="C111" s="8">
        <v>1385</v>
      </c>
      <c r="D111" s="8">
        <v>1419.9</v>
      </c>
      <c r="E111" s="8">
        <v>1373.9</v>
      </c>
      <c r="F111" s="8">
        <v>1395.2</v>
      </c>
      <c r="G111" s="8">
        <v>1724.25</v>
      </c>
      <c r="H111" s="8">
        <v>1269</v>
      </c>
      <c r="I111" s="9">
        <v>347457</v>
      </c>
      <c r="J111" s="8">
        <v>487934493.80000001</v>
      </c>
      <c r="K111" s="74">
        <v>23060</v>
      </c>
    </row>
    <row r="112" spans="2:23">
      <c r="B112" s="73">
        <v>45587</v>
      </c>
      <c r="C112" s="8">
        <v>1428.15</v>
      </c>
      <c r="D112" s="8">
        <v>1436.95</v>
      </c>
      <c r="E112" s="8">
        <v>1389.05</v>
      </c>
      <c r="F112" s="8">
        <v>1395.95</v>
      </c>
      <c r="G112" s="8">
        <v>1724.25</v>
      </c>
      <c r="H112" s="8">
        <v>1269</v>
      </c>
      <c r="I112" s="9">
        <v>616986</v>
      </c>
      <c r="J112" s="8">
        <v>869051040.39999998</v>
      </c>
      <c r="K112" s="74">
        <v>20450</v>
      </c>
    </row>
    <row r="113" spans="2:11">
      <c r="B113" s="73">
        <v>45586</v>
      </c>
      <c r="C113" s="8">
        <v>1458.1</v>
      </c>
      <c r="D113" s="8">
        <v>1465.8</v>
      </c>
      <c r="E113" s="8">
        <v>1417.2</v>
      </c>
      <c r="F113" s="8">
        <v>1430.8</v>
      </c>
      <c r="G113" s="8">
        <v>1724.25</v>
      </c>
      <c r="H113" s="8">
        <v>1269</v>
      </c>
      <c r="I113" s="9">
        <v>311450</v>
      </c>
      <c r="J113" s="8">
        <v>447147721.19999999</v>
      </c>
      <c r="K113" s="74">
        <v>21714</v>
      </c>
    </row>
    <row r="114" spans="2:11">
      <c r="B114" s="73">
        <v>45583</v>
      </c>
      <c r="C114" s="8">
        <v>1430</v>
      </c>
      <c r="D114" s="8">
        <v>1468.8</v>
      </c>
      <c r="E114" s="8">
        <v>1416</v>
      </c>
      <c r="F114" s="8">
        <v>1464.95</v>
      </c>
      <c r="G114" s="8">
        <v>1724.25</v>
      </c>
      <c r="H114" s="8">
        <v>1269</v>
      </c>
      <c r="I114" s="9">
        <v>364814</v>
      </c>
      <c r="J114" s="8">
        <v>530373872.64999998</v>
      </c>
      <c r="K114" s="74">
        <v>22470</v>
      </c>
    </row>
    <row r="115" spans="2:11">
      <c r="B115" s="73">
        <v>45582</v>
      </c>
      <c r="C115" s="8">
        <v>1425</v>
      </c>
      <c r="D115" s="8">
        <v>1443.95</v>
      </c>
      <c r="E115" s="8">
        <v>1419</v>
      </c>
      <c r="F115" s="8">
        <v>1435</v>
      </c>
      <c r="G115" s="8">
        <v>1724.25</v>
      </c>
      <c r="H115" s="8">
        <v>1269</v>
      </c>
      <c r="I115" s="9">
        <v>450226</v>
      </c>
      <c r="J115" s="8">
        <v>645800423.60000002</v>
      </c>
      <c r="K115" s="74">
        <v>21094</v>
      </c>
    </row>
    <row r="116" spans="2:11">
      <c r="B116" s="73">
        <v>45581</v>
      </c>
      <c r="C116" s="8">
        <v>1450</v>
      </c>
      <c r="D116" s="8">
        <v>1451.5</v>
      </c>
      <c r="E116" s="8">
        <v>1420.05</v>
      </c>
      <c r="F116" s="8">
        <v>1424.7</v>
      </c>
      <c r="G116" s="8">
        <v>1724.25</v>
      </c>
      <c r="H116" s="8">
        <v>1269</v>
      </c>
      <c r="I116" s="9">
        <v>163678</v>
      </c>
      <c r="J116" s="8">
        <v>234409779.84999999</v>
      </c>
      <c r="K116" s="74">
        <v>14105</v>
      </c>
    </row>
    <row r="117" spans="2:11">
      <c r="B117" s="73">
        <v>45580</v>
      </c>
      <c r="C117" s="8">
        <v>1418</v>
      </c>
      <c r="D117" s="8">
        <v>1454.9</v>
      </c>
      <c r="E117" s="8">
        <v>1416</v>
      </c>
      <c r="F117" s="8">
        <v>1450.65</v>
      </c>
      <c r="G117" s="8">
        <v>1724.25</v>
      </c>
      <c r="H117" s="8">
        <v>1269</v>
      </c>
      <c r="I117" s="9">
        <v>287862</v>
      </c>
      <c r="J117" s="8">
        <v>413912934.35000002</v>
      </c>
      <c r="K117" s="74">
        <v>15802</v>
      </c>
    </row>
    <row r="118" spans="2:11">
      <c r="B118" s="73">
        <v>45579</v>
      </c>
      <c r="C118" s="8">
        <v>1407</v>
      </c>
      <c r="D118" s="8">
        <v>1423.9</v>
      </c>
      <c r="E118" s="8">
        <v>1392.55</v>
      </c>
      <c r="F118" s="8">
        <v>1415.7</v>
      </c>
      <c r="G118" s="8">
        <v>1724.25</v>
      </c>
      <c r="H118" s="8">
        <v>1269</v>
      </c>
      <c r="I118" s="9">
        <v>157345</v>
      </c>
      <c r="J118" s="8">
        <v>222200761.90000001</v>
      </c>
      <c r="K118" s="74">
        <v>10793</v>
      </c>
    </row>
    <row r="119" spans="2:11">
      <c r="B119" s="73">
        <v>45576</v>
      </c>
      <c r="C119" s="8">
        <v>1397.4</v>
      </c>
      <c r="D119" s="8">
        <v>1409.5</v>
      </c>
      <c r="E119" s="8">
        <v>1389.15</v>
      </c>
      <c r="F119" s="8">
        <v>1406.1</v>
      </c>
      <c r="G119" s="8">
        <v>1724.25</v>
      </c>
      <c r="H119" s="8">
        <v>1269</v>
      </c>
      <c r="I119" s="9">
        <v>291909</v>
      </c>
      <c r="J119" s="8">
        <v>408926335.85000002</v>
      </c>
      <c r="K119" s="74">
        <v>11305</v>
      </c>
    </row>
    <row r="120" spans="2:11">
      <c r="B120" s="73">
        <v>45575</v>
      </c>
      <c r="C120" s="8">
        <v>1407</v>
      </c>
      <c r="D120" s="8">
        <v>1413.7</v>
      </c>
      <c r="E120" s="8">
        <v>1389</v>
      </c>
      <c r="F120" s="8">
        <v>1394.65</v>
      </c>
      <c r="G120" s="8">
        <v>1724.25</v>
      </c>
      <c r="H120" s="8">
        <v>1269</v>
      </c>
      <c r="I120" s="9">
        <v>360712</v>
      </c>
      <c r="J120" s="8">
        <v>505684700.60000002</v>
      </c>
      <c r="K120" s="74">
        <v>14255</v>
      </c>
    </row>
    <row r="121" spans="2:11">
      <c r="B121" s="73">
        <v>45574</v>
      </c>
      <c r="C121" s="8">
        <v>1392</v>
      </c>
      <c r="D121" s="8">
        <v>1406</v>
      </c>
      <c r="E121" s="8">
        <v>1383.6</v>
      </c>
      <c r="F121" s="8">
        <v>1401.25</v>
      </c>
      <c r="G121" s="8">
        <v>1724.25</v>
      </c>
      <c r="H121" s="8">
        <v>1269</v>
      </c>
      <c r="I121" s="9">
        <v>274924</v>
      </c>
      <c r="J121" s="8">
        <v>384753683.69999999</v>
      </c>
      <c r="K121" s="74">
        <v>11847</v>
      </c>
    </row>
    <row r="122" spans="2:11">
      <c r="B122" s="73">
        <v>45573</v>
      </c>
      <c r="C122" s="8">
        <v>1354.2</v>
      </c>
      <c r="D122" s="8">
        <v>1398.65</v>
      </c>
      <c r="E122" s="8">
        <v>1350.2</v>
      </c>
      <c r="F122" s="8">
        <v>1391.15</v>
      </c>
      <c r="G122" s="8">
        <v>1724.25</v>
      </c>
      <c r="H122" s="8">
        <v>1269</v>
      </c>
      <c r="I122" s="9">
        <v>289306</v>
      </c>
      <c r="J122" s="8">
        <v>399407780.19999999</v>
      </c>
      <c r="K122" s="74">
        <v>17178</v>
      </c>
    </row>
    <row r="123" spans="2:11">
      <c r="B123" s="73">
        <v>45572</v>
      </c>
      <c r="C123" s="8">
        <v>1373</v>
      </c>
      <c r="D123" s="8">
        <v>1378.3</v>
      </c>
      <c r="E123" s="8">
        <v>1340</v>
      </c>
      <c r="F123" s="8">
        <v>1354.7</v>
      </c>
      <c r="G123" s="8">
        <v>1724.25</v>
      </c>
      <c r="H123" s="8">
        <v>1269</v>
      </c>
      <c r="I123" s="9">
        <v>160064</v>
      </c>
      <c r="J123" s="8">
        <v>216747826.65000001</v>
      </c>
      <c r="K123" s="74">
        <v>14217</v>
      </c>
    </row>
    <row r="124" spans="2:11">
      <c r="B124" s="73">
        <v>45569</v>
      </c>
      <c r="C124" s="8">
        <v>1361</v>
      </c>
      <c r="D124" s="8">
        <v>1385</v>
      </c>
      <c r="E124" s="8">
        <v>1350.3</v>
      </c>
      <c r="F124" s="8">
        <v>1364.55</v>
      </c>
      <c r="G124" s="8">
        <v>1724.25</v>
      </c>
      <c r="H124" s="8">
        <v>1269</v>
      </c>
      <c r="I124" s="9">
        <v>487982</v>
      </c>
      <c r="J124" s="8">
        <v>667691360.45000005</v>
      </c>
      <c r="K124" s="74">
        <v>32439</v>
      </c>
    </row>
    <row r="125" spans="2:11">
      <c r="B125" s="73">
        <v>45568</v>
      </c>
      <c r="C125" s="8">
        <v>1416</v>
      </c>
      <c r="D125" s="8">
        <v>1427.4</v>
      </c>
      <c r="E125" s="8">
        <v>1368.55</v>
      </c>
      <c r="F125" s="8">
        <v>1374.7</v>
      </c>
      <c r="G125" s="8">
        <v>1724.25</v>
      </c>
      <c r="H125" s="8">
        <v>1269</v>
      </c>
      <c r="I125" s="9">
        <v>492342</v>
      </c>
      <c r="J125" s="8">
        <v>683493904.10000002</v>
      </c>
      <c r="K125" s="74">
        <v>32532</v>
      </c>
    </row>
    <row r="126" spans="2:11">
      <c r="B126" s="73">
        <v>45566</v>
      </c>
      <c r="C126" s="8">
        <v>1440</v>
      </c>
      <c r="D126" s="8">
        <v>1447.75</v>
      </c>
      <c r="E126" s="8">
        <v>1424</v>
      </c>
      <c r="F126" s="8">
        <v>1427.35</v>
      </c>
      <c r="G126" s="8">
        <v>1724.25</v>
      </c>
      <c r="H126" s="8">
        <v>1269</v>
      </c>
      <c r="I126" s="9">
        <v>113207</v>
      </c>
      <c r="J126" s="8">
        <v>162345696.40000001</v>
      </c>
      <c r="K126" s="74">
        <v>9717</v>
      </c>
    </row>
    <row r="127" spans="2:11">
      <c r="B127" s="73">
        <v>45565</v>
      </c>
      <c r="C127" s="8">
        <v>1454</v>
      </c>
      <c r="D127" s="8">
        <v>1465</v>
      </c>
      <c r="E127" s="8">
        <v>1435.25</v>
      </c>
      <c r="F127" s="8">
        <v>1439.7</v>
      </c>
      <c r="G127" s="8">
        <v>1724.25</v>
      </c>
      <c r="H127" s="8">
        <v>1269</v>
      </c>
      <c r="I127" s="9">
        <v>235858</v>
      </c>
      <c r="J127" s="8">
        <v>341699873.10000002</v>
      </c>
      <c r="K127" s="74">
        <v>16517</v>
      </c>
    </row>
    <row r="128" spans="2:11">
      <c r="B128" s="73">
        <v>45562</v>
      </c>
      <c r="C128" s="8">
        <v>1426.1</v>
      </c>
      <c r="D128" s="8">
        <v>1462</v>
      </c>
      <c r="E128" s="8">
        <v>1422</v>
      </c>
      <c r="F128" s="8">
        <v>1449.55</v>
      </c>
      <c r="G128" s="8">
        <v>1724.25</v>
      </c>
      <c r="H128" s="8">
        <v>1269</v>
      </c>
      <c r="I128" s="9">
        <v>731734</v>
      </c>
      <c r="J128" s="8">
        <v>1059304372.45</v>
      </c>
      <c r="K128" s="74">
        <v>36795</v>
      </c>
    </row>
    <row r="129" spans="2:11">
      <c r="B129" s="73">
        <v>45561</v>
      </c>
      <c r="C129" s="8">
        <v>1424.2</v>
      </c>
      <c r="D129" s="8">
        <v>1429</v>
      </c>
      <c r="E129" s="8">
        <v>1415.1</v>
      </c>
      <c r="F129" s="8">
        <v>1426</v>
      </c>
      <c r="G129" s="8">
        <v>1724.25</v>
      </c>
      <c r="H129" s="8">
        <v>1269</v>
      </c>
      <c r="I129" s="9">
        <v>194985</v>
      </c>
      <c r="J129" s="8">
        <v>277190439.14999998</v>
      </c>
      <c r="K129" s="74">
        <v>11654</v>
      </c>
    </row>
    <row r="130" spans="2:11">
      <c r="B130" s="73">
        <v>45560</v>
      </c>
      <c r="C130" s="8">
        <v>1429.6</v>
      </c>
      <c r="D130" s="8">
        <v>1437.45</v>
      </c>
      <c r="E130" s="8">
        <v>1406.9</v>
      </c>
      <c r="F130" s="8">
        <v>1428.4</v>
      </c>
      <c r="G130" s="8">
        <v>1724.25</v>
      </c>
      <c r="H130" s="8">
        <v>1269</v>
      </c>
      <c r="I130" s="9">
        <v>432778</v>
      </c>
      <c r="J130" s="8">
        <v>616124542.60000002</v>
      </c>
      <c r="K130" s="74">
        <v>16753</v>
      </c>
    </row>
    <row r="131" spans="2:11">
      <c r="B131" s="73">
        <v>45559</v>
      </c>
      <c r="C131" s="8">
        <v>1430</v>
      </c>
      <c r="D131" s="8">
        <v>1435.75</v>
      </c>
      <c r="E131" s="8">
        <v>1424.65</v>
      </c>
      <c r="F131" s="8">
        <v>1429.6</v>
      </c>
      <c r="G131" s="8">
        <v>1724.25</v>
      </c>
      <c r="H131" s="8">
        <v>1269</v>
      </c>
      <c r="I131" s="9">
        <v>217070</v>
      </c>
      <c r="J131" s="8">
        <v>310367226.05000001</v>
      </c>
      <c r="K131" s="74">
        <v>11507</v>
      </c>
    </row>
    <row r="132" spans="2:11">
      <c r="B132" s="73">
        <v>45558</v>
      </c>
      <c r="C132" s="8">
        <v>1440</v>
      </c>
      <c r="D132" s="8">
        <v>1440</v>
      </c>
      <c r="E132" s="8">
        <v>1424.55</v>
      </c>
      <c r="F132" s="8">
        <v>1428.8</v>
      </c>
      <c r="G132" s="8">
        <v>1724.25</v>
      </c>
      <c r="H132" s="8">
        <v>1269</v>
      </c>
      <c r="I132" s="9">
        <v>112964</v>
      </c>
      <c r="J132" s="8">
        <v>161587383.09999999</v>
      </c>
      <c r="K132" s="74">
        <v>8063</v>
      </c>
    </row>
    <row r="133" spans="2:11">
      <c r="B133" s="73">
        <v>45555</v>
      </c>
      <c r="C133" s="8">
        <v>1427.35</v>
      </c>
      <c r="D133" s="8">
        <v>1432.3</v>
      </c>
      <c r="E133" s="8">
        <v>1418</v>
      </c>
      <c r="F133" s="8">
        <v>1426.1</v>
      </c>
      <c r="G133" s="8">
        <v>1724.25</v>
      </c>
      <c r="H133" s="8">
        <v>1269</v>
      </c>
      <c r="I133" s="9">
        <v>203288</v>
      </c>
      <c r="J133" s="8">
        <v>289518761.39999998</v>
      </c>
      <c r="K133" s="74">
        <v>12939</v>
      </c>
    </row>
    <row r="134" spans="2:11">
      <c r="B134" s="73">
        <v>45554</v>
      </c>
      <c r="C134" s="8">
        <v>1432</v>
      </c>
      <c r="D134" s="8">
        <v>1447.6</v>
      </c>
      <c r="E134" s="8">
        <v>1411</v>
      </c>
      <c r="F134" s="8">
        <v>1426.35</v>
      </c>
      <c r="G134" s="8">
        <v>1724.25</v>
      </c>
      <c r="H134" s="8">
        <v>1269</v>
      </c>
      <c r="I134" s="9">
        <v>150332</v>
      </c>
      <c r="J134" s="8">
        <v>214158658.19999999</v>
      </c>
      <c r="K134" s="74">
        <v>12198</v>
      </c>
    </row>
    <row r="135" spans="2:11">
      <c r="B135" s="73">
        <v>45553</v>
      </c>
      <c r="C135" s="8">
        <v>1446</v>
      </c>
      <c r="D135" s="8">
        <v>1450</v>
      </c>
      <c r="E135" s="8">
        <v>1415.7</v>
      </c>
      <c r="F135" s="8">
        <v>1431.9</v>
      </c>
      <c r="G135" s="8">
        <v>1724.25</v>
      </c>
      <c r="H135" s="8">
        <v>1269</v>
      </c>
      <c r="I135" s="9">
        <v>213886</v>
      </c>
      <c r="J135" s="8">
        <v>306298677.55000001</v>
      </c>
      <c r="K135" s="74">
        <v>13565</v>
      </c>
    </row>
    <row r="136" spans="2:11">
      <c r="B136" s="73">
        <v>45552</v>
      </c>
      <c r="C136" s="8">
        <v>1442.35</v>
      </c>
      <c r="D136" s="8">
        <v>1446.85</v>
      </c>
      <c r="E136" s="8">
        <v>1436</v>
      </c>
      <c r="F136" s="8">
        <v>1439</v>
      </c>
      <c r="G136" s="8">
        <v>1724.25</v>
      </c>
      <c r="H136" s="8">
        <v>1269</v>
      </c>
      <c r="I136" s="9">
        <v>93625</v>
      </c>
      <c r="J136" s="8">
        <v>134812590.94999999</v>
      </c>
      <c r="K136" s="74">
        <v>7708</v>
      </c>
    </row>
    <row r="137" spans="2:11">
      <c r="B137" s="73">
        <v>45551</v>
      </c>
      <c r="C137" s="8">
        <v>1438</v>
      </c>
      <c r="D137" s="8">
        <v>1449</v>
      </c>
      <c r="E137" s="8">
        <v>1437.05</v>
      </c>
      <c r="F137" s="8">
        <v>1442.35</v>
      </c>
      <c r="G137" s="8">
        <v>1724.25</v>
      </c>
      <c r="H137" s="8">
        <v>1269</v>
      </c>
      <c r="I137" s="9">
        <v>143559</v>
      </c>
      <c r="J137" s="8">
        <v>207176238.80000001</v>
      </c>
      <c r="K137" s="74">
        <v>11148</v>
      </c>
    </row>
    <row r="138" spans="2:11">
      <c r="B138" s="73">
        <v>45548</v>
      </c>
      <c r="C138" s="8">
        <v>1435</v>
      </c>
      <c r="D138" s="8">
        <v>1444</v>
      </c>
      <c r="E138" s="8">
        <v>1428.8</v>
      </c>
      <c r="F138" s="8">
        <v>1437.95</v>
      </c>
      <c r="G138" s="8">
        <v>1727</v>
      </c>
      <c r="H138" s="8">
        <v>1269</v>
      </c>
      <c r="I138" s="9">
        <v>137045</v>
      </c>
      <c r="J138" s="8">
        <v>197140340.05000001</v>
      </c>
      <c r="K138" s="74">
        <v>10264</v>
      </c>
    </row>
    <row r="139" spans="2:11">
      <c r="B139" s="73">
        <v>45547</v>
      </c>
      <c r="C139" s="8">
        <v>1420</v>
      </c>
      <c r="D139" s="8">
        <v>1431.75</v>
      </c>
      <c r="E139" s="8">
        <v>1419.95</v>
      </c>
      <c r="F139" s="8">
        <v>1428.8</v>
      </c>
      <c r="G139" s="8">
        <v>1727</v>
      </c>
      <c r="H139" s="8">
        <v>1269</v>
      </c>
      <c r="I139" s="9">
        <v>282717</v>
      </c>
      <c r="J139" s="8">
        <v>403116351.85000002</v>
      </c>
      <c r="K139" s="74">
        <v>9434</v>
      </c>
    </row>
    <row r="140" spans="2:11">
      <c r="B140" s="73">
        <v>45546</v>
      </c>
      <c r="C140" s="8">
        <v>1441.2</v>
      </c>
      <c r="D140" s="8">
        <v>1441.2</v>
      </c>
      <c r="E140" s="8">
        <v>1413.6</v>
      </c>
      <c r="F140" s="8">
        <v>1417.2</v>
      </c>
      <c r="G140" s="8">
        <v>1727</v>
      </c>
      <c r="H140" s="8">
        <v>1269</v>
      </c>
      <c r="I140" s="9">
        <v>187875</v>
      </c>
      <c r="J140" s="8">
        <v>268299288.19999999</v>
      </c>
      <c r="K140" s="74">
        <v>11277</v>
      </c>
    </row>
    <row r="141" spans="2:11">
      <c r="B141" s="73">
        <v>45545</v>
      </c>
      <c r="C141" s="8">
        <v>1438.2</v>
      </c>
      <c r="D141" s="8">
        <v>1445</v>
      </c>
      <c r="E141" s="8">
        <v>1422.2</v>
      </c>
      <c r="F141" s="8">
        <v>1431.25</v>
      </c>
      <c r="G141" s="8">
        <v>1727</v>
      </c>
      <c r="H141" s="8">
        <v>1269</v>
      </c>
      <c r="I141" s="9">
        <v>223953</v>
      </c>
      <c r="J141" s="8">
        <v>320826979.10000002</v>
      </c>
      <c r="K141" s="74">
        <v>11888</v>
      </c>
    </row>
    <row r="142" spans="2:11">
      <c r="B142" s="73">
        <v>45544</v>
      </c>
      <c r="C142" s="8">
        <v>1408.9</v>
      </c>
      <c r="D142" s="8">
        <v>1431.85</v>
      </c>
      <c r="E142" s="8">
        <v>1381</v>
      </c>
      <c r="F142" s="8">
        <v>1428.65</v>
      </c>
      <c r="G142" s="8">
        <v>1727</v>
      </c>
      <c r="H142" s="8">
        <v>1269</v>
      </c>
      <c r="I142" s="9">
        <v>378138</v>
      </c>
      <c r="J142" s="8">
        <v>532349343.39999998</v>
      </c>
      <c r="K142" s="74">
        <v>24176</v>
      </c>
    </row>
    <row r="143" spans="2:11">
      <c r="B143" s="73">
        <v>45541</v>
      </c>
      <c r="C143" s="8">
        <v>1440</v>
      </c>
      <c r="D143" s="8">
        <v>1446.6</v>
      </c>
      <c r="E143" s="8">
        <v>1405</v>
      </c>
      <c r="F143" s="8">
        <v>1406.25</v>
      </c>
      <c r="G143" s="8">
        <v>1748.95</v>
      </c>
      <c r="H143" s="8">
        <v>1269</v>
      </c>
      <c r="I143" s="9">
        <v>395504</v>
      </c>
      <c r="J143" s="8">
        <v>561688591.89999998</v>
      </c>
      <c r="K143" s="74">
        <v>22045</v>
      </c>
    </row>
    <row r="144" spans="2:11">
      <c r="B144" s="73">
        <v>45540</v>
      </c>
      <c r="C144" s="8">
        <v>1449</v>
      </c>
      <c r="D144" s="8">
        <v>1458.85</v>
      </c>
      <c r="E144" s="8">
        <v>1433</v>
      </c>
      <c r="F144" s="8">
        <v>1436.8</v>
      </c>
      <c r="G144" s="8">
        <v>1748.95</v>
      </c>
      <c r="H144" s="8">
        <v>1269</v>
      </c>
      <c r="I144" s="9">
        <v>396867</v>
      </c>
      <c r="J144" s="8">
        <v>572320533.89999998</v>
      </c>
      <c r="K144" s="74">
        <v>15844</v>
      </c>
    </row>
    <row r="145" spans="2:11">
      <c r="B145" s="73">
        <v>45539</v>
      </c>
      <c r="C145" s="8">
        <v>1448</v>
      </c>
      <c r="D145" s="8">
        <v>1470</v>
      </c>
      <c r="E145" s="8">
        <v>1441.9</v>
      </c>
      <c r="F145" s="8">
        <v>1446.85</v>
      </c>
      <c r="G145" s="8">
        <v>1748.95</v>
      </c>
      <c r="H145" s="8">
        <v>1269</v>
      </c>
      <c r="I145" s="9">
        <v>181540</v>
      </c>
      <c r="J145" s="8">
        <v>264047026.05000001</v>
      </c>
      <c r="K145" s="74">
        <v>10213</v>
      </c>
    </row>
    <row r="146" spans="2:11">
      <c r="B146" s="73">
        <v>45538</v>
      </c>
      <c r="C146" s="8">
        <v>1464.8</v>
      </c>
      <c r="D146" s="8">
        <v>1476.95</v>
      </c>
      <c r="E146" s="8">
        <v>1457.35</v>
      </c>
      <c r="F146" s="8">
        <v>1467.85</v>
      </c>
      <c r="G146" s="8">
        <v>1748.95</v>
      </c>
      <c r="H146" s="8">
        <v>1269</v>
      </c>
      <c r="I146" s="9">
        <v>298888</v>
      </c>
      <c r="J146" s="8">
        <v>438933716.44999999</v>
      </c>
      <c r="K146" s="74">
        <v>15209</v>
      </c>
    </row>
    <row r="147" spans="2:11">
      <c r="B147" s="73">
        <v>45537</v>
      </c>
      <c r="C147" s="8">
        <v>1453</v>
      </c>
      <c r="D147" s="8">
        <v>1464.25</v>
      </c>
      <c r="E147" s="8">
        <v>1452</v>
      </c>
      <c r="F147" s="8">
        <v>1460.8</v>
      </c>
      <c r="G147" s="8">
        <v>1748.95</v>
      </c>
      <c r="H147" s="8">
        <v>1269</v>
      </c>
      <c r="I147" s="9">
        <v>148241</v>
      </c>
      <c r="J147" s="8">
        <v>216262222.59999999</v>
      </c>
      <c r="K147" s="74">
        <v>12070</v>
      </c>
    </row>
    <row r="148" spans="2:11">
      <c r="B148" s="73">
        <v>45534</v>
      </c>
      <c r="C148" s="8">
        <v>1450.35</v>
      </c>
      <c r="D148" s="8">
        <v>1461.7</v>
      </c>
      <c r="E148" s="8">
        <v>1445.55</v>
      </c>
      <c r="F148" s="8">
        <v>1452.65</v>
      </c>
      <c r="G148" s="8">
        <v>1748.95</v>
      </c>
      <c r="H148" s="8">
        <v>1269</v>
      </c>
      <c r="I148" s="9">
        <v>169234</v>
      </c>
      <c r="J148" s="8">
        <v>246001429.84999999</v>
      </c>
      <c r="K148" s="74">
        <v>12250</v>
      </c>
    </row>
    <row r="149" spans="2:11">
      <c r="B149" s="73">
        <v>45533</v>
      </c>
      <c r="C149" s="8">
        <v>1449.85</v>
      </c>
      <c r="D149" s="8">
        <v>1462.2</v>
      </c>
      <c r="E149" s="8">
        <v>1429.55</v>
      </c>
      <c r="F149" s="8">
        <v>1450.35</v>
      </c>
      <c r="G149" s="8">
        <v>1748.95</v>
      </c>
      <c r="H149" s="8">
        <v>1269</v>
      </c>
      <c r="I149" s="9">
        <v>386922</v>
      </c>
      <c r="J149" s="8">
        <v>559600469.95000005</v>
      </c>
      <c r="K149" s="74">
        <v>13739</v>
      </c>
    </row>
    <row r="150" spans="2:11">
      <c r="B150" s="73">
        <v>45532</v>
      </c>
      <c r="C150" s="8">
        <v>1453.25</v>
      </c>
      <c r="D150" s="8">
        <v>1468.95</v>
      </c>
      <c r="E150" s="8">
        <v>1440</v>
      </c>
      <c r="F150" s="8">
        <v>1449.85</v>
      </c>
      <c r="G150" s="8">
        <v>1748.95</v>
      </c>
      <c r="H150" s="8">
        <v>1269</v>
      </c>
      <c r="I150" s="9">
        <v>257139</v>
      </c>
      <c r="J150" s="8">
        <v>375031977.69999999</v>
      </c>
      <c r="K150" s="74">
        <v>14044</v>
      </c>
    </row>
    <row r="151" spans="2:11">
      <c r="B151" s="73">
        <v>45531</v>
      </c>
      <c r="C151" s="8">
        <v>1450.8</v>
      </c>
      <c r="D151" s="8">
        <v>1461</v>
      </c>
      <c r="E151" s="8">
        <v>1444.85</v>
      </c>
      <c r="F151" s="8">
        <v>1453.25</v>
      </c>
      <c r="G151" s="8">
        <v>1748.95</v>
      </c>
      <c r="H151" s="8">
        <v>1269</v>
      </c>
      <c r="I151" s="9">
        <v>123640</v>
      </c>
      <c r="J151" s="8">
        <v>179460165.25</v>
      </c>
      <c r="K151" s="74">
        <v>9408</v>
      </c>
    </row>
    <row r="152" spans="2:11">
      <c r="B152" s="73">
        <v>45530</v>
      </c>
      <c r="C152" s="8">
        <v>1456</v>
      </c>
      <c r="D152" s="8">
        <v>1459.95</v>
      </c>
      <c r="E152" s="8">
        <v>1446.7</v>
      </c>
      <c r="F152" s="8">
        <v>1450.8</v>
      </c>
      <c r="G152" s="8">
        <v>1748.95</v>
      </c>
      <c r="H152" s="8">
        <v>1269</v>
      </c>
      <c r="I152" s="9">
        <v>244009</v>
      </c>
      <c r="J152" s="8">
        <v>354429608</v>
      </c>
      <c r="K152" s="74">
        <v>15342</v>
      </c>
    </row>
    <row r="153" spans="2:11">
      <c r="B153" s="73">
        <v>45527</v>
      </c>
      <c r="C153" s="8">
        <v>1446</v>
      </c>
      <c r="D153" s="8">
        <v>1456.55</v>
      </c>
      <c r="E153" s="8">
        <v>1426</v>
      </c>
      <c r="F153" s="8">
        <v>1452.95</v>
      </c>
      <c r="G153" s="8">
        <v>1748.95</v>
      </c>
      <c r="H153" s="8">
        <v>1269</v>
      </c>
      <c r="I153" s="9">
        <v>349250</v>
      </c>
      <c r="J153" s="8">
        <v>504414548.80000001</v>
      </c>
      <c r="K153" s="74">
        <v>22126</v>
      </c>
    </row>
    <row r="154" spans="2:11">
      <c r="B154" s="73">
        <v>45526</v>
      </c>
      <c r="C154" s="8">
        <v>1428</v>
      </c>
      <c r="D154" s="8">
        <v>1456.45</v>
      </c>
      <c r="E154" s="8">
        <v>1423.05</v>
      </c>
      <c r="F154" s="8">
        <v>1446.3</v>
      </c>
      <c r="G154" s="8">
        <v>1748.95</v>
      </c>
      <c r="H154" s="8">
        <v>1269</v>
      </c>
      <c r="I154" s="9">
        <v>674340</v>
      </c>
      <c r="J154" s="8">
        <v>973173286.60000002</v>
      </c>
      <c r="K154" s="74">
        <v>35348</v>
      </c>
    </row>
    <row r="155" spans="2:11">
      <c r="B155" s="73">
        <v>45525</v>
      </c>
      <c r="C155" s="8">
        <v>1420.75</v>
      </c>
      <c r="D155" s="8">
        <v>1428</v>
      </c>
      <c r="E155" s="8">
        <v>1415.05</v>
      </c>
      <c r="F155" s="8">
        <v>1421.05</v>
      </c>
      <c r="G155" s="8">
        <v>1748.95</v>
      </c>
      <c r="H155" s="8">
        <v>1269</v>
      </c>
      <c r="I155" s="9">
        <v>280678</v>
      </c>
      <c r="J155" s="8">
        <v>398698137.94999999</v>
      </c>
      <c r="K155" s="74">
        <v>26195</v>
      </c>
    </row>
    <row r="156" spans="2:11">
      <c r="B156" s="73">
        <v>45524</v>
      </c>
      <c r="C156" s="8">
        <v>1435</v>
      </c>
      <c r="D156" s="8">
        <v>1437.85</v>
      </c>
      <c r="E156" s="8">
        <v>1410</v>
      </c>
      <c r="F156" s="8">
        <v>1419.25</v>
      </c>
      <c r="G156" s="8">
        <v>1748.95</v>
      </c>
      <c r="H156" s="8">
        <v>1269</v>
      </c>
      <c r="I156" s="9">
        <v>193531</v>
      </c>
      <c r="J156" s="8">
        <v>274684545.05000001</v>
      </c>
      <c r="K156" s="74">
        <v>11303</v>
      </c>
    </row>
    <row r="157" spans="2:11">
      <c r="B157" s="73">
        <v>45523</v>
      </c>
      <c r="C157" s="8">
        <v>1423.25</v>
      </c>
      <c r="D157" s="8">
        <v>1453.2</v>
      </c>
      <c r="E157" s="8">
        <v>1419</v>
      </c>
      <c r="F157" s="8">
        <v>1425.05</v>
      </c>
      <c r="G157" s="8">
        <v>1748.95</v>
      </c>
      <c r="H157" s="8">
        <v>1269</v>
      </c>
      <c r="I157" s="9">
        <v>327997</v>
      </c>
      <c r="J157" s="8">
        <v>469998383.19999999</v>
      </c>
      <c r="K157" s="74">
        <v>15339</v>
      </c>
    </row>
    <row r="158" spans="2:11">
      <c r="B158" s="73">
        <v>45520</v>
      </c>
      <c r="C158" s="8">
        <v>1390.95</v>
      </c>
      <c r="D158" s="8">
        <v>1424.15</v>
      </c>
      <c r="E158" s="8">
        <v>1385</v>
      </c>
      <c r="F158" s="8">
        <v>1421.15</v>
      </c>
      <c r="G158" s="8">
        <v>1768</v>
      </c>
      <c r="H158" s="8">
        <v>1269</v>
      </c>
      <c r="I158" s="9">
        <v>363962</v>
      </c>
      <c r="J158" s="8">
        <v>511927809.69999999</v>
      </c>
      <c r="K158" s="74">
        <v>19822</v>
      </c>
    </row>
    <row r="159" spans="2:11">
      <c r="B159" s="73">
        <v>45518</v>
      </c>
      <c r="C159" s="8">
        <v>1406.8</v>
      </c>
      <c r="D159" s="8">
        <v>1418</v>
      </c>
      <c r="E159" s="8">
        <v>1384.25</v>
      </c>
      <c r="F159" s="8">
        <v>1388.35</v>
      </c>
      <c r="G159" s="8">
        <v>1768</v>
      </c>
      <c r="H159" s="8">
        <v>1269</v>
      </c>
      <c r="I159" s="9">
        <v>295572</v>
      </c>
      <c r="J159" s="8">
        <v>413741050</v>
      </c>
      <c r="K159" s="74">
        <v>19242</v>
      </c>
    </row>
    <row r="160" spans="2:11">
      <c r="B160" s="73">
        <v>45517</v>
      </c>
      <c r="C160" s="8">
        <v>1410</v>
      </c>
      <c r="D160" s="8">
        <v>1424.95</v>
      </c>
      <c r="E160" s="8">
        <v>1400</v>
      </c>
      <c r="F160" s="8">
        <v>1402.8</v>
      </c>
      <c r="G160" s="8">
        <v>1768</v>
      </c>
      <c r="H160" s="8">
        <v>1269</v>
      </c>
      <c r="I160" s="9">
        <v>354487</v>
      </c>
      <c r="J160" s="8">
        <v>500413137.14999998</v>
      </c>
      <c r="K160" s="74">
        <v>21951</v>
      </c>
    </row>
    <row r="161" spans="2:11">
      <c r="B161" s="73">
        <v>45516</v>
      </c>
      <c r="C161" s="8">
        <v>1442.35</v>
      </c>
      <c r="D161" s="8">
        <v>1442.35</v>
      </c>
      <c r="E161" s="8">
        <v>1415.6</v>
      </c>
      <c r="F161" s="8">
        <v>1418.8</v>
      </c>
      <c r="G161" s="8">
        <v>1768</v>
      </c>
      <c r="H161" s="8">
        <v>1269</v>
      </c>
      <c r="I161" s="9">
        <v>266322</v>
      </c>
      <c r="J161" s="8">
        <v>379491018.94999999</v>
      </c>
      <c r="K161" s="74">
        <v>19010</v>
      </c>
    </row>
    <row r="162" spans="2:11">
      <c r="B162" s="73">
        <v>45513</v>
      </c>
      <c r="C162" s="8">
        <v>1470</v>
      </c>
      <c r="D162" s="8">
        <v>1470.15</v>
      </c>
      <c r="E162" s="8">
        <v>1438.7</v>
      </c>
      <c r="F162" s="8">
        <v>1443</v>
      </c>
      <c r="G162" s="8">
        <v>1771.45</v>
      </c>
      <c r="H162" s="8">
        <v>1269</v>
      </c>
      <c r="I162" s="9">
        <v>273308</v>
      </c>
      <c r="J162" s="8">
        <v>395958710.89999998</v>
      </c>
      <c r="K162" s="74">
        <v>14386</v>
      </c>
    </row>
    <row r="163" spans="2:11">
      <c r="B163" s="73">
        <v>45512</v>
      </c>
      <c r="C163" s="8">
        <v>1465.95</v>
      </c>
      <c r="D163" s="8">
        <v>1479.9</v>
      </c>
      <c r="E163" s="8">
        <v>1450.25</v>
      </c>
      <c r="F163" s="8">
        <v>1455.7</v>
      </c>
      <c r="G163" s="8">
        <v>1771.45</v>
      </c>
      <c r="H163" s="8">
        <v>1269</v>
      </c>
      <c r="I163" s="9">
        <v>270031</v>
      </c>
      <c r="J163" s="8">
        <v>396107964.19999999</v>
      </c>
      <c r="K163" s="74">
        <v>17381</v>
      </c>
    </row>
    <row r="164" spans="2:11">
      <c r="B164" s="73">
        <v>45511</v>
      </c>
      <c r="C164" s="8">
        <v>1460</v>
      </c>
      <c r="D164" s="8">
        <v>1488.75</v>
      </c>
      <c r="E164" s="8">
        <v>1440</v>
      </c>
      <c r="F164" s="8">
        <v>1465.95</v>
      </c>
      <c r="G164" s="8">
        <v>1771.45</v>
      </c>
      <c r="H164" s="8">
        <v>1269</v>
      </c>
      <c r="I164" s="9">
        <v>1626959</v>
      </c>
      <c r="J164" s="8">
        <v>2375293130.9499998</v>
      </c>
      <c r="K164" s="74">
        <v>66540</v>
      </c>
    </row>
    <row r="165" spans="2:11">
      <c r="B165" s="73">
        <v>45510</v>
      </c>
      <c r="C165" s="8">
        <v>1572</v>
      </c>
      <c r="D165" s="8">
        <v>1585.6</v>
      </c>
      <c r="E165" s="8">
        <v>1505.7</v>
      </c>
      <c r="F165" s="8">
        <v>1515.1</v>
      </c>
      <c r="G165" s="8">
        <v>1771.45</v>
      </c>
      <c r="H165" s="8">
        <v>1269</v>
      </c>
      <c r="I165" s="9">
        <v>516740</v>
      </c>
      <c r="J165" s="8">
        <v>796614201.85000002</v>
      </c>
      <c r="K165" s="74">
        <v>29087</v>
      </c>
    </row>
    <row r="166" spans="2:11">
      <c r="B166" s="73">
        <v>45509</v>
      </c>
      <c r="C166" s="8">
        <v>1591.1</v>
      </c>
      <c r="D166" s="8">
        <v>1615</v>
      </c>
      <c r="E166" s="8">
        <v>1547.5</v>
      </c>
      <c r="F166" s="8">
        <v>1557.2</v>
      </c>
      <c r="G166" s="8">
        <v>1771.45</v>
      </c>
      <c r="H166" s="8">
        <v>1269</v>
      </c>
      <c r="I166" s="9">
        <v>528741</v>
      </c>
      <c r="J166" s="8">
        <v>835560991.95000005</v>
      </c>
      <c r="K166" s="74">
        <v>42815</v>
      </c>
    </row>
    <row r="167" spans="2:11">
      <c r="B167" s="73">
        <v>45506</v>
      </c>
      <c r="C167" s="8">
        <v>1618</v>
      </c>
      <c r="D167" s="8">
        <v>1628</v>
      </c>
      <c r="E167" s="8">
        <v>1596.8</v>
      </c>
      <c r="F167" s="8">
        <v>1619.2</v>
      </c>
      <c r="G167" s="8">
        <v>1771.45</v>
      </c>
      <c r="H167" s="8">
        <v>1269</v>
      </c>
      <c r="I167" s="9">
        <v>569796</v>
      </c>
      <c r="J167" s="8">
        <v>920853266.95000005</v>
      </c>
      <c r="K167" s="74">
        <v>23353</v>
      </c>
    </row>
    <row r="168" spans="2:11">
      <c r="B168" s="73">
        <v>45505</v>
      </c>
      <c r="C168" s="8">
        <v>1594.9</v>
      </c>
      <c r="D168" s="8">
        <v>1625</v>
      </c>
      <c r="E168" s="8">
        <v>1588.65</v>
      </c>
      <c r="F168" s="8">
        <v>1620.2</v>
      </c>
      <c r="G168" s="8">
        <v>1771.45</v>
      </c>
      <c r="H168" s="8">
        <v>1269</v>
      </c>
      <c r="I168" s="9">
        <v>662370</v>
      </c>
      <c r="J168" s="8">
        <v>1067827337.35</v>
      </c>
      <c r="K168" s="74">
        <v>27837</v>
      </c>
    </row>
    <row r="169" spans="2:11">
      <c r="B169" s="73">
        <v>45504</v>
      </c>
      <c r="C169" s="8">
        <v>1588</v>
      </c>
      <c r="D169" s="8">
        <v>1606.7</v>
      </c>
      <c r="E169" s="8">
        <v>1586.35</v>
      </c>
      <c r="F169" s="8">
        <v>1596.3</v>
      </c>
      <c r="G169" s="8">
        <v>1771.45</v>
      </c>
      <c r="H169" s="8">
        <v>1269</v>
      </c>
      <c r="I169" s="9">
        <v>210362</v>
      </c>
      <c r="J169" s="8">
        <v>335935205.14999998</v>
      </c>
      <c r="K169" s="74">
        <v>14020</v>
      </c>
    </row>
    <row r="170" spans="2:11">
      <c r="B170" s="73">
        <v>45503</v>
      </c>
      <c r="C170" s="8">
        <v>1633</v>
      </c>
      <c r="D170" s="8">
        <v>1633</v>
      </c>
      <c r="E170" s="8">
        <v>1585</v>
      </c>
      <c r="F170" s="8">
        <v>1603.95</v>
      </c>
      <c r="G170" s="8">
        <v>1771.45</v>
      </c>
      <c r="H170" s="8">
        <v>1269</v>
      </c>
      <c r="I170" s="9">
        <v>521143</v>
      </c>
      <c r="J170" s="8">
        <v>833831313.39999998</v>
      </c>
      <c r="K170" s="74">
        <v>27035</v>
      </c>
    </row>
    <row r="171" spans="2:11">
      <c r="B171" s="73">
        <v>45502</v>
      </c>
      <c r="C171" s="8">
        <v>1615.3</v>
      </c>
      <c r="D171" s="8">
        <v>1633</v>
      </c>
      <c r="E171" s="8">
        <v>1603.15</v>
      </c>
      <c r="F171" s="8">
        <v>1621.25</v>
      </c>
      <c r="G171" s="8">
        <v>1771.45</v>
      </c>
      <c r="H171" s="8">
        <v>1269</v>
      </c>
      <c r="I171" s="9">
        <v>489858</v>
      </c>
      <c r="J171" s="8">
        <v>793569172.10000002</v>
      </c>
      <c r="K171" s="74">
        <v>24326</v>
      </c>
    </row>
    <row r="172" spans="2:11">
      <c r="B172" s="73">
        <v>45499</v>
      </c>
      <c r="C172" s="8">
        <v>1594</v>
      </c>
      <c r="D172" s="8">
        <v>1612.5</v>
      </c>
      <c r="E172" s="8">
        <v>1587.55</v>
      </c>
      <c r="F172" s="8">
        <v>1608.35</v>
      </c>
      <c r="G172" s="8">
        <v>1771.45</v>
      </c>
      <c r="H172" s="8">
        <v>1269</v>
      </c>
      <c r="I172" s="9">
        <v>276011</v>
      </c>
      <c r="J172" s="8">
        <v>442283933.5</v>
      </c>
      <c r="K172" s="74">
        <v>15544</v>
      </c>
    </row>
    <row r="173" spans="2:11">
      <c r="B173" s="73">
        <v>45498</v>
      </c>
      <c r="C173" s="8">
        <v>1590</v>
      </c>
      <c r="D173" s="8">
        <v>1619.8</v>
      </c>
      <c r="E173" s="8">
        <v>1585</v>
      </c>
      <c r="F173" s="8">
        <v>1597.55</v>
      </c>
      <c r="G173" s="8">
        <v>1771.45</v>
      </c>
      <c r="H173" s="8">
        <v>1269</v>
      </c>
      <c r="I173" s="9">
        <v>584433</v>
      </c>
      <c r="J173" s="8">
        <v>939133746.64999998</v>
      </c>
      <c r="K173" s="74">
        <v>25902</v>
      </c>
    </row>
    <row r="174" spans="2:11">
      <c r="B174" s="73">
        <v>45497</v>
      </c>
      <c r="C174" s="8">
        <v>1565</v>
      </c>
      <c r="D174" s="8">
        <v>1608</v>
      </c>
      <c r="E174" s="8">
        <v>1562.9</v>
      </c>
      <c r="F174" s="8">
        <v>1602.6</v>
      </c>
      <c r="G174" s="8">
        <v>1771.45</v>
      </c>
      <c r="H174" s="8">
        <v>1269</v>
      </c>
      <c r="I174" s="9">
        <v>1075660</v>
      </c>
      <c r="J174" s="8">
        <v>1713511497.05</v>
      </c>
      <c r="K174" s="74">
        <v>47170</v>
      </c>
    </row>
    <row r="175" spans="2:11">
      <c r="B175" s="73">
        <v>45496</v>
      </c>
      <c r="C175" s="8">
        <v>1535</v>
      </c>
      <c r="D175" s="8">
        <v>1565</v>
      </c>
      <c r="E175" s="8">
        <v>1502</v>
      </c>
      <c r="F175" s="8">
        <v>1561.3</v>
      </c>
      <c r="G175" s="8">
        <v>1771.45</v>
      </c>
      <c r="H175" s="8">
        <v>1269</v>
      </c>
      <c r="I175" s="9">
        <v>601011</v>
      </c>
      <c r="J175" s="8">
        <v>930694741.25</v>
      </c>
      <c r="K175" s="74">
        <v>36849</v>
      </c>
    </row>
    <row r="176" spans="2:11">
      <c r="B176" s="73">
        <v>45495</v>
      </c>
      <c r="C176" s="8">
        <v>1517.95</v>
      </c>
      <c r="D176" s="8">
        <v>1545.35</v>
      </c>
      <c r="E176" s="8">
        <v>1502.45</v>
      </c>
      <c r="F176" s="8">
        <v>1539.65</v>
      </c>
      <c r="G176" s="8">
        <v>1771.45</v>
      </c>
      <c r="H176" s="8">
        <v>1269</v>
      </c>
      <c r="I176" s="9">
        <v>347455</v>
      </c>
      <c r="J176" s="8">
        <v>533108754.55000001</v>
      </c>
      <c r="K176" s="74">
        <v>23236</v>
      </c>
    </row>
    <row r="177" spans="2:11">
      <c r="B177" s="73">
        <v>45492</v>
      </c>
      <c r="C177" s="8">
        <v>1530.5</v>
      </c>
      <c r="D177" s="8">
        <v>1542</v>
      </c>
      <c r="E177" s="8">
        <v>1515.3</v>
      </c>
      <c r="F177" s="8">
        <v>1523.8</v>
      </c>
      <c r="G177" s="8">
        <v>1771.45</v>
      </c>
      <c r="H177" s="8">
        <v>1269</v>
      </c>
      <c r="I177" s="9">
        <v>397365</v>
      </c>
      <c r="J177" s="8">
        <v>607236283.70000005</v>
      </c>
      <c r="K177" s="74">
        <v>22879</v>
      </c>
    </row>
    <row r="178" spans="2:11">
      <c r="B178" s="73">
        <v>45491</v>
      </c>
      <c r="C178" s="8">
        <v>1530</v>
      </c>
      <c r="D178" s="8">
        <v>1554</v>
      </c>
      <c r="E178" s="8">
        <v>1521.25</v>
      </c>
      <c r="F178" s="8">
        <v>1530.45</v>
      </c>
      <c r="G178" s="8">
        <v>1771.45</v>
      </c>
      <c r="H178" s="8">
        <v>1269</v>
      </c>
      <c r="I178" s="9">
        <v>453241</v>
      </c>
      <c r="J178" s="8">
        <v>697310608.89999998</v>
      </c>
      <c r="K178" s="74">
        <v>25293</v>
      </c>
    </row>
    <row r="179" spans="2:11">
      <c r="B179" s="73">
        <v>45489</v>
      </c>
      <c r="C179" s="8">
        <v>1527.95</v>
      </c>
      <c r="D179" s="8">
        <v>1544.4</v>
      </c>
      <c r="E179" s="8">
        <v>1525.5</v>
      </c>
      <c r="F179" s="8">
        <v>1530</v>
      </c>
      <c r="G179" s="8">
        <v>1771.45</v>
      </c>
      <c r="H179" s="8">
        <v>1269</v>
      </c>
      <c r="I179" s="9">
        <v>256190</v>
      </c>
      <c r="J179" s="8">
        <v>392911629</v>
      </c>
      <c r="K179" s="74">
        <v>14973</v>
      </c>
    </row>
    <row r="180" spans="2:11">
      <c r="B180" s="73">
        <v>45488</v>
      </c>
      <c r="C180" s="8">
        <v>1518.65</v>
      </c>
      <c r="D180" s="8">
        <v>1538.95</v>
      </c>
      <c r="E180" s="8">
        <v>1513</v>
      </c>
      <c r="F180" s="8">
        <v>1527.95</v>
      </c>
      <c r="G180" s="8">
        <v>1771.45</v>
      </c>
      <c r="H180" s="8">
        <v>1269</v>
      </c>
      <c r="I180" s="9">
        <v>227117</v>
      </c>
      <c r="J180" s="8">
        <v>347111673.05000001</v>
      </c>
      <c r="K180" s="74">
        <v>16437</v>
      </c>
    </row>
    <row r="181" spans="2:11">
      <c r="B181" s="73">
        <v>45485</v>
      </c>
      <c r="C181" s="8">
        <v>1534.55</v>
      </c>
      <c r="D181" s="8">
        <v>1552.2</v>
      </c>
      <c r="E181" s="8">
        <v>1512.6</v>
      </c>
      <c r="F181" s="8">
        <v>1516.1</v>
      </c>
      <c r="G181" s="8">
        <v>1771.45</v>
      </c>
      <c r="H181" s="8">
        <v>1269</v>
      </c>
      <c r="I181" s="9">
        <v>332563</v>
      </c>
      <c r="J181" s="8">
        <v>508556388.75</v>
      </c>
      <c r="K181" s="74">
        <v>20282</v>
      </c>
    </row>
    <row r="182" spans="2:11">
      <c r="B182" s="73">
        <v>45484</v>
      </c>
      <c r="C182" s="8">
        <v>1544.95</v>
      </c>
      <c r="D182" s="8">
        <v>1545</v>
      </c>
      <c r="E182" s="8">
        <v>1523.3</v>
      </c>
      <c r="F182" s="8">
        <v>1534.55</v>
      </c>
      <c r="G182" s="8">
        <v>1771.45</v>
      </c>
      <c r="H182" s="8">
        <v>1269</v>
      </c>
      <c r="I182" s="9">
        <v>195552</v>
      </c>
      <c r="J182" s="8">
        <v>299728625.05000001</v>
      </c>
      <c r="K182" s="74">
        <v>15716</v>
      </c>
    </row>
    <row r="183" spans="2:11">
      <c r="B183" s="73">
        <v>45483</v>
      </c>
      <c r="C183" s="8">
        <v>1525.25</v>
      </c>
      <c r="D183" s="8">
        <v>1544.95</v>
      </c>
      <c r="E183" s="8">
        <v>1487.1</v>
      </c>
      <c r="F183" s="8">
        <v>1540.65</v>
      </c>
      <c r="G183" s="8">
        <v>1771.45</v>
      </c>
      <c r="H183" s="8">
        <v>1269</v>
      </c>
      <c r="I183" s="9">
        <v>904727</v>
      </c>
      <c r="J183" s="8">
        <v>1378990399.7</v>
      </c>
      <c r="K183" s="74">
        <v>46302</v>
      </c>
    </row>
    <row r="184" spans="2:11">
      <c r="B184" s="73">
        <v>45482</v>
      </c>
      <c r="C184" s="8">
        <v>1540</v>
      </c>
      <c r="D184" s="8">
        <v>1550</v>
      </c>
      <c r="E184" s="8">
        <v>1512.85</v>
      </c>
      <c r="F184" s="8">
        <v>1515.3</v>
      </c>
      <c r="G184" s="8">
        <v>1771.45</v>
      </c>
      <c r="H184" s="8">
        <v>1269</v>
      </c>
      <c r="I184" s="9">
        <v>844436</v>
      </c>
      <c r="J184" s="8">
        <v>1287243416.3</v>
      </c>
      <c r="K184" s="74">
        <v>24323</v>
      </c>
    </row>
    <row r="185" spans="2:11">
      <c r="B185" s="73">
        <v>45481</v>
      </c>
      <c r="C185" s="8">
        <v>1508</v>
      </c>
      <c r="D185" s="8">
        <v>1536</v>
      </c>
      <c r="E185" s="8">
        <v>1490</v>
      </c>
      <c r="F185" s="8">
        <v>1531.9</v>
      </c>
      <c r="G185" s="8">
        <v>1771.45</v>
      </c>
      <c r="H185" s="8">
        <v>1269</v>
      </c>
      <c r="I185" s="9">
        <v>497122</v>
      </c>
      <c r="J185" s="8">
        <v>754788636.35000002</v>
      </c>
      <c r="K185" s="74">
        <v>24362</v>
      </c>
    </row>
    <row r="186" spans="2:11">
      <c r="B186" s="73">
        <v>45478</v>
      </c>
      <c r="C186" s="8">
        <v>1513</v>
      </c>
      <c r="D186" s="8">
        <v>1516.1</v>
      </c>
      <c r="E186" s="8">
        <v>1501.05</v>
      </c>
      <c r="F186" s="8">
        <v>1507.65</v>
      </c>
      <c r="G186" s="8">
        <v>1771.45</v>
      </c>
      <c r="H186" s="8">
        <v>1269</v>
      </c>
      <c r="I186" s="9">
        <v>252285</v>
      </c>
      <c r="J186" s="8">
        <v>380321561.55000001</v>
      </c>
      <c r="K186" s="74">
        <v>16195</v>
      </c>
    </row>
    <row r="187" spans="2:11">
      <c r="B187" s="73">
        <v>45477</v>
      </c>
      <c r="C187" s="8">
        <v>1500</v>
      </c>
      <c r="D187" s="8">
        <v>1513</v>
      </c>
      <c r="E187" s="8">
        <v>1485.5</v>
      </c>
      <c r="F187" s="8">
        <v>1509.65</v>
      </c>
      <c r="G187" s="8">
        <v>1771.45</v>
      </c>
      <c r="H187" s="8">
        <v>1269</v>
      </c>
      <c r="I187" s="9">
        <v>329064</v>
      </c>
      <c r="J187" s="8">
        <v>494147523.75</v>
      </c>
      <c r="K187" s="74">
        <v>16171</v>
      </c>
    </row>
    <row r="188" spans="2:11">
      <c r="B188" s="73">
        <v>45476</v>
      </c>
      <c r="C188" s="8">
        <v>1503</v>
      </c>
      <c r="D188" s="8">
        <v>1509.9</v>
      </c>
      <c r="E188" s="8">
        <v>1486.9</v>
      </c>
      <c r="F188" s="8">
        <v>1492.65</v>
      </c>
      <c r="G188" s="8">
        <v>1771.45</v>
      </c>
      <c r="H188" s="8">
        <v>1269</v>
      </c>
      <c r="I188" s="9">
        <v>233632</v>
      </c>
      <c r="J188" s="8">
        <v>349875892.05000001</v>
      </c>
      <c r="K188" s="74">
        <v>13073</v>
      </c>
    </row>
    <row r="189" spans="2:11">
      <c r="B189" s="73">
        <v>45475</v>
      </c>
      <c r="C189" s="8">
        <v>1507</v>
      </c>
      <c r="D189" s="8">
        <v>1510</v>
      </c>
      <c r="E189" s="8">
        <v>1482.75</v>
      </c>
      <c r="F189" s="8">
        <v>1495.4</v>
      </c>
      <c r="G189" s="8">
        <v>1771.45</v>
      </c>
      <c r="H189" s="8">
        <v>1269</v>
      </c>
      <c r="I189" s="9">
        <v>315066</v>
      </c>
      <c r="J189" s="8">
        <v>470765670.35000002</v>
      </c>
      <c r="K189" s="74">
        <v>19449</v>
      </c>
    </row>
    <row r="190" spans="2:11">
      <c r="B190" s="73">
        <v>45474</v>
      </c>
      <c r="C190" s="8">
        <v>1523.1</v>
      </c>
      <c r="D190" s="8">
        <v>1526</v>
      </c>
      <c r="E190" s="8">
        <v>1489</v>
      </c>
      <c r="F190" s="8">
        <v>1496.15</v>
      </c>
      <c r="G190" s="8">
        <v>1771.45</v>
      </c>
      <c r="H190" s="8">
        <v>1269</v>
      </c>
      <c r="I190" s="9">
        <v>861337</v>
      </c>
      <c r="J190" s="8">
        <v>1290598658.05</v>
      </c>
      <c r="K190" s="74">
        <v>35591</v>
      </c>
    </row>
    <row r="191" spans="2:11">
      <c r="B191" s="73">
        <v>45471</v>
      </c>
      <c r="C191" s="8">
        <v>1439.95</v>
      </c>
      <c r="D191" s="8">
        <v>1523.9</v>
      </c>
      <c r="E191" s="8">
        <v>1433.6</v>
      </c>
      <c r="F191" s="8">
        <v>1513.75</v>
      </c>
      <c r="G191" s="8">
        <v>1771.45</v>
      </c>
      <c r="H191" s="8">
        <v>1269</v>
      </c>
      <c r="I191" s="9">
        <v>2109333</v>
      </c>
      <c r="J191" s="8">
        <v>3137316214.5</v>
      </c>
      <c r="K191" s="74">
        <v>72928</v>
      </c>
    </row>
    <row r="192" spans="2:11">
      <c r="B192" s="73">
        <v>45470</v>
      </c>
      <c r="C192" s="8">
        <v>1450</v>
      </c>
      <c r="D192" s="8">
        <v>1451.95</v>
      </c>
      <c r="E192" s="8">
        <v>1435.2</v>
      </c>
      <c r="F192" s="8">
        <v>1441.05</v>
      </c>
      <c r="G192" s="8">
        <v>1771.45</v>
      </c>
      <c r="H192" s="8">
        <v>1269</v>
      </c>
      <c r="I192" s="9">
        <v>485473</v>
      </c>
      <c r="J192" s="8">
        <v>700143065.29999995</v>
      </c>
      <c r="K192" s="74">
        <v>20751</v>
      </c>
    </row>
    <row r="193" spans="2:11">
      <c r="B193" s="73">
        <v>45469</v>
      </c>
      <c r="C193" s="8">
        <v>1459.25</v>
      </c>
      <c r="D193" s="8">
        <v>1461.6</v>
      </c>
      <c r="E193" s="8">
        <v>1440</v>
      </c>
      <c r="F193" s="8">
        <v>1445.2</v>
      </c>
      <c r="G193" s="8">
        <v>1771.45</v>
      </c>
      <c r="H193" s="8">
        <v>1269</v>
      </c>
      <c r="I193" s="9">
        <v>341718</v>
      </c>
      <c r="J193" s="8">
        <v>495468019.75</v>
      </c>
      <c r="K193" s="74">
        <v>13790</v>
      </c>
    </row>
    <row r="194" spans="2:11">
      <c r="B194" s="73">
        <v>45468</v>
      </c>
      <c r="C194" s="8">
        <v>1461.6</v>
      </c>
      <c r="D194" s="8">
        <v>1476.3</v>
      </c>
      <c r="E194" s="8">
        <v>1456</v>
      </c>
      <c r="F194" s="8">
        <v>1459.25</v>
      </c>
      <c r="G194" s="8">
        <v>1771.45</v>
      </c>
      <c r="H194" s="8">
        <v>1269</v>
      </c>
      <c r="I194" s="9">
        <v>377733</v>
      </c>
      <c r="J194" s="8">
        <v>553740528.39999998</v>
      </c>
      <c r="K194" s="74">
        <v>23001</v>
      </c>
    </row>
    <row r="195" spans="2:11">
      <c r="B195" s="73">
        <v>45467</v>
      </c>
      <c r="C195" s="8">
        <v>1456.4</v>
      </c>
      <c r="D195" s="8">
        <v>1466.5</v>
      </c>
      <c r="E195" s="8">
        <v>1448.1</v>
      </c>
      <c r="F195" s="8">
        <v>1454.85</v>
      </c>
      <c r="G195" s="8">
        <v>1771.45</v>
      </c>
      <c r="H195" s="8">
        <v>1269</v>
      </c>
      <c r="I195" s="9">
        <v>245296</v>
      </c>
      <c r="J195" s="8">
        <v>358088300.35000002</v>
      </c>
      <c r="K195" s="74">
        <v>12245</v>
      </c>
    </row>
    <row r="196" spans="2:11">
      <c r="B196" s="73">
        <v>45464</v>
      </c>
      <c r="C196" s="8">
        <v>1477.25</v>
      </c>
      <c r="D196" s="8">
        <v>1479.8</v>
      </c>
      <c r="E196" s="8">
        <v>1452.5</v>
      </c>
      <c r="F196" s="8">
        <v>1461.2</v>
      </c>
      <c r="G196" s="8">
        <v>1771.45</v>
      </c>
      <c r="H196" s="8">
        <v>1269</v>
      </c>
      <c r="I196" s="9">
        <v>301512</v>
      </c>
      <c r="J196" s="8">
        <v>440873133.44999999</v>
      </c>
      <c r="K196" s="74">
        <v>20202</v>
      </c>
    </row>
    <row r="197" spans="2:11">
      <c r="B197" s="73">
        <v>45463</v>
      </c>
      <c r="C197" s="8">
        <v>1449.4</v>
      </c>
      <c r="D197" s="8">
        <v>1476</v>
      </c>
      <c r="E197" s="8">
        <v>1445.05</v>
      </c>
      <c r="F197" s="8">
        <v>1467.25</v>
      </c>
      <c r="G197" s="8">
        <v>1771.45</v>
      </c>
      <c r="H197" s="8">
        <v>1269</v>
      </c>
      <c r="I197" s="9">
        <v>609376</v>
      </c>
      <c r="J197" s="8">
        <v>893720962.25</v>
      </c>
      <c r="K197" s="74">
        <v>22765</v>
      </c>
    </row>
    <row r="198" spans="2:11">
      <c r="B198" s="73">
        <v>45462</v>
      </c>
      <c r="C198" s="8">
        <v>1456.5</v>
      </c>
      <c r="D198" s="8">
        <v>1468.85</v>
      </c>
      <c r="E198" s="8">
        <v>1447.05</v>
      </c>
      <c r="F198" s="8">
        <v>1449.4</v>
      </c>
      <c r="G198" s="8">
        <v>1771.45</v>
      </c>
      <c r="H198" s="8">
        <v>1269</v>
      </c>
      <c r="I198" s="9">
        <v>353950</v>
      </c>
      <c r="J198" s="8">
        <v>515195222.30000001</v>
      </c>
      <c r="K198" s="74">
        <v>23115</v>
      </c>
    </row>
    <row r="199" spans="2:11">
      <c r="B199" s="73">
        <v>45461</v>
      </c>
      <c r="C199" s="8">
        <v>1452.7</v>
      </c>
      <c r="D199" s="8">
        <v>1465</v>
      </c>
      <c r="E199" s="8">
        <v>1447.7</v>
      </c>
      <c r="F199" s="8">
        <v>1455.85</v>
      </c>
      <c r="G199" s="8">
        <v>1771.45</v>
      </c>
      <c r="H199" s="8">
        <v>1269</v>
      </c>
      <c r="I199" s="9">
        <v>411776</v>
      </c>
      <c r="J199" s="8">
        <v>599058580.35000002</v>
      </c>
      <c r="K199" s="74">
        <v>24795</v>
      </c>
    </row>
    <row r="200" spans="2:11">
      <c r="B200" s="73">
        <v>45457</v>
      </c>
      <c r="C200" s="8">
        <v>1468</v>
      </c>
      <c r="D200" s="8">
        <v>1474.2</v>
      </c>
      <c r="E200" s="8">
        <v>1448</v>
      </c>
      <c r="F200" s="8">
        <v>1451.8</v>
      </c>
      <c r="G200" s="8">
        <v>1771.45</v>
      </c>
      <c r="H200" s="8">
        <v>1269</v>
      </c>
      <c r="I200" s="9">
        <v>439642</v>
      </c>
      <c r="J200" s="8">
        <v>642122771.25</v>
      </c>
      <c r="K200" s="74">
        <v>13460</v>
      </c>
    </row>
    <row r="201" spans="2:11">
      <c r="B201" s="73">
        <v>45456</v>
      </c>
      <c r="C201" s="8">
        <v>1474</v>
      </c>
      <c r="D201" s="8">
        <v>1478</v>
      </c>
      <c r="E201" s="8">
        <v>1460</v>
      </c>
      <c r="F201" s="8">
        <v>1468.4</v>
      </c>
      <c r="G201" s="8">
        <v>1771.45</v>
      </c>
      <c r="H201" s="8">
        <v>1269</v>
      </c>
      <c r="I201" s="9">
        <v>262442</v>
      </c>
      <c r="J201" s="8">
        <v>384816197.89999998</v>
      </c>
      <c r="K201" s="74">
        <v>15868</v>
      </c>
    </row>
    <row r="202" spans="2:11">
      <c r="B202" s="73">
        <v>45455</v>
      </c>
      <c r="C202" s="8">
        <v>1490</v>
      </c>
      <c r="D202" s="8">
        <v>1492.45</v>
      </c>
      <c r="E202" s="8">
        <v>1456</v>
      </c>
      <c r="F202" s="8">
        <v>1464.2</v>
      </c>
      <c r="G202" s="8">
        <v>1771.45</v>
      </c>
      <c r="H202" s="8">
        <v>1269</v>
      </c>
      <c r="I202" s="9">
        <v>349208</v>
      </c>
      <c r="J202" s="8">
        <v>513583931.14999998</v>
      </c>
      <c r="K202" s="74">
        <v>26041</v>
      </c>
    </row>
    <row r="203" spans="2:11">
      <c r="B203" s="73">
        <v>45454</v>
      </c>
      <c r="C203" s="8">
        <v>1490</v>
      </c>
      <c r="D203" s="8">
        <v>1505.1</v>
      </c>
      <c r="E203" s="8">
        <v>1470.6</v>
      </c>
      <c r="F203" s="8">
        <v>1474.45</v>
      </c>
      <c r="G203" s="8">
        <v>1771.45</v>
      </c>
      <c r="H203" s="8">
        <v>1269</v>
      </c>
      <c r="I203" s="9">
        <v>383699</v>
      </c>
      <c r="J203" s="8">
        <v>571357052.45000005</v>
      </c>
      <c r="K203" s="74">
        <v>23610</v>
      </c>
    </row>
    <row r="204" spans="2:11">
      <c r="B204" s="73">
        <v>45453</v>
      </c>
      <c r="C204" s="8">
        <v>1485.9</v>
      </c>
      <c r="D204" s="8">
        <v>1499.5</v>
      </c>
      <c r="E204" s="8">
        <v>1465.2</v>
      </c>
      <c r="F204" s="8">
        <v>1482.7</v>
      </c>
      <c r="G204" s="8">
        <v>1771.45</v>
      </c>
      <c r="H204" s="8">
        <v>1269</v>
      </c>
      <c r="I204" s="9">
        <v>686400</v>
      </c>
      <c r="J204" s="8">
        <v>1018637923.5</v>
      </c>
      <c r="K204" s="74">
        <v>37822</v>
      </c>
    </row>
    <row r="205" spans="2:11">
      <c r="B205" s="73">
        <v>45450</v>
      </c>
      <c r="C205" s="8">
        <v>1470</v>
      </c>
      <c r="D205" s="8">
        <v>1473.9</v>
      </c>
      <c r="E205" s="8">
        <v>1454.85</v>
      </c>
      <c r="F205" s="8">
        <v>1465.9</v>
      </c>
      <c r="G205" s="8">
        <v>1771.45</v>
      </c>
      <c r="H205" s="8">
        <v>1269</v>
      </c>
      <c r="I205" s="9">
        <v>448938</v>
      </c>
      <c r="J205" s="8">
        <v>658185228.75</v>
      </c>
      <c r="K205" s="74">
        <v>27370</v>
      </c>
    </row>
    <row r="206" spans="2:11">
      <c r="B206" s="73">
        <v>45449</v>
      </c>
      <c r="C206" s="8">
        <v>1435</v>
      </c>
      <c r="D206" s="8">
        <v>1465</v>
      </c>
      <c r="E206" s="8">
        <v>1415.95</v>
      </c>
      <c r="F206" s="8">
        <v>1456.95</v>
      </c>
      <c r="G206" s="8">
        <v>1771.45</v>
      </c>
      <c r="H206" s="8">
        <v>1269</v>
      </c>
      <c r="I206" s="9">
        <v>1165705</v>
      </c>
      <c r="J206" s="8">
        <v>1688054920.8499999</v>
      </c>
      <c r="K206" s="74">
        <v>59591</v>
      </c>
    </row>
    <row r="207" spans="2:11">
      <c r="B207" s="73">
        <v>45448</v>
      </c>
      <c r="C207" s="8">
        <v>1344.85</v>
      </c>
      <c r="D207" s="8">
        <v>1432.95</v>
      </c>
      <c r="E207" s="8">
        <v>1338.1</v>
      </c>
      <c r="F207" s="8">
        <v>1423.95</v>
      </c>
      <c r="G207" s="8">
        <v>1771.45</v>
      </c>
      <c r="H207" s="8">
        <v>1269</v>
      </c>
      <c r="I207" s="9">
        <v>1245444</v>
      </c>
      <c r="J207" s="8">
        <v>1759204670</v>
      </c>
      <c r="K207" s="74">
        <v>63111</v>
      </c>
    </row>
    <row r="208" spans="2:11">
      <c r="B208" s="73">
        <v>45447</v>
      </c>
      <c r="C208" s="8">
        <v>1372</v>
      </c>
      <c r="D208" s="8">
        <v>1372</v>
      </c>
      <c r="E208" s="8">
        <v>1269</v>
      </c>
      <c r="F208" s="8">
        <v>1337.2</v>
      </c>
      <c r="G208" s="8">
        <v>1771.45</v>
      </c>
      <c r="H208" s="8">
        <v>1269</v>
      </c>
      <c r="I208" s="9">
        <v>810262</v>
      </c>
      <c r="J208" s="8">
        <v>1078281130.1500001</v>
      </c>
      <c r="K208" s="74">
        <v>54635</v>
      </c>
    </row>
    <row r="209" spans="2:11">
      <c r="B209" s="73">
        <v>45446</v>
      </c>
      <c r="C209" s="8">
        <v>1398.65</v>
      </c>
      <c r="D209" s="8">
        <v>1398.65</v>
      </c>
      <c r="E209" s="8">
        <v>1360.3</v>
      </c>
      <c r="F209" s="8">
        <v>1368.45</v>
      </c>
      <c r="G209" s="8">
        <v>1771.45</v>
      </c>
      <c r="H209" s="8">
        <v>1294</v>
      </c>
      <c r="I209" s="9">
        <v>527951</v>
      </c>
      <c r="J209" s="8">
        <v>723867555.79999995</v>
      </c>
      <c r="K209" s="74">
        <v>32570</v>
      </c>
    </row>
    <row r="210" spans="2:11">
      <c r="B210" s="73">
        <v>45443</v>
      </c>
      <c r="C210" s="8">
        <v>1378</v>
      </c>
      <c r="D210" s="8">
        <v>1398.75</v>
      </c>
      <c r="E210" s="8">
        <v>1352</v>
      </c>
      <c r="F210" s="8">
        <v>1365.45</v>
      </c>
      <c r="G210" s="8">
        <v>1771.45</v>
      </c>
      <c r="H210" s="8">
        <v>1294</v>
      </c>
      <c r="I210" s="9">
        <v>731290</v>
      </c>
      <c r="J210" s="8">
        <v>1008655338.7</v>
      </c>
      <c r="K210" s="74">
        <v>40565</v>
      </c>
    </row>
    <row r="211" spans="2:11">
      <c r="B211" s="73">
        <v>45442</v>
      </c>
      <c r="C211" s="8">
        <v>1355</v>
      </c>
      <c r="D211" s="8">
        <v>1417.85</v>
      </c>
      <c r="E211" s="8">
        <v>1350.5</v>
      </c>
      <c r="F211" s="8">
        <v>1372.2</v>
      </c>
      <c r="G211" s="8">
        <v>1771.45</v>
      </c>
      <c r="H211" s="8">
        <v>1294</v>
      </c>
      <c r="I211" s="9">
        <v>2903377</v>
      </c>
      <c r="J211" s="8">
        <v>4049432134.8000002</v>
      </c>
      <c r="K211" s="74">
        <v>113302</v>
      </c>
    </row>
    <row r="212" spans="2:11">
      <c r="B212" s="73">
        <v>45441</v>
      </c>
      <c r="C212" s="8">
        <v>1358.85</v>
      </c>
      <c r="D212" s="8">
        <v>1377</v>
      </c>
      <c r="E212" s="8">
        <v>1351</v>
      </c>
      <c r="F212" s="8">
        <v>1373.95</v>
      </c>
      <c r="G212" s="8">
        <v>1771.45</v>
      </c>
      <c r="H212" s="8">
        <v>1294</v>
      </c>
      <c r="I212" s="9">
        <v>645704</v>
      </c>
      <c r="J212" s="8">
        <v>883359658.35000002</v>
      </c>
      <c r="K212" s="74">
        <v>31380</v>
      </c>
    </row>
    <row r="213" spans="2:11">
      <c r="B213" s="73">
        <v>45440</v>
      </c>
      <c r="C213" s="8">
        <v>1355.7</v>
      </c>
      <c r="D213" s="8">
        <v>1364.6</v>
      </c>
      <c r="E213" s="8">
        <v>1343.3</v>
      </c>
      <c r="F213" s="8">
        <v>1356.75</v>
      </c>
      <c r="G213" s="8">
        <v>1771.45</v>
      </c>
      <c r="H213" s="8">
        <v>1294</v>
      </c>
      <c r="I213" s="9">
        <v>301156</v>
      </c>
      <c r="J213" s="8">
        <v>408182557.60000002</v>
      </c>
      <c r="K213" s="74">
        <v>20090</v>
      </c>
    </row>
    <row r="214" spans="2:11">
      <c r="B214" s="73">
        <v>45439</v>
      </c>
      <c r="C214" s="8">
        <v>1346.4</v>
      </c>
      <c r="D214" s="8">
        <v>1363.05</v>
      </c>
      <c r="E214" s="8">
        <v>1338.4</v>
      </c>
      <c r="F214" s="8">
        <v>1355.6</v>
      </c>
      <c r="G214" s="8">
        <v>1771.45</v>
      </c>
      <c r="H214" s="8">
        <v>1294</v>
      </c>
      <c r="I214" s="9">
        <v>314719</v>
      </c>
      <c r="J214" s="8">
        <v>426207113.35000002</v>
      </c>
      <c r="K214" s="74">
        <v>20702</v>
      </c>
    </row>
    <row r="215" spans="2:11">
      <c r="B215" s="73">
        <v>45436</v>
      </c>
      <c r="C215" s="8">
        <v>1349.8</v>
      </c>
      <c r="D215" s="8">
        <v>1356.8</v>
      </c>
      <c r="E215" s="8">
        <v>1345</v>
      </c>
      <c r="F215" s="8">
        <v>1346.4</v>
      </c>
      <c r="G215" s="8">
        <v>1771.45</v>
      </c>
      <c r="H215" s="8">
        <v>1294</v>
      </c>
      <c r="I215" s="9">
        <v>182966</v>
      </c>
      <c r="J215" s="8">
        <v>247043406.34999999</v>
      </c>
      <c r="K215" s="74">
        <v>9594</v>
      </c>
    </row>
    <row r="216" spans="2:11">
      <c r="B216" s="73">
        <v>45435</v>
      </c>
      <c r="C216" s="8">
        <v>1366.9</v>
      </c>
      <c r="D216" s="8">
        <v>1369.75</v>
      </c>
      <c r="E216" s="8">
        <v>1348.1</v>
      </c>
      <c r="F216" s="8">
        <v>1355.95</v>
      </c>
      <c r="G216" s="8">
        <v>1771.45</v>
      </c>
      <c r="H216" s="8">
        <v>1294</v>
      </c>
      <c r="I216" s="9">
        <v>203479</v>
      </c>
      <c r="J216" s="8">
        <v>275766113.35000002</v>
      </c>
      <c r="K216" s="74">
        <v>15113</v>
      </c>
    </row>
    <row r="217" spans="2:11">
      <c r="B217" s="73">
        <v>45434</v>
      </c>
      <c r="C217" s="8">
        <v>1361.35</v>
      </c>
      <c r="D217" s="8">
        <v>1375.85</v>
      </c>
      <c r="E217" s="8">
        <v>1358.45</v>
      </c>
      <c r="F217" s="8">
        <v>1366.45</v>
      </c>
      <c r="G217" s="8">
        <v>1771.45</v>
      </c>
      <c r="H217" s="8">
        <v>1294</v>
      </c>
      <c r="I217" s="9">
        <v>211691</v>
      </c>
      <c r="J217" s="8">
        <v>289052103.39999998</v>
      </c>
      <c r="K217" s="74">
        <v>19864</v>
      </c>
    </row>
    <row r="218" spans="2:11">
      <c r="B218" s="73">
        <v>45433</v>
      </c>
      <c r="C218" s="8">
        <v>1373.85</v>
      </c>
      <c r="D218" s="8">
        <v>1386.8</v>
      </c>
      <c r="E218" s="8">
        <v>1359.9</v>
      </c>
      <c r="F218" s="8">
        <v>1361.35</v>
      </c>
      <c r="G218" s="8">
        <v>1771.45</v>
      </c>
      <c r="H218" s="8">
        <v>1294</v>
      </c>
      <c r="I218" s="9">
        <v>278840</v>
      </c>
      <c r="J218" s="8">
        <v>382205005.89999998</v>
      </c>
      <c r="K218" s="74">
        <v>16722</v>
      </c>
    </row>
    <row r="219" spans="2:11">
      <c r="B219" s="73">
        <v>45430</v>
      </c>
      <c r="C219" s="8">
        <v>1354.95</v>
      </c>
      <c r="D219" s="8">
        <v>1378.2</v>
      </c>
      <c r="E219" s="8">
        <v>1351.5</v>
      </c>
      <c r="F219" s="8">
        <v>1374.1</v>
      </c>
      <c r="G219" s="8">
        <v>1771.45</v>
      </c>
      <c r="H219" s="8">
        <v>1294</v>
      </c>
      <c r="I219" s="9">
        <v>147930</v>
      </c>
      <c r="J219" s="8">
        <v>202598120.34999999</v>
      </c>
      <c r="K219" s="74">
        <v>6738</v>
      </c>
    </row>
    <row r="220" spans="2:11">
      <c r="B220" s="73">
        <v>45429</v>
      </c>
      <c r="C220" s="8">
        <v>1336.3</v>
      </c>
      <c r="D220" s="8">
        <v>1359.9</v>
      </c>
      <c r="E220" s="8">
        <v>1336</v>
      </c>
      <c r="F220" s="8">
        <v>1353.05</v>
      </c>
      <c r="G220" s="8">
        <v>1771.45</v>
      </c>
      <c r="H220" s="8">
        <v>1294</v>
      </c>
      <c r="I220" s="9">
        <v>805358</v>
      </c>
      <c r="J220" s="8">
        <v>1088309308.0999999</v>
      </c>
      <c r="K220" s="74">
        <v>24118</v>
      </c>
    </row>
    <row r="221" spans="2:11">
      <c r="B221" s="73">
        <v>45428</v>
      </c>
      <c r="C221" s="8">
        <v>1329.05</v>
      </c>
      <c r="D221" s="8">
        <v>1336</v>
      </c>
      <c r="E221" s="8">
        <v>1322.1</v>
      </c>
      <c r="F221" s="8">
        <v>1334.5</v>
      </c>
      <c r="G221" s="8">
        <v>1771.45</v>
      </c>
      <c r="H221" s="8">
        <v>1294</v>
      </c>
      <c r="I221" s="9">
        <v>164981</v>
      </c>
      <c r="J221" s="8">
        <v>219319713.40000001</v>
      </c>
      <c r="K221" s="74">
        <v>8875</v>
      </c>
    </row>
    <row r="222" spans="2:11">
      <c r="B222" s="73">
        <v>45427</v>
      </c>
      <c r="C222" s="8">
        <v>1334.9</v>
      </c>
      <c r="D222" s="8">
        <v>1336</v>
      </c>
      <c r="E222" s="8">
        <v>1321</v>
      </c>
      <c r="F222" s="8">
        <v>1327.15</v>
      </c>
      <c r="G222" s="8">
        <v>1771.45</v>
      </c>
      <c r="H222" s="8">
        <v>1294</v>
      </c>
      <c r="I222" s="9">
        <v>165453</v>
      </c>
      <c r="J222" s="8">
        <v>219552357.84999999</v>
      </c>
      <c r="K222" s="74">
        <v>11285</v>
      </c>
    </row>
    <row r="223" spans="2:11">
      <c r="B223" s="73">
        <v>45426</v>
      </c>
      <c r="C223" s="8">
        <v>1320</v>
      </c>
      <c r="D223" s="8">
        <v>1335</v>
      </c>
      <c r="E223" s="8">
        <v>1317.5</v>
      </c>
      <c r="F223" s="8">
        <v>1328.85</v>
      </c>
      <c r="G223" s="8">
        <v>1771.45</v>
      </c>
      <c r="H223" s="8">
        <v>1294</v>
      </c>
      <c r="I223" s="9">
        <v>288805</v>
      </c>
      <c r="J223" s="8">
        <v>383105187.44999999</v>
      </c>
      <c r="K223" s="74">
        <v>17287</v>
      </c>
    </row>
    <row r="224" spans="2:11">
      <c r="B224" s="73">
        <v>45425</v>
      </c>
      <c r="C224" s="8">
        <v>1315</v>
      </c>
      <c r="D224" s="8">
        <v>1320.4</v>
      </c>
      <c r="E224" s="8">
        <v>1294</v>
      </c>
      <c r="F224" s="8">
        <v>1317.2</v>
      </c>
      <c r="G224" s="8">
        <v>1771.45</v>
      </c>
      <c r="H224" s="8">
        <v>1294</v>
      </c>
      <c r="I224" s="9">
        <v>294086</v>
      </c>
      <c r="J224" s="8">
        <v>384761359.64999998</v>
      </c>
      <c r="K224" s="74">
        <v>20614</v>
      </c>
    </row>
    <row r="225" spans="2:11">
      <c r="B225" s="73">
        <v>45422</v>
      </c>
      <c r="C225" s="8">
        <v>1306.5</v>
      </c>
      <c r="D225" s="8">
        <v>1321.75</v>
      </c>
      <c r="E225" s="8">
        <v>1297.5999999999999</v>
      </c>
      <c r="F225" s="8">
        <v>1309.0999999999999</v>
      </c>
      <c r="G225" s="8">
        <v>1771.45</v>
      </c>
      <c r="H225" s="8">
        <v>1295.5</v>
      </c>
      <c r="I225" s="9">
        <v>247831</v>
      </c>
      <c r="J225" s="8">
        <v>324038430.44999999</v>
      </c>
      <c r="K225" s="74">
        <v>20325</v>
      </c>
    </row>
    <row r="226" spans="2:11">
      <c r="B226" s="73">
        <v>45421</v>
      </c>
      <c r="C226" s="8">
        <v>1328</v>
      </c>
      <c r="D226" s="8">
        <v>1328</v>
      </c>
      <c r="E226" s="8">
        <v>1295.5</v>
      </c>
      <c r="F226" s="8">
        <v>1298.55</v>
      </c>
      <c r="G226" s="8">
        <v>1771.45</v>
      </c>
      <c r="H226" s="8">
        <v>1295.5</v>
      </c>
      <c r="I226" s="9">
        <v>447161</v>
      </c>
      <c r="J226" s="8">
        <v>584284768.60000002</v>
      </c>
      <c r="K226" s="74">
        <v>35543</v>
      </c>
    </row>
    <row r="227" spans="2:11">
      <c r="B227" s="73">
        <v>45420</v>
      </c>
      <c r="C227" s="8">
        <v>1324</v>
      </c>
      <c r="D227" s="8">
        <v>1333.55</v>
      </c>
      <c r="E227" s="8">
        <v>1315.45</v>
      </c>
      <c r="F227" s="8">
        <v>1320.55</v>
      </c>
      <c r="G227" s="8">
        <v>1771.45</v>
      </c>
      <c r="H227" s="8">
        <v>1307.05</v>
      </c>
      <c r="I227" s="9">
        <v>266820</v>
      </c>
      <c r="J227" s="8">
        <v>353258760.80000001</v>
      </c>
      <c r="K227" s="74">
        <v>18795</v>
      </c>
    </row>
    <row r="228" spans="2:11">
      <c r="B228" s="73">
        <v>45419</v>
      </c>
      <c r="C228" s="8">
        <v>1333</v>
      </c>
      <c r="D228" s="8">
        <v>1342.4</v>
      </c>
      <c r="E228" s="8">
        <v>1318</v>
      </c>
      <c r="F228" s="8">
        <v>1324</v>
      </c>
      <c r="G228" s="8">
        <v>1771.45</v>
      </c>
      <c r="H228" s="8">
        <v>1307.05</v>
      </c>
      <c r="I228" s="9">
        <v>303260</v>
      </c>
      <c r="J228" s="8">
        <v>402487556.39999998</v>
      </c>
      <c r="K228" s="74">
        <v>26250</v>
      </c>
    </row>
    <row r="229" spans="2:11">
      <c r="B229" s="73">
        <v>45418</v>
      </c>
      <c r="C229" s="8">
        <v>1345</v>
      </c>
      <c r="D229" s="8">
        <v>1345</v>
      </c>
      <c r="E229" s="8">
        <v>1323</v>
      </c>
      <c r="F229" s="8">
        <v>1331.3</v>
      </c>
      <c r="G229" s="8">
        <v>1771.45</v>
      </c>
      <c r="H229" s="8">
        <v>1307.05</v>
      </c>
      <c r="I229" s="9">
        <v>256674</v>
      </c>
      <c r="J229" s="8">
        <v>341542514.64999998</v>
      </c>
      <c r="K229" s="74">
        <v>21707</v>
      </c>
    </row>
    <row r="230" spans="2:11">
      <c r="B230" s="73">
        <v>45415</v>
      </c>
      <c r="C230" s="8">
        <v>1358</v>
      </c>
      <c r="D230" s="8">
        <v>1361.4</v>
      </c>
      <c r="E230" s="8">
        <v>1330.05</v>
      </c>
      <c r="F230" s="8">
        <v>1338.35</v>
      </c>
      <c r="G230" s="8">
        <v>1771.45</v>
      </c>
      <c r="H230" s="8">
        <v>1307.05</v>
      </c>
      <c r="I230" s="9">
        <v>312915</v>
      </c>
      <c r="J230" s="8">
        <v>419737743.05000001</v>
      </c>
      <c r="K230" s="74">
        <v>24738</v>
      </c>
    </row>
    <row r="231" spans="2:11">
      <c r="B231" s="73">
        <v>45414</v>
      </c>
      <c r="C231" s="8">
        <v>1369.15</v>
      </c>
      <c r="D231" s="8">
        <v>1374.8</v>
      </c>
      <c r="E231" s="8">
        <v>1351</v>
      </c>
      <c r="F231" s="8">
        <v>1354.25</v>
      </c>
      <c r="G231" s="8">
        <v>1771.45</v>
      </c>
      <c r="H231" s="8">
        <v>1307.05</v>
      </c>
      <c r="I231" s="9">
        <v>299319</v>
      </c>
      <c r="J231" s="8">
        <v>406865500.5</v>
      </c>
      <c r="K231" s="74">
        <v>24232</v>
      </c>
    </row>
    <row r="232" spans="2:11">
      <c r="B232" s="73">
        <v>45412</v>
      </c>
      <c r="C232" s="8">
        <v>1366</v>
      </c>
      <c r="D232" s="8">
        <v>1373.5</v>
      </c>
      <c r="E232" s="8">
        <v>1358</v>
      </c>
      <c r="F232" s="8">
        <v>1369.15</v>
      </c>
      <c r="G232" s="8">
        <v>1771.45</v>
      </c>
      <c r="H232" s="8">
        <v>1307.05</v>
      </c>
      <c r="I232" s="9">
        <v>396351</v>
      </c>
      <c r="J232" s="8">
        <v>541873452.79999995</v>
      </c>
      <c r="K232" s="74">
        <v>19409</v>
      </c>
    </row>
    <row r="233" spans="2:11">
      <c r="B233" s="73">
        <v>45411</v>
      </c>
      <c r="C233" s="8">
        <v>1371</v>
      </c>
      <c r="D233" s="8">
        <v>1372.1</v>
      </c>
      <c r="E233" s="8">
        <v>1348</v>
      </c>
      <c r="F233" s="8">
        <v>1356.7</v>
      </c>
      <c r="G233" s="8">
        <v>1771.45</v>
      </c>
      <c r="H233" s="8">
        <v>1307.05</v>
      </c>
      <c r="I233" s="9">
        <v>504759</v>
      </c>
      <c r="J233" s="8">
        <v>684555812.29999995</v>
      </c>
      <c r="K233" s="74">
        <v>20021</v>
      </c>
    </row>
    <row r="234" spans="2:11">
      <c r="B234" s="73">
        <v>45408</v>
      </c>
      <c r="C234" s="8">
        <v>1355</v>
      </c>
      <c r="D234" s="8">
        <v>1387.95</v>
      </c>
      <c r="E234" s="8">
        <v>1349</v>
      </c>
      <c r="F234" s="8">
        <v>1363.4</v>
      </c>
      <c r="G234" s="8">
        <v>1771.45</v>
      </c>
      <c r="H234" s="8">
        <v>1307.05</v>
      </c>
      <c r="I234" s="9">
        <v>1007512</v>
      </c>
      <c r="J234" s="8">
        <v>1376877626</v>
      </c>
      <c r="K234" s="74">
        <v>36693</v>
      </c>
    </row>
    <row r="235" spans="2:11">
      <c r="B235" s="73">
        <v>45407</v>
      </c>
      <c r="C235" s="8">
        <v>1366</v>
      </c>
      <c r="D235" s="8">
        <v>1366</v>
      </c>
      <c r="E235" s="8">
        <v>1345.25</v>
      </c>
      <c r="F235" s="8">
        <v>1349.45</v>
      </c>
      <c r="G235" s="8">
        <v>1771.45</v>
      </c>
      <c r="H235" s="8">
        <v>1307.05</v>
      </c>
      <c r="I235" s="9">
        <v>346668</v>
      </c>
      <c r="J235" s="8">
        <v>468915454.94999999</v>
      </c>
      <c r="K235" s="74">
        <v>20235</v>
      </c>
    </row>
    <row r="236" spans="2:11">
      <c r="B236" s="73">
        <v>45406</v>
      </c>
      <c r="C236" s="8">
        <v>1358.8</v>
      </c>
      <c r="D236" s="8">
        <v>1369.25</v>
      </c>
      <c r="E236" s="8">
        <v>1355.25</v>
      </c>
      <c r="F236" s="8">
        <v>1362.95</v>
      </c>
      <c r="G236" s="8">
        <v>1771.45</v>
      </c>
      <c r="H236" s="8">
        <v>1307.05</v>
      </c>
      <c r="I236" s="9">
        <v>628985</v>
      </c>
      <c r="J236" s="8">
        <v>856505197.89999998</v>
      </c>
      <c r="K236" s="74">
        <v>37377</v>
      </c>
    </row>
    <row r="237" spans="2:11">
      <c r="B237" s="73">
        <v>45405</v>
      </c>
      <c r="C237" s="8">
        <v>1352</v>
      </c>
      <c r="D237" s="8">
        <v>1357</v>
      </c>
      <c r="E237" s="8">
        <v>1337.15</v>
      </c>
      <c r="F237" s="8">
        <v>1352.1</v>
      </c>
      <c r="G237" s="8">
        <v>1771.45</v>
      </c>
      <c r="H237" s="8">
        <v>1307.05</v>
      </c>
      <c r="I237" s="9">
        <v>455490</v>
      </c>
      <c r="J237" s="8">
        <v>613999943.60000002</v>
      </c>
      <c r="K237" s="74">
        <v>33221</v>
      </c>
    </row>
    <row r="238" spans="2:11">
      <c r="B238" s="73">
        <v>45404</v>
      </c>
      <c r="C238" s="8">
        <v>1339.9</v>
      </c>
      <c r="D238" s="8">
        <v>1348</v>
      </c>
      <c r="E238" s="8">
        <v>1323.75</v>
      </c>
      <c r="F238" s="8">
        <v>1342.75</v>
      </c>
      <c r="G238" s="8">
        <v>1771.45</v>
      </c>
      <c r="H238" s="8">
        <v>1307.05</v>
      </c>
      <c r="I238" s="9">
        <v>520748</v>
      </c>
      <c r="J238" s="8">
        <v>697311514.85000002</v>
      </c>
      <c r="K238" s="74">
        <v>34099</v>
      </c>
    </row>
    <row r="239" spans="2:11">
      <c r="B239" s="73">
        <v>45401</v>
      </c>
      <c r="C239" s="8">
        <v>1340</v>
      </c>
      <c r="D239" s="8">
        <v>1341.7</v>
      </c>
      <c r="E239" s="8">
        <v>1307.05</v>
      </c>
      <c r="F239" s="8">
        <v>1320.4</v>
      </c>
      <c r="G239" s="8">
        <v>1771.45</v>
      </c>
      <c r="H239" s="8">
        <v>1307.05</v>
      </c>
      <c r="I239" s="9">
        <v>866280</v>
      </c>
      <c r="J239" s="8">
        <v>1142863063.9000001</v>
      </c>
      <c r="K239" s="74">
        <v>55976</v>
      </c>
    </row>
    <row r="240" spans="2:11">
      <c r="B240" s="73">
        <v>45400</v>
      </c>
      <c r="C240" s="8">
        <v>1359.9</v>
      </c>
      <c r="D240" s="8">
        <v>1368</v>
      </c>
      <c r="E240" s="8">
        <v>1340</v>
      </c>
      <c r="F240" s="8">
        <v>1343.55</v>
      </c>
      <c r="G240" s="8">
        <v>1771.45</v>
      </c>
      <c r="H240" s="8">
        <v>1326.55</v>
      </c>
      <c r="I240" s="9">
        <v>514300</v>
      </c>
      <c r="J240" s="8">
        <v>697501643.70000005</v>
      </c>
      <c r="K240" s="74">
        <v>28739</v>
      </c>
    </row>
    <row r="241" spans="2:11">
      <c r="B241" s="73">
        <v>45398</v>
      </c>
      <c r="C241" s="8">
        <v>1341</v>
      </c>
      <c r="D241" s="8">
        <v>1350</v>
      </c>
      <c r="E241" s="8">
        <v>1326.55</v>
      </c>
      <c r="F241" s="8">
        <v>1339</v>
      </c>
      <c r="G241" s="8">
        <v>1771.45</v>
      </c>
      <c r="H241" s="8">
        <v>1326.55</v>
      </c>
      <c r="I241" s="9">
        <v>503906</v>
      </c>
      <c r="J241" s="8">
        <v>674830347.60000002</v>
      </c>
      <c r="K241" s="74">
        <v>34637</v>
      </c>
    </row>
    <row r="242" spans="2:11">
      <c r="B242" s="73">
        <v>45397</v>
      </c>
      <c r="C242" s="8">
        <v>1382</v>
      </c>
      <c r="D242" s="8">
        <v>1382</v>
      </c>
      <c r="E242" s="8">
        <v>1341.05</v>
      </c>
      <c r="F242" s="8">
        <v>1342.45</v>
      </c>
      <c r="G242" s="8">
        <v>1771.45</v>
      </c>
      <c r="H242" s="8">
        <v>1337.8</v>
      </c>
      <c r="I242" s="9">
        <v>780335</v>
      </c>
      <c r="J242" s="8">
        <v>1059346770.3</v>
      </c>
      <c r="K242" s="74">
        <v>40590</v>
      </c>
    </row>
    <row r="243" spans="2:11">
      <c r="B243" s="73">
        <v>45394</v>
      </c>
      <c r="C243" s="8">
        <v>1382.05</v>
      </c>
      <c r="D243" s="8">
        <v>1404.4</v>
      </c>
      <c r="E243" s="8">
        <v>1378.5</v>
      </c>
      <c r="F243" s="8">
        <v>1387.5</v>
      </c>
      <c r="G243" s="8">
        <v>1771.45</v>
      </c>
      <c r="H243" s="8">
        <v>1337.8</v>
      </c>
      <c r="I243" s="9">
        <v>1062242</v>
      </c>
      <c r="J243" s="8">
        <v>1478077698.3499999</v>
      </c>
      <c r="K243" s="74">
        <v>49163</v>
      </c>
    </row>
    <row r="244" spans="2:11">
      <c r="B244" s="73">
        <v>45392</v>
      </c>
      <c r="C244" s="8">
        <v>1344</v>
      </c>
      <c r="D244" s="8">
        <v>1390</v>
      </c>
      <c r="E244" s="8">
        <v>1342</v>
      </c>
      <c r="F244" s="8">
        <v>1380.35</v>
      </c>
      <c r="G244" s="8">
        <v>1771.45</v>
      </c>
      <c r="H244" s="8">
        <v>1337.8</v>
      </c>
      <c r="I244" s="9">
        <v>1037763</v>
      </c>
      <c r="J244" s="8">
        <v>1419773656.7</v>
      </c>
      <c r="K244" s="74">
        <v>47615</v>
      </c>
    </row>
    <row r="245" spans="2:11">
      <c r="B245" s="73">
        <v>45391</v>
      </c>
      <c r="C245" s="8">
        <v>1354</v>
      </c>
      <c r="D245" s="8">
        <v>1366.8</v>
      </c>
      <c r="E245" s="8">
        <v>1338</v>
      </c>
      <c r="F245" s="8">
        <v>1343.2</v>
      </c>
      <c r="G245" s="8">
        <v>1771.45</v>
      </c>
      <c r="H245" s="8">
        <v>1337.8</v>
      </c>
      <c r="I245" s="9">
        <v>608528</v>
      </c>
      <c r="J245" s="8">
        <v>822061930.29999995</v>
      </c>
      <c r="K245" s="74">
        <v>39287</v>
      </c>
    </row>
    <row r="246" spans="2:11">
      <c r="B246" s="73">
        <v>45390</v>
      </c>
      <c r="C246" s="8">
        <v>1367</v>
      </c>
      <c r="D246" s="8">
        <v>1367</v>
      </c>
      <c r="E246" s="8">
        <v>1337.8</v>
      </c>
      <c r="F246" s="8">
        <v>1346.15</v>
      </c>
      <c r="G246" s="8">
        <v>1771.45</v>
      </c>
      <c r="H246" s="8">
        <v>1337.8</v>
      </c>
      <c r="I246" s="9">
        <v>434631</v>
      </c>
      <c r="J246" s="8">
        <v>586813842.75</v>
      </c>
      <c r="K246" s="74">
        <v>28694</v>
      </c>
    </row>
    <row r="247" spans="2:11">
      <c r="B247" s="73">
        <v>45387</v>
      </c>
      <c r="C247" s="8">
        <v>1360</v>
      </c>
      <c r="D247" s="8">
        <v>1367</v>
      </c>
      <c r="E247" s="8">
        <v>1350.5</v>
      </c>
      <c r="F247" s="8">
        <v>1359.4</v>
      </c>
      <c r="G247" s="8">
        <v>1771.45</v>
      </c>
      <c r="H247" s="8">
        <v>1348.1</v>
      </c>
      <c r="I247" s="9">
        <v>435369</v>
      </c>
      <c r="J247" s="8">
        <v>590991573.39999998</v>
      </c>
      <c r="K247" s="74">
        <v>33392</v>
      </c>
    </row>
    <row r="248" spans="2:11">
      <c r="B248" s="73">
        <v>45386</v>
      </c>
      <c r="C248" s="8">
        <v>1381.95</v>
      </c>
      <c r="D248" s="8">
        <v>1381.95</v>
      </c>
      <c r="E248" s="8">
        <v>1367</v>
      </c>
      <c r="F248" s="8">
        <v>1371.9</v>
      </c>
      <c r="G248" s="8">
        <v>1771.45</v>
      </c>
      <c r="H248" s="8">
        <v>1348.1</v>
      </c>
      <c r="I248" s="9">
        <v>196616</v>
      </c>
      <c r="J248" s="8">
        <v>270037548.14999998</v>
      </c>
      <c r="K248" s="74">
        <v>13665</v>
      </c>
    </row>
    <row r="249" spans="2:11">
      <c r="B249" s="73">
        <v>45385</v>
      </c>
      <c r="C249" s="8">
        <v>1375</v>
      </c>
      <c r="D249" s="8">
        <v>1380.85</v>
      </c>
      <c r="E249" s="8">
        <v>1365.55</v>
      </c>
      <c r="F249" s="8">
        <v>1369.55</v>
      </c>
      <c r="G249" s="8">
        <v>1771.45</v>
      </c>
      <c r="H249" s="8">
        <v>1348.1</v>
      </c>
      <c r="I249" s="9">
        <v>214264</v>
      </c>
      <c r="J249" s="8">
        <v>294000755.35000002</v>
      </c>
      <c r="K249" s="74">
        <v>13223</v>
      </c>
    </row>
    <row r="250" spans="2:11">
      <c r="B250" s="73">
        <v>45384</v>
      </c>
      <c r="C250" s="8">
        <v>1350.05</v>
      </c>
      <c r="D250" s="8">
        <v>1384.2</v>
      </c>
      <c r="E250" s="8">
        <v>1350.05</v>
      </c>
      <c r="F250" s="8">
        <v>1374.1</v>
      </c>
      <c r="G250" s="8">
        <v>1771.45</v>
      </c>
      <c r="H250" s="8">
        <v>1348.1</v>
      </c>
      <c r="I250" s="9">
        <v>267323</v>
      </c>
      <c r="J250" s="8">
        <v>367229926.35000002</v>
      </c>
      <c r="K250" s="74">
        <v>20931</v>
      </c>
    </row>
    <row r="251" spans="2:11">
      <c r="B251" s="75">
        <v>45383</v>
      </c>
      <c r="C251" s="76">
        <v>1366.3</v>
      </c>
      <c r="D251" s="76">
        <v>1383.9</v>
      </c>
      <c r="E251" s="76">
        <v>1366.3</v>
      </c>
      <c r="F251" s="76">
        <v>1369.2</v>
      </c>
      <c r="G251" s="76">
        <v>1771.45</v>
      </c>
      <c r="H251" s="76">
        <v>1348.1</v>
      </c>
      <c r="I251" s="77">
        <v>275675</v>
      </c>
      <c r="J251" s="76">
        <v>379249950.05000001</v>
      </c>
      <c r="K251" s="78">
        <v>20149</v>
      </c>
    </row>
    <row r="252" spans="2:11">
      <c r="B252" s="15"/>
      <c r="C252" s="16"/>
      <c r="D252" s="16"/>
      <c r="E252" s="16"/>
      <c r="F252" s="16"/>
      <c r="G252" s="16"/>
      <c r="H252" s="16"/>
      <c r="I252" s="7"/>
      <c r="J252" s="16"/>
      <c r="K252" s="7"/>
    </row>
    <row r="253" spans="2:11">
      <c r="B253" s="15"/>
      <c r="C253" s="16"/>
      <c r="D253" s="16"/>
      <c r="E253" s="16"/>
      <c r="F253" s="16"/>
      <c r="G253" s="16"/>
      <c r="H253" s="16"/>
      <c r="I253" s="7"/>
      <c r="J253" s="16"/>
      <c r="K253" s="7"/>
    </row>
    <row r="254" spans="2:11">
      <c r="B254" s="15"/>
      <c r="C254" s="16"/>
      <c r="D254" s="16"/>
      <c r="E254" s="16"/>
      <c r="F254" s="16"/>
      <c r="G254" s="16"/>
      <c r="H254" s="16"/>
      <c r="I254" s="7"/>
      <c r="J254" s="16"/>
      <c r="K254" s="7"/>
    </row>
    <row r="255" spans="2:11">
      <c r="B255" s="15"/>
      <c r="C255" s="16"/>
      <c r="D255" s="16"/>
      <c r="E255" s="16"/>
      <c r="F255" s="16"/>
      <c r="G255" s="16"/>
      <c r="H255" s="16"/>
      <c r="I255" s="7"/>
      <c r="J255" s="16"/>
      <c r="K255" s="7"/>
    </row>
    <row r="256" spans="2:11">
      <c r="B256" s="15"/>
      <c r="C256" s="16"/>
      <c r="D256" s="16"/>
      <c r="E256" s="16"/>
      <c r="F256" s="16"/>
      <c r="G256" s="16"/>
      <c r="H256" s="16"/>
      <c r="I256" s="7"/>
      <c r="J256" s="16"/>
      <c r="K256" s="7"/>
    </row>
    <row r="257" spans="2:11">
      <c r="B257" s="15"/>
      <c r="C257" s="16"/>
      <c r="D257" s="16"/>
      <c r="E257" s="16"/>
      <c r="F257" s="16"/>
      <c r="G257" s="16"/>
      <c r="H257" s="16"/>
      <c r="I257" s="7"/>
      <c r="J257" s="16"/>
      <c r="K257" s="7"/>
    </row>
    <row r="258" spans="2:11">
      <c r="B258" s="15"/>
      <c r="C258" s="16"/>
      <c r="D258" s="16"/>
      <c r="E258" s="16"/>
      <c r="F258" s="16"/>
      <c r="G258" s="16"/>
      <c r="H258" s="16"/>
      <c r="I258" s="7"/>
      <c r="J258" s="16"/>
      <c r="K258" s="7"/>
    </row>
    <row r="259" spans="2:11">
      <c r="B259" s="15"/>
      <c r="C259" s="16"/>
      <c r="D259" s="16"/>
      <c r="E259" s="16"/>
      <c r="F259" s="16"/>
      <c r="G259" s="16"/>
      <c r="H259" s="16"/>
      <c r="I259" s="7"/>
      <c r="J259" s="16"/>
      <c r="K259" s="7"/>
    </row>
    <row r="260" spans="2:11">
      <c r="B260" s="15"/>
      <c r="C260" s="16"/>
      <c r="D260" s="16"/>
      <c r="E260" s="16"/>
      <c r="F260" s="16"/>
      <c r="G260" s="16"/>
      <c r="H260" s="16"/>
      <c r="I260" s="7"/>
      <c r="J260" s="16"/>
      <c r="K260" s="7"/>
    </row>
    <row r="261" spans="2:11">
      <c r="B261" s="15"/>
      <c r="C261" s="16"/>
      <c r="D261" s="16"/>
      <c r="E261" s="16"/>
      <c r="F261" s="16"/>
      <c r="G261" s="16"/>
      <c r="H261" s="16"/>
      <c r="I261" s="7"/>
      <c r="J261" s="16"/>
      <c r="K261" s="7"/>
    </row>
    <row r="262" spans="2:11">
      <c r="B262" s="15"/>
      <c r="C262" s="16"/>
      <c r="D262" s="16"/>
      <c r="E262" s="16"/>
      <c r="F262" s="16"/>
      <c r="G262" s="16"/>
      <c r="H262" s="16"/>
      <c r="I262" s="7"/>
      <c r="J262" s="16"/>
      <c r="K262" s="7"/>
    </row>
    <row r="263" spans="2:11">
      <c r="B263" s="15"/>
      <c r="C263" s="16"/>
      <c r="D263" s="16"/>
      <c r="E263" s="16"/>
      <c r="F263" s="16"/>
      <c r="G263" s="16"/>
      <c r="H263" s="16"/>
      <c r="I263" s="7"/>
      <c r="J263" s="16"/>
      <c r="K263" s="7"/>
    </row>
    <row r="264" spans="2:11">
      <c r="B264" s="15"/>
      <c r="C264" s="16"/>
      <c r="D264" s="16"/>
      <c r="E264" s="16"/>
      <c r="F264" s="16"/>
      <c r="G264" s="16"/>
      <c r="H264" s="16"/>
      <c r="I264" s="7"/>
      <c r="J264" s="16"/>
      <c r="K264" s="7"/>
    </row>
    <row r="265" spans="2:11">
      <c r="B265" s="15"/>
      <c r="C265" s="16"/>
      <c r="D265" s="16"/>
      <c r="E265" s="16"/>
      <c r="F265" s="16"/>
      <c r="G265" s="16"/>
      <c r="H265" s="16"/>
      <c r="I265" s="7"/>
      <c r="J265" s="16"/>
      <c r="K265" s="7"/>
    </row>
    <row r="266" spans="2:11">
      <c r="B266" s="15"/>
      <c r="C266" s="16"/>
      <c r="D266" s="16"/>
      <c r="E266" s="16"/>
      <c r="F266" s="16"/>
      <c r="G266" s="16"/>
      <c r="H266" s="16"/>
      <c r="I266" s="7"/>
      <c r="J266" s="16"/>
      <c r="K266" s="7"/>
    </row>
    <row r="267" spans="2:11">
      <c r="B267" s="15"/>
      <c r="C267" s="16"/>
      <c r="D267" s="16"/>
      <c r="E267" s="16"/>
      <c r="F267" s="16"/>
      <c r="G267" s="16"/>
      <c r="H267" s="16"/>
      <c r="I267" s="7"/>
      <c r="J267" s="16"/>
      <c r="K267" s="7"/>
    </row>
    <row r="268" spans="2:11">
      <c r="B268" s="15"/>
      <c r="C268" s="16"/>
      <c r="D268" s="16"/>
      <c r="E268" s="16"/>
      <c r="F268" s="16"/>
      <c r="G268" s="16"/>
      <c r="H268" s="16"/>
      <c r="I268" s="7"/>
      <c r="J268" s="16"/>
      <c r="K268" s="7"/>
    </row>
    <row r="269" spans="2:11">
      <c r="B269" s="15"/>
      <c r="C269" s="16"/>
      <c r="D269" s="16"/>
      <c r="E269" s="16"/>
      <c r="F269" s="16"/>
      <c r="G269" s="16"/>
      <c r="H269" s="16"/>
      <c r="I269" s="7"/>
      <c r="J269" s="16"/>
      <c r="K269" s="7"/>
    </row>
    <row r="270" spans="2:11">
      <c r="B270" s="15"/>
      <c r="C270" s="16"/>
      <c r="D270" s="16"/>
      <c r="E270" s="16"/>
      <c r="F270" s="16"/>
      <c r="G270" s="16"/>
      <c r="H270" s="16"/>
      <c r="I270" s="7"/>
      <c r="J270" s="16"/>
      <c r="K270" s="7"/>
    </row>
    <row r="271" spans="2:11">
      <c r="B271" s="15"/>
      <c r="C271" s="16"/>
      <c r="D271" s="16"/>
      <c r="E271" s="16"/>
      <c r="F271" s="16"/>
      <c r="G271" s="16"/>
      <c r="H271" s="16"/>
      <c r="I271" s="7"/>
      <c r="J271" s="16"/>
      <c r="K271" s="7"/>
    </row>
    <row r="272" spans="2:11">
      <c r="B272" s="15"/>
      <c r="C272" s="16"/>
      <c r="D272" s="16"/>
      <c r="E272" s="16"/>
      <c r="F272" s="16"/>
      <c r="G272" s="16"/>
      <c r="H272" s="16"/>
      <c r="I272" s="7"/>
      <c r="J272" s="16"/>
      <c r="K272" s="7"/>
    </row>
    <row r="273" spans="2:11">
      <c r="B273" s="15"/>
      <c r="C273" s="16"/>
      <c r="D273" s="16"/>
      <c r="E273" s="16"/>
      <c r="F273" s="16"/>
      <c r="G273" s="16"/>
      <c r="H273" s="16"/>
      <c r="I273" s="7"/>
      <c r="J273" s="16"/>
      <c r="K273" s="7"/>
    </row>
    <row r="274" spans="2:11">
      <c r="B274" s="15"/>
      <c r="C274" s="16"/>
      <c r="D274" s="16"/>
      <c r="E274" s="16"/>
      <c r="F274" s="16"/>
      <c r="G274" s="16"/>
      <c r="H274" s="16"/>
      <c r="I274" s="7"/>
      <c r="J274" s="16"/>
      <c r="K274" s="7"/>
    </row>
    <row r="275" spans="2:11">
      <c r="B275" s="15"/>
      <c r="C275" s="16"/>
      <c r="D275" s="16"/>
      <c r="E275" s="16"/>
      <c r="F275" s="16"/>
      <c r="G275" s="16"/>
      <c r="H275" s="16"/>
      <c r="I275" s="7"/>
      <c r="J275" s="16"/>
      <c r="K275" s="7"/>
    </row>
    <row r="276" spans="2:11">
      <c r="B276" s="15"/>
      <c r="C276" s="16"/>
      <c r="D276" s="16"/>
      <c r="E276" s="16"/>
      <c r="F276" s="16"/>
      <c r="G276" s="16"/>
      <c r="H276" s="16"/>
      <c r="I276" s="7"/>
      <c r="J276" s="16"/>
      <c r="K276" s="7"/>
    </row>
    <row r="277" spans="2:11">
      <c r="B277" s="15"/>
      <c r="C277" s="16"/>
      <c r="D277" s="16"/>
      <c r="E277" s="16"/>
      <c r="F277" s="16"/>
      <c r="G277" s="16"/>
      <c r="H277" s="16"/>
      <c r="I277" s="7"/>
      <c r="J277" s="16"/>
      <c r="K277" s="7"/>
    </row>
    <row r="278" spans="2:11">
      <c r="B278" s="15"/>
      <c r="C278" s="16"/>
      <c r="D278" s="16"/>
      <c r="E278" s="16"/>
      <c r="F278" s="16"/>
      <c r="G278" s="16"/>
      <c r="H278" s="16"/>
      <c r="I278" s="7"/>
      <c r="J278" s="16"/>
      <c r="K278" s="7"/>
    </row>
    <row r="279" spans="2:11">
      <c r="B279" s="15"/>
      <c r="C279" s="16"/>
      <c r="D279" s="16"/>
      <c r="E279" s="16"/>
      <c r="F279" s="16"/>
      <c r="G279" s="16"/>
      <c r="H279" s="16"/>
      <c r="I279" s="7"/>
      <c r="J279" s="16"/>
      <c r="K279" s="7"/>
    </row>
    <row r="280" spans="2:11">
      <c r="B280" s="15"/>
      <c r="C280" s="16"/>
      <c r="D280" s="16"/>
      <c r="E280" s="16"/>
      <c r="F280" s="16"/>
      <c r="G280" s="16"/>
      <c r="H280" s="16"/>
      <c r="I280" s="7"/>
      <c r="J280" s="16"/>
      <c r="K280" s="7"/>
    </row>
    <row r="281" spans="2:11">
      <c r="B281" s="15"/>
      <c r="C281" s="16"/>
      <c r="D281" s="16"/>
      <c r="E281" s="16"/>
      <c r="F281" s="16"/>
      <c r="G281" s="16"/>
      <c r="H281" s="16"/>
      <c r="I281" s="7"/>
      <c r="J281" s="16"/>
      <c r="K281" s="7"/>
    </row>
    <row r="282" spans="2:11">
      <c r="B282" s="15"/>
      <c r="C282" s="16"/>
      <c r="D282" s="16"/>
      <c r="E282" s="16"/>
      <c r="F282" s="16"/>
      <c r="G282" s="16"/>
      <c r="H282" s="16"/>
      <c r="I282" s="7"/>
      <c r="J282" s="16"/>
      <c r="K282" s="7"/>
    </row>
    <row r="283" spans="2:11">
      <c r="B283" s="15"/>
      <c r="C283" s="16"/>
      <c r="D283" s="16"/>
      <c r="E283" s="16"/>
      <c r="F283" s="16"/>
      <c r="G283" s="16"/>
      <c r="H283" s="16"/>
      <c r="I283" s="7"/>
      <c r="J283" s="16"/>
      <c r="K283" s="7"/>
    </row>
    <row r="284" spans="2:11">
      <c r="B284" s="15"/>
      <c r="C284" s="16"/>
      <c r="D284" s="16"/>
      <c r="E284" s="16"/>
      <c r="F284" s="16"/>
      <c r="G284" s="16"/>
      <c r="H284" s="16"/>
      <c r="I284" s="7"/>
      <c r="J284" s="16"/>
      <c r="K284" s="7"/>
    </row>
    <row r="285" spans="2:11">
      <c r="B285" s="15"/>
      <c r="C285" s="16"/>
      <c r="D285" s="16"/>
      <c r="E285" s="16"/>
      <c r="F285" s="16"/>
      <c r="G285" s="16"/>
      <c r="H285" s="16"/>
      <c r="I285" s="7"/>
      <c r="J285" s="16"/>
      <c r="K285" s="7"/>
    </row>
    <row r="286" spans="2:11">
      <c r="B286" s="15"/>
      <c r="C286" s="16"/>
      <c r="D286" s="16"/>
      <c r="E286" s="16"/>
      <c r="F286" s="16"/>
      <c r="G286" s="16"/>
      <c r="H286" s="16"/>
      <c r="I286" s="7"/>
      <c r="J286" s="16"/>
      <c r="K286" s="7"/>
    </row>
    <row r="287" spans="2:11">
      <c r="B287" s="15"/>
      <c r="C287" s="16"/>
      <c r="D287" s="16"/>
      <c r="E287" s="16"/>
      <c r="F287" s="16"/>
      <c r="G287" s="16"/>
      <c r="H287" s="16"/>
      <c r="I287" s="7"/>
      <c r="J287" s="16"/>
      <c r="K287" s="7"/>
    </row>
    <row r="288" spans="2:11">
      <c r="B288" s="15"/>
      <c r="C288" s="16"/>
      <c r="D288" s="16"/>
      <c r="E288" s="16"/>
      <c r="F288" s="16"/>
      <c r="G288" s="16"/>
      <c r="H288" s="16"/>
      <c r="I288" s="7"/>
      <c r="J288" s="16"/>
      <c r="K288" s="7"/>
    </row>
    <row r="289" spans="2:11">
      <c r="B289" s="15"/>
      <c r="C289" s="16"/>
      <c r="D289" s="16"/>
      <c r="E289" s="16"/>
      <c r="F289" s="16"/>
      <c r="G289" s="16"/>
      <c r="H289" s="16"/>
      <c r="I289" s="7"/>
      <c r="J289" s="16"/>
      <c r="K289" s="7"/>
    </row>
    <row r="290" spans="2:11">
      <c r="B290" s="15"/>
      <c r="C290" s="16"/>
      <c r="D290" s="16"/>
      <c r="E290" s="16"/>
      <c r="F290" s="16"/>
      <c r="G290" s="16"/>
      <c r="H290" s="16"/>
      <c r="I290" s="7"/>
      <c r="J290" s="16"/>
      <c r="K290" s="7"/>
    </row>
    <row r="291" spans="2:11">
      <c r="B291" s="15"/>
      <c r="C291" s="16"/>
      <c r="D291" s="16"/>
      <c r="E291" s="16"/>
      <c r="F291" s="16"/>
      <c r="G291" s="16"/>
      <c r="H291" s="16"/>
      <c r="I291" s="7"/>
      <c r="J291" s="16"/>
      <c r="K291" s="7"/>
    </row>
    <row r="292" spans="2:11">
      <c r="B292" s="15"/>
      <c r="C292" s="16"/>
      <c r="D292" s="16"/>
      <c r="E292" s="16"/>
      <c r="F292" s="16"/>
      <c r="G292" s="16"/>
      <c r="H292" s="16"/>
      <c r="I292" s="7"/>
      <c r="J292" s="16"/>
      <c r="K292" s="7"/>
    </row>
    <row r="293" spans="2:11">
      <c r="B293" s="15"/>
      <c r="C293" s="16"/>
      <c r="D293" s="16"/>
      <c r="E293" s="16"/>
      <c r="F293" s="16"/>
      <c r="G293" s="16"/>
      <c r="H293" s="16"/>
      <c r="I293" s="7"/>
      <c r="J293" s="16"/>
      <c r="K293" s="7"/>
    </row>
    <row r="294" spans="2:11">
      <c r="B294" s="15"/>
      <c r="C294" s="16"/>
      <c r="D294" s="16"/>
      <c r="E294" s="16"/>
      <c r="F294" s="16"/>
      <c r="G294" s="16"/>
      <c r="H294" s="16"/>
      <c r="I294" s="7"/>
      <c r="J294" s="16"/>
      <c r="K294" s="7"/>
    </row>
    <row r="295" spans="2:11">
      <c r="B295" s="15"/>
      <c r="C295" s="16"/>
      <c r="D295" s="16"/>
      <c r="E295" s="16"/>
      <c r="F295" s="16"/>
      <c r="G295" s="16"/>
      <c r="H295" s="16"/>
      <c r="I295" s="7"/>
      <c r="J295" s="16"/>
      <c r="K295" s="7"/>
    </row>
    <row r="296" spans="2:11">
      <c r="B296" s="15"/>
      <c r="C296" s="16"/>
      <c r="D296" s="16"/>
      <c r="E296" s="16"/>
      <c r="F296" s="16"/>
      <c r="G296" s="16"/>
      <c r="H296" s="16"/>
      <c r="I296" s="7"/>
      <c r="J296" s="16"/>
      <c r="K296" s="7"/>
    </row>
    <row r="297" spans="2:11">
      <c r="B297" s="15"/>
      <c r="C297" s="16"/>
      <c r="D297" s="16"/>
      <c r="E297" s="16"/>
      <c r="F297" s="16"/>
      <c r="G297" s="16"/>
      <c r="H297" s="16"/>
      <c r="I297" s="7"/>
      <c r="J297" s="16"/>
      <c r="K297" s="7"/>
    </row>
    <row r="298" spans="2:11">
      <c r="B298" s="15"/>
      <c r="C298" s="16"/>
      <c r="D298" s="16"/>
      <c r="E298" s="16"/>
      <c r="F298" s="16"/>
      <c r="G298" s="16"/>
      <c r="H298" s="16"/>
      <c r="I298" s="7"/>
      <c r="J298" s="16"/>
      <c r="K298" s="7"/>
    </row>
    <row r="299" spans="2:11">
      <c r="B299" s="15"/>
      <c r="C299" s="16"/>
      <c r="D299" s="16"/>
      <c r="E299" s="16"/>
      <c r="F299" s="16"/>
      <c r="G299" s="16"/>
      <c r="H299" s="16"/>
      <c r="I299" s="7"/>
      <c r="J299" s="16"/>
      <c r="K299" s="7"/>
    </row>
    <row r="300" spans="2:11">
      <c r="B300" s="15"/>
      <c r="C300" s="16"/>
      <c r="D300" s="16"/>
      <c r="E300" s="16"/>
      <c r="F300" s="16"/>
      <c r="G300" s="16"/>
      <c r="H300" s="16"/>
      <c r="I300" s="7"/>
      <c r="J300" s="16"/>
      <c r="K300" s="7"/>
    </row>
    <row r="301" spans="2:11">
      <c r="B301" s="15"/>
      <c r="C301" s="16"/>
      <c r="D301" s="16"/>
      <c r="E301" s="16"/>
      <c r="F301" s="16"/>
      <c r="G301" s="16"/>
      <c r="H301" s="16"/>
      <c r="I301" s="7"/>
      <c r="J301" s="16"/>
      <c r="K301" s="7"/>
    </row>
    <row r="302" spans="2:11">
      <c r="B302" s="15"/>
      <c r="C302" s="16"/>
      <c r="D302" s="16"/>
      <c r="E302" s="16"/>
      <c r="F302" s="16"/>
      <c r="G302" s="16"/>
      <c r="H302" s="16"/>
      <c r="I302" s="7"/>
      <c r="J302" s="16"/>
      <c r="K302" s="7"/>
    </row>
    <row r="303" spans="2:11">
      <c r="B303" s="15"/>
      <c r="C303" s="16"/>
      <c r="D303" s="16"/>
      <c r="E303" s="16"/>
      <c r="F303" s="16"/>
      <c r="G303" s="16"/>
      <c r="H303" s="16"/>
      <c r="I303" s="7"/>
      <c r="J303" s="16"/>
      <c r="K303" s="7"/>
    </row>
    <row r="304" spans="2:11">
      <c r="B304" s="15"/>
      <c r="C304" s="16"/>
      <c r="D304" s="16"/>
      <c r="E304" s="16"/>
      <c r="F304" s="16"/>
      <c r="G304" s="16"/>
      <c r="H304" s="16"/>
      <c r="I304" s="7"/>
      <c r="J304" s="16"/>
      <c r="K304" s="7"/>
    </row>
    <row r="305" spans="2:11">
      <c r="B305" s="15"/>
      <c r="C305" s="16"/>
      <c r="D305" s="16"/>
      <c r="E305" s="16"/>
      <c r="F305" s="16"/>
      <c r="G305" s="16"/>
      <c r="H305" s="16"/>
      <c r="I305" s="7"/>
      <c r="J305" s="16"/>
      <c r="K305" s="7"/>
    </row>
    <row r="306" spans="2:11">
      <c r="B306" s="15"/>
      <c r="C306" s="16"/>
      <c r="D306" s="16"/>
      <c r="E306" s="16"/>
      <c r="F306" s="16"/>
      <c r="G306" s="16"/>
      <c r="H306" s="16"/>
      <c r="I306" s="7"/>
      <c r="J306" s="16"/>
      <c r="K306" s="7"/>
    </row>
    <row r="307" spans="2:11">
      <c r="B307" s="15"/>
      <c r="C307" s="16"/>
      <c r="D307" s="16"/>
      <c r="E307" s="16"/>
      <c r="F307" s="16"/>
      <c r="G307" s="16"/>
      <c r="H307" s="16"/>
      <c r="I307" s="7"/>
      <c r="J307" s="16"/>
      <c r="K307" s="7"/>
    </row>
    <row r="308" spans="2:11">
      <c r="B308" s="15"/>
      <c r="C308" s="16"/>
      <c r="D308" s="16"/>
      <c r="E308" s="16"/>
      <c r="F308" s="16"/>
      <c r="G308" s="16"/>
      <c r="H308" s="16"/>
      <c r="I308" s="7"/>
      <c r="J308" s="16"/>
      <c r="K308" s="7"/>
    </row>
    <row r="309" spans="2:11">
      <c r="B309" s="15"/>
      <c r="C309" s="16"/>
      <c r="D309" s="16"/>
      <c r="E309" s="16"/>
      <c r="F309" s="16"/>
      <c r="G309" s="16"/>
      <c r="H309" s="16"/>
      <c r="I309" s="7"/>
      <c r="J309" s="16"/>
      <c r="K309" s="7"/>
    </row>
    <row r="310" spans="2:11">
      <c r="B310" s="15"/>
      <c r="C310" s="16"/>
      <c r="D310" s="16"/>
      <c r="E310" s="16"/>
      <c r="F310" s="16"/>
      <c r="G310" s="16"/>
      <c r="H310" s="16"/>
      <c r="I310" s="7"/>
      <c r="J310" s="16"/>
      <c r="K310" s="7"/>
    </row>
    <row r="311" spans="2:11">
      <c r="B311" s="15"/>
      <c r="C311" s="16"/>
      <c r="D311" s="16"/>
      <c r="E311" s="16"/>
      <c r="F311" s="16"/>
      <c r="G311" s="16"/>
      <c r="H311" s="16"/>
      <c r="I311" s="7"/>
      <c r="J311" s="16"/>
      <c r="K311" s="7"/>
    </row>
    <row r="312" spans="2:11">
      <c r="B312" s="15"/>
      <c r="C312" s="16"/>
      <c r="D312" s="16"/>
      <c r="E312" s="16"/>
      <c r="F312" s="16"/>
      <c r="G312" s="16"/>
      <c r="H312" s="16"/>
      <c r="I312" s="7"/>
      <c r="J312" s="16"/>
      <c r="K312" s="7"/>
    </row>
    <row r="313" spans="2:11">
      <c r="B313" s="15"/>
      <c r="C313" s="16"/>
      <c r="D313" s="16"/>
      <c r="E313" s="16"/>
      <c r="F313" s="16"/>
      <c r="G313" s="16"/>
      <c r="H313" s="16"/>
      <c r="I313" s="7"/>
      <c r="J313" s="16"/>
      <c r="K313" s="7"/>
    </row>
    <row r="314" spans="2:11">
      <c r="B314" s="15"/>
      <c r="C314" s="16"/>
      <c r="D314" s="16"/>
      <c r="E314" s="16"/>
      <c r="F314" s="16"/>
      <c r="G314" s="16"/>
      <c r="H314" s="16"/>
      <c r="I314" s="7"/>
      <c r="J314" s="16"/>
      <c r="K314" s="7"/>
    </row>
    <row r="315" spans="2:11">
      <c r="B315" s="15"/>
      <c r="C315" s="16"/>
      <c r="D315" s="16"/>
      <c r="E315" s="16"/>
      <c r="F315" s="16"/>
      <c r="G315" s="16"/>
      <c r="H315" s="16"/>
      <c r="I315" s="7"/>
      <c r="J315" s="16"/>
      <c r="K315" s="7"/>
    </row>
    <row r="316" spans="2:11">
      <c r="B316" s="15"/>
      <c r="C316" s="16"/>
      <c r="D316" s="16"/>
      <c r="E316" s="16"/>
      <c r="F316" s="16"/>
      <c r="G316" s="16"/>
      <c r="H316" s="16"/>
      <c r="I316" s="7"/>
      <c r="J316" s="16"/>
      <c r="K316" s="7"/>
    </row>
    <row r="317" spans="2:11">
      <c r="B317" s="15"/>
      <c r="C317" s="16"/>
      <c r="D317" s="16"/>
      <c r="E317" s="16"/>
      <c r="F317" s="16"/>
      <c r="G317" s="16"/>
      <c r="H317" s="16"/>
      <c r="I317" s="7"/>
      <c r="J317" s="16"/>
      <c r="K317" s="7"/>
    </row>
    <row r="318" spans="2:11">
      <c r="B318" s="15"/>
      <c r="C318" s="16"/>
      <c r="D318" s="16"/>
      <c r="E318" s="16"/>
      <c r="F318" s="16"/>
      <c r="G318" s="16"/>
      <c r="H318" s="16"/>
      <c r="I318" s="7"/>
      <c r="J318" s="16"/>
      <c r="K318" s="7"/>
    </row>
    <row r="319" spans="2:11">
      <c r="B319" s="15"/>
      <c r="C319" s="16"/>
      <c r="D319" s="16"/>
      <c r="E319" s="16"/>
      <c r="F319" s="16"/>
      <c r="G319" s="16"/>
      <c r="H319" s="16"/>
      <c r="I319" s="7"/>
      <c r="J319" s="16"/>
      <c r="K319" s="7"/>
    </row>
    <row r="320" spans="2:11">
      <c r="B320" s="15"/>
      <c r="C320" s="16"/>
      <c r="D320" s="16"/>
      <c r="E320" s="16"/>
      <c r="F320" s="16"/>
      <c r="G320" s="16"/>
      <c r="H320" s="16"/>
      <c r="I320" s="7"/>
      <c r="J320" s="16"/>
      <c r="K320" s="7"/>
    </row>
    <row r="321" spans="2:11">
      <c r="B321" s="15"/>
      <c r="C321" s="16"/>
      <c r="D321" s="16"/>
      <c r="E321" s="16"/>
      <c r="F321" s="16"/>
      <c r="G321" s="16"/>
      <c r="H321" s="16"/>
      <c r="I321" s="7"/>
      <c r="J321" s="16"/>
      <c r="K321" s="7"/>
    </row>
    <row r="322" spans="2:11">
      <c r="B322" s="15"/>
      <c r="C322" s="16"/>
      <c r="D322" s="16"/>
      <c r="E322" s="16"/>
      <c r="F322" s="16"/>
      <c r="G322" s="16"/>
      <c r="H322" s="16"/>
      <c r="I322" s="7"/>
      <c r="J322" s="16"/>
      <c r="K322" s="7"/>
    </row>
    <row r="323" spans="2:11">
      <c r="B323" s="15"/>
      <c r="C323" s="16"/>
      <c r="D323" s="16"/>
      <c r="E323" s="16"/>
      <c r="F323" s="16"/>
      <c r="G323" s="16"/>
      <c r="H323" s="16"/>
      <c r="I323" s="7"/>
      <c r="J323" s="16"/>
      <c r="K323" s="7"/>
    </row>
    <row r="324" spans="2:11">
      <c r="B324" s="15"/>
      <c r="C324" s="16"/>
      <c r="D324" s="16"/>
      <c r="E324" s="16"/>
      <c r="F324" s="16"/>
      <c r="G324" s="16"/>
      <c r="H324" s="16"/>
      <c r="I324" s="7"/>
      <c r="J324" s="16"/>
      <c r="K324" s="7"/>
    </row>
    <row r="325" spans="2:11">
      <c r="B325" s="15"/>
      <c r="C325" s="16"/>
      <c r="D325" s="16"/>
      <c r="E325" s="16"/>
      <c r="F325" s="16"/>
      <c r="G325" s="16"/>
      <c r="H325" s="16"/>
      <c r="I325" s="7"/>
      <c r="J325" s="16"/>
      <c r="K325" s="7"/>
    </row>
    <row r="326" spans="2:11">
      <c r="B326" s="15"/>
      <c r="C326" s="16"/>
      <c r="D326" s="16"/>
      <c r="E326" s="16"/>
      <c r="F326" s="16"/>
      <c r="G326" s="16"/>
      <c r="H326" s="16"/>
      <c r="I326" s="7"/>
      <c r="J326" s="16"/>
      <c r="K326" s="7"/>
    </row>
    <row r="327" spans="2:11">
      <c r="B327" s="15"/>
      <c r="C327" s="16"/>
      <c r="D327" s="16"/>
      <c r="E327" s="16"/>
      <c r="F327" s="16"/>
      <c r="G327" s="16"/>
      <c r="H327" s="16"/>
      <c r="I327" s="7"/>
      <c r="J327" s="16"/>
      <c r="K327" s="7"/>
    </row>
    <row r="328" spans="2:11">
      <c r="B328" s="15"/>
      <c r="C328" s="16"/>
      <c r="D328" s="16"/>
      <c r="E328" s="16"/>
      <c r="F328" s="16"/>
      <c r="G328" s="16"/>
      <c r="H328" s="16"/>
      <c r="I328" s="7"/>
      <c r="J328" s="16"/>
      <c r="K328" s="7"/>
    </row>
    <row r="329" spans="2:11">
      <c r="B329" s="15"/>
      <c r="C329" s="16"/>
      <c r="D329" s="16"/>
      <c r="E329" s="16"/>
      <c r="F329" s="16"/>
      <c r="G329" s="16"/>
      <c r="H329" s="16"/>
      <c r="I329" s="7"/>
      <c r="J329" s="16"/>
      <c r="K329" s="7"/>
    </row>
    <row r="330" spans="2:11">
      <c r="B330" s="15"/>
      <c r="C330" s="16"/>
      <c r="D330" s="16"/>
      <c r="E330" s="16"/>
      <c r="F330" s="16"/>
      <c r="G330" s="16"/>
      <c r="H330" s="16"/>
      <c r="I330" s="7"/>
      <c r="J330" s="16"/>
      <c r="K330" s="7"/>
    </row>
    <row r="331" spans="2:11">
      <c r="B331" s="15"/>
      <c r="C331" s="16"/>
      <c r="D331" s="16"/>
      <c r="E331" s="16"/>
      <c r="F331" s="16"/>
      <c r="G331" s="16"/>
      <c r="H331" s="16"/>
      <c r="I331" s="7"/>
      <c r="J331" s="16"/>
      <c r="K331" s="7"/>
    </row>
    <row r="332" spans="2:11">
      <c r="B332" s="15"/>
      <c r="C332" s="16"/>
      <c r="D332" s="16"/>
      <c r="E332" s="16"/>
      <c r="F332" s="16"/>
      <c r="G332" s="16"/>
      <c r="H332" s="16"/>
      <c r="I332" s="7"/>
      <c r="J332" s="16"/>
      <c r="K332" s="7"/>
    </row>
    <row r="333" spans="2:11">
      <c r="B333" s="15"/>
      <c r="C333" s="16"/>
      <c r="D333" s="16"/>
      <c r="E333" s="16"/>
      <c r="F333" s="16"/>
      <c r="G333" s="16"/>
      <c r="H333" s="16"/>
      <c r="I333" s="7"/>
      <c r="J333" s="16"/>
      <c r="K333" s="7"/>
    </row>
    <row r="334" spans="2:11">
      <c r="B334" s="15"/>
      <c r="C334" s="16"/>
      <c r="D334" s="16"/>
      <c r="E334" s="16"/>
      <c r="F334" s="16"/>
      <c r="G334" s="16"/>
      <c r="H334" s="16"/>
      <c r="I334" s="7"/>
      <c r="J334" s="16"/>
      <c r="K334" s="7"/>
    </row>
    <row r="335" spans="2:11">
      <c r="B335" s="15"/>
      <c r="C335" s="16"/>
      <c r="D335" s="16"/>
      <c r="E335" s="16"/>
      <c r="F335" s="16"/>
      <c r="G335" s="16"/>
      <c r="H335" s="16"/>
      <c r="I335" s="7"/>
      <c r="J335" s="16"/>
      <c r="K335" s="7"/>
    </row>
    <row r="336" spans="2:11">
      <c r="B336" s="15"/>
      <c r="C336" s="16"/>
      <c r="D336" s="16"/>
      <c r="E336" s="16"/>
      <c r="F336" s="16"/>
      <c r="G336" s="16"/>
      <c r="H336" s="16"/>
      <c r="I336" s="7"/>
      <c r="J336" s="16"/>
      <c r="K336" s="7"/>
    </row>
    <row r="337" spans="2:11">
      <c r="B337" s="15"/>
      <c r="C337" s="16"/>
      <c r="D337" s="16"/>
      <c r="E337" s="16"/>
      <c r="F337" s="16"/>
      <c r="G337" s="16"/>
      <c r="H337" s="16"/>
      <c r="I337" s="7"/>
      <c r="J337" s="16"/>
      <c r="K337" s="7"/>
    </row>
    <row r="338" spans="2:11">
      <c r="B338" s="15"/>
      <c r="C338" s="16"/>
      <c r="D338" s="16"/>
      <c r="E338" s="16"/>
      <c r="F338" s="16"/>
      <c r="G338" s="16"/>
      <c r="H338" s="16"/>
      <c r="I338" s="7"/>
      <c r="J338" s="16"/>
      <c r="K338" s="7"/>
    </row>
    <row r="339" spans="2:11">
      <c r="B339" s="15"/>
      <c r="C339" s="16"/>
      <c r="D339" s="16"/>
      <c r="E339" s="16"/>
      <c r="F339" s="16"/>
      <c r="G339" s="16"/>
      <c r="H339" s="16"/>
      <c r="I339" s="7"/>
      <c r="J339" s="16"/>
      <c r="K339" s="7"/>
    </row>
    <row r="340" spans="2:11">
      <c r="B340" s="15"/>
      <c r="C340" s="16"/>
      <c r="D340" s="16"/>
      <c r="E340" s="16"/>
      <c r="F340" s="16"/>
      <c r="G340" s="16"/>
      <c r="H340" s="16"/>
      <c r="I340" s="7"/>
      <c r="J340" s="16"/>
      <c r="K340" s="7"/>
    </row>
    <row r="341" spans="2:11">
      <c r="B341" s="15"/>
      <c r="C341" s="16"/>
      <c r="D341" s="16"/>
      <c r="E341" s="16"/>
      <c r="F341" s="16"/>
      <c r="G341" s="16"/>
      <c r="H341" s="16"/>
      <c r="I341" s="7"/>
      <c r="J341" s="16"/>
      <c r="K341" s="7"/>
    </row>
    <row r="342" spans="2:11">
      <c r="B342" s="15"/>
      <c r="C342" s="16"/>
      <c r="D342" s="16"/>
      <c r="E342" s="16"/>
      <c r="F342" s="16"/>
      <c r="G342" s="16"/>
      <c r="H342" s="16"/>
      <c r="I342" s="7"/>
      <c r="J342" s="16"/>
      <c r="K342" s="7"/>
    </row>
    <row r="343" spans="2:11">
      <c r="B343" s="15"/>
      <c r="C343" s="16"/>
      <c r="D343" s="16"/>
      <c r="E343" s="16"/>
      <c r="F343" s="16"/>
      <c r="G343" s="16"/>
      <c r="H343" s="16"/>
      <c r="I343" s="7"/>
      <c r="J343" s="16"/>
      <c r="K343" s="7"/>
    </row>
    <row r="344" spans="2:11">
      <c r="B344" s="15"/>
      <c r="C344" s="16"/>
      <c r="D344" s="16"/>
      <c r="E344" s="16"/>
      <c r="F344" s="16"/>
      <c r="G344" s="16"/>
      <c r="H344" s="16"/>
      <c r="I344" s="7"/>
      <c r="J344" s="16"/>
      <c r="K344" s="7"/>
    </row>
    <row r="345" spans="2:11">
      <c r="B345" s="15"/>
      <c r="C345" s="16"/>
      <c r="D345" s="16"/>
      <c r="E345" s="16"/>
      <c r="F345" s="16"/>
      <c r="G345" s="16"/>
      <c r="H345" s="16"/>
      <c r="I345" s="7"/>
      <c r="J345" s="16"/>
      <c r="K345" s="7"/>
    </row>
    <row r="346" spans="2:11">
      <c r="B346" s="15"/>
      <c r="C346" s="16"/>
      <c r="D346" s="16"/>
      <c r="E346" s="16"/>
      <c r="F346" s="16"/>
      <c r="G346" s="16"/>
      <c r="H346" s="16"/>
      <c r="I346" s="7"/>
      <c r="J346" s="16"/>
      <c r="K346" s="7"/>
    </row>
    <row r="347" spans="2:11">
      <c r="B347" s="15"/>
      <c r="C347" s="16"/>
      <c r="D347" s="16"/>
      <c r="E347" s="16"/>
      <c r="F347" s="16"/>
      <c r="G347" s="16"/>
      <c r="H347" s="16"/>
      <c r="I347" s="7"/>
      <c r="J347" s="16"/>
      <c r="K347" s="7"/>
    </row>
    <row r="348" spans="2:11">
      <c r="B348" s="15"/>
      <c r="C348" s="16"/>
      <c r="D348" s="16"/>
      <c r="E348" s="16"/>
      <c r="F348" s="16"/>
      <c r="G348" s="16"/>
      <c r="H348" s="16"/>
      <c r="I348" s="7"/>
      <c r="J348" s="16"/>
      <c r="K348" s="7"/>
    </row>
    <row r="349" spans="2:11">
      <c r="B349" s="15"/>
      <c r="C349" s="16"/>
      <c r="D349" s="16"/>
      <c r="E349" s="16"/>
      <c r="F349" s="16"/>
      <c r="G349" s="16"/>
      <c r="H349" s="16"/>
      <c r="I349" s="7"/>
      <c r="J349" s="16"/>
      <c r="K349" s="7"/>
    </row>
    <row r="350" spans="2:11">
      <c r="B350" s="15"/>
      <c r="C350" s="16"/>
      <c r="D350" s="16"/>
      <c r="E350" s="16"/>
      <c r="F350" s="16"/>
      <c r="G350" s="16"/>
      <c r="H350" s="16"/>
      <c r="I350" s="7"/>
      <c r="J350" s="16"/>
      <c r="K350" s="7"/>
    </row>
    <row r="351" spans="2:11">
      <c r="B351" s="15"/>
      <c r="C351" s="16"/>
      <c r="D351" s="16"/>
      <c r="E351" s="16"/>
      <c r="F351" s="16"/>
      <c r="G351" s="16"/>
      <c r="H351" s="16"/>
      <c r="I351" s="7"/>
      <c r="J351" s="16"/>
      <c r="K351" s="7"/>
    </row>
    <row r="352" spans="2:11">
      <c r="B352" s="15"/>
      <c r="C352" s="16"/>
      <c r="D352" s="16"/>
      <c r="E352" s="16"/>
      <c r="F352" s="16"/>
      <c r="G352" s="16"/>
      <c r="H352" s="16"/>
      <c r="I352" s="7"/>
      <c r="J352" s="16"/>
      <c r="K352" s="7"/>
    </row>
    <row r="353" spans="2:11">
      <c r="B353" s="15"/>
      <c r="C353" s="16"/>
      <c r="D353" s="16"/>
      <c r="E353" s="16"/>
      <c r="F353" s="16"/>
      <c r="G353" s="16"/>
      <c r="H353" s="16"/>
      <c r="I353" s="7"/>
      <c r="J353" s="16"/>
      <c r="K353" s="7"/>
    </row>
    <row r="354" spans="2:11">
      <c r="B354" s="15"/>
      <c r="C354" s="16"/>
      <c r="D354" s="16"/>
      <c r="E354" s="16"/>
      <c r="F354" s="16"/>
      <c r="G354" s="16"/>
      <c r="H354" s="16"/>
      <c r="I354" s="7"/>
      <c r="J354" s="16"/>
      <c r="K354" s="7"/>
    </row>
    <row r="355" spans="2:11">
      <c r="B355" s="15"/>
      <c r="C355" s="16"/>
      <c r="D355" s="16"/>
      <c r="E355" s="16"/>
      <c r="F355" s="16"/>
      <c r="G355" s="16"/>
      <c r="H355" s="16"/>
      <c r="I355" s="7"/>
      <c r="J355" s="16"/>
      <c r="K355" s="7"/>
    </row>
    <row r="356" spans="2:11">
      <c r="B356" s="15"/>
      <c r="C356" s="16"/>
      <c r="D356" s="16"/>
      <c r="E356" s="16"/>
      <c r="F356" s="16"/>
      <c r="G356" s="16"/>
      <c r="H356" s="16"/>
      <c r="I356" s="7"/>
      <c r="J356" s="16"/>
      <c r="K356" s="7"/>
    </row>
    <row r="357" spans="2:11">
      <c r="B357" s="15"/>
      <c r="C357" s="16"/>
      <c r="D357" s="16"/>
      <c r="E357" s="16"/>
      <c r="F357" s="16"/>
      <c r="G357" s="16"/>
      <c r="H357" s="16"/>
      <c r="I357" s="7"/>
      <c r="J357" s="16"/>
      <c r="K357" s="7"/>
    </row>
    <row r="358" spans="2:11">
      <c r="B358" s="15"/>
      <c r="C358" s="16"/>
      <c r="D358" s="16"/>
      <c r="E358" s="16"/>
      <c r="F358" s="16"/>
      <c r="G358" s="16"/>
      <c r="H358" s="16"/>
      <c r="I358" s="7"/>
      <c r="J358" s="16"/>
      <c r="K358" s="7"/>
    </row>
    <row r="359" spans="2:11">
      <c r="B359" s="15"/>
      <c r="C359" s="16"/>
      <c r="D359" s="16"/>
      <c r="E359" s="16"/>
      <c r="F359" s="16"/>
      <c r="G359" s="16"/>
      <c r="H359" s="16"/>
      <c r="I359" s="7"/>
      <c r="J359" s="16"/>
      <c r="K359" s="7"/>
    </row>
    <row r="360" spans="2:11">
      <c r="B360" s="15"/>
      <c r="C360" s="16"/>
      <c r="D360" s="16"/>
      <c r="E360" s="16"/>
      <c r="F360" s="16"/>
      <c r="G360" s="16"/>
      <c r="H360" s="16"/>
      <c r="I360" s="7"/>
      <c r="J360" s="16"/>
      <c r="K360" s="7"/>
    </row>
    <row r="361" spans="2:11">
      <c r="B361" s="15"/>
      <c r="C361" s="16"/>
      <c r="D361" s="16"/>
      <c r="E361" s="16"/>
      <c r="F361" s="16"/>
      <c r="G361" s="16"/>
      <c r="H361" s="16"/>
      <c r="I361" s="7"/>
      <c r="J361" s="16"/>
      <c r="K361" s="7"/>
    </row>
    <row r="362" spans="2:11">
      <c r="B362" s="15"/>
      <c r="C362" s="16"/>
      <c r="D362" s="16"/>
      <c r="E362" s="16"/>
      <c r="F362" s="16"/>
      <c r="G362" s="16"/>
      <c r="H362" s="16"/>
      <c r="I362" s="7"/>
      <c r="J362" s="16"/>
      <c r="K362" s="7"/>
    </row>
    <row r="363" spans="2:11">
      <c r="B363" s="15"/>
      <c r="C363" s="16"/>
      <c r="D363" s="16"/>
      <c r="E363" s="16"/>
      <c r="F363" s="16"/>
      <c r="G363" s="16"/>
      <c r="H363" s="16"/>
      <c r="I363" s="7"/>
      <c r="J363" s="16"/>
      <c r="K363" s="7"/>
    </row>
    <row r="364" spans="2:11">
      <c r="B364" s="15"/>
      <c r="C364" s="16"/>
      <c r="D364" s="16"/>
      <c r="E364" s="16"/>
      <c r="F364" s="16"/>
      <c r="G364" s="16"/>
      <c r="H364" s="16"/>
      <c r="I364" s="7"/>
      <c r="J364" s="16"/>
      <c r="K364" s="7"/>
    </row>
    <row r="365" spans="2:11">
      <c r="B365" s="15"/>
      <c r="C365" s="16"/>
      <c r="D365" s="16"/>
      <c r="E365" s="16"/>
      <c r="F365" s="16"/>
      <c r="G365" s="16"/>
      <c r="H365" s="16"/>
      <c r="I365" s="7"/>
      <c r="J365" s="16"/>
      <c r="K365" s="7"/>
    </row>
    <row r="366" spans="2:11">
      <c r="B366" s="15"/>
      <c r="C366" s="16"/>
      <c r="D366" s="16"/>
      <c r="E366" s="16"/>
      <c r="F366" s="16"/>
      <c r="G366" s="16"/>
      <c r="H366" s="16"/>
      <c r="I366" s="7"/>
      <c r="J366" s="16"/>
      <c r="K366" s="7"/>
    </row>
    <row r="367" spans="2:11">
      <c r="B367" s="15"/>
      <c r="C367" s="16"/>
      <c r="D367" s="16"/>
      <c r="E367" s="16"/>
      <c r="F367" s="16"/>
      <c r="G367" s="16"/>
      <c r="H367" s="16"/>
      <c r="I367" s="7"/>
      <c r="J367" s="16"/>
      <c r="K367" s="7"/>
    </row>
    <row r="368" spans="2:11">
      <c r="B368" s="15"/>
      <c r="C368" s="16"/>
      <c r="D368" s="16"/>
      <c r="E368" s="16"/>
      <c r="F368" s="16"/>
      <c r="G368" s="16"/>
      <c r="H368" s="16"/>
      <c r="I368" s="7"/>
      <c r="J368" s="16"/>
      <c r="K368" s="7"/>
    </row>
    <row r="369" spans="2:11">
      <c r="B369" s="15"/>
      <c r="C369" s="16"/>
      <c r="D369" s="16"/>
      <c r="E369" s="16"/>
      <c r="F369" s="16"/>
      <c r="G369" s="16"/>
      <c r="H369" s="16"/>
      <c r="I369" s="7"/>
      <c r="J369" s="16"/>
      <c r="K369" s="7"/>
    </row>
    <row r="370" spans="2:11">
      <c r="B370" s="15"/>
      <c r="C370" s="16"/>
      <c r="D370" s="16"/>
      <c r="E370" s="16"/>
      <c r="F370" s="16"/>
      <c r="G370" s="16"/>
      <c r="H370" s="16"/>
      <c r="I370" s="7"/>
      <c r="J370" s="16"/>
      <c r="K370" s="7"/>
    </row>
    <row r="371" spans="2:11">
      <c r="B371" s="15"/>
      <c r="C371" s="16"/>
      <c r="D371" s="16"/>
      <c r="E371" s="16"/>
      <c r="F371" s="16"/>
      <c r="G371" s="16"/>
      <c r="H371" s="16"/>
      <c r="I371" s="7"/>
      <c r="J371" s="16"/>
      <c r="K371" s="7"/>
    </row>
    <row r="372" spans="2:11">
      <c r="B372" s="15"/>
      <c r="C372" s="16"/>
      <c r="D372" s="16"/>
      <c r="E372" s="16"/>
      <c r="F372" s="16"/>
      <c r="G372" s="16"/>
      <c r="H372" s="16"/>
      <c r="I372" s="7"/>
      <c r="J372" s="16"/>
      <c r="K372" s="7"/>
    </row>
    <row r="373" spans="2:11">
      <c r="B373" s="15"/>
      <c r="C373" s="16"/>
      <c r="D373" s="16"/>
      <c r="E373" s="16"/>
      <c r="F373" s="16"/>
      <c r="G373" s="16"/>
      <c r="H373" s="16"/>
      <c r="I373" s="7"/>
      <c r="J373" s="16"/>
      <c r="K373" s="7"/>
    </row>
    <row r="374" spans="2:11">
      <c r="B374" s="15"/>
      <c r="C374" s="16"/>
      <c r="D374" s="16"/>
      <c r="E374" s="16"/>
      <c r="F374" s="16"/>
      <c r="G374" s="16"/>
      <c r="H374" s="16"/>
      <c r="I374" s="7"/>
      <c r="J374" s="16"/>
      <c r="K374" s="7"/>
    </row>
    <row r="375" spans="2:11">
      <c r="B375" s="15"/>
      <c r="C375" s="16"/>
      <c r="D375" s="16"/>
      <c r="E375" s="16"/>
      <c r="F375" s="16"/>
      <c r="G375" s="16"/>
      <c r="H375" s="16"/>
      <c r="I375" s="7"/>
      <c r="J375" s="16"/>
      <c r="K375" s="7"/>
    </row>
    <row r="376" spans="2:11">
      <c r="B376" s="15"/>
      <c r="C376" s="16"/>
      <c r="D376" s="16"/>
      <c r="E376" s="16"/>
      <c r="F376" s="16"/>
      <c r="G376" s="16"/>
      <c r="H376" s="16"/>
      <c r="I376" s="7"/>
      <c r="J376" s="16"/>
      <c r="K376" s="7"/>
    </row>
    <row r="377" spans="2:11">
      <c r="B377" s="15"/>
      <c r="C377" s="16"/>
      <c r="D377" s="16"/>
      <c r="E377" s="16"/>
      <c r="F377" s="16"/>
      <c r="G377" s="16"/>
      <c r="H377" s="16"/>
      <c r="I377" s="7"/>
      <c r="J377" s="16"/>
      <c r="K377" s="7"/>
    </row>
    <row r="378" spans="2:11">
      <c r="B378" s="15"/>
      <c r="C378" s="16"/>
      <c r="D378" s="16"/>
      <c r="E378" s="16"/>
      <c r="F378" s="16"/>
      <c r="G378" s="16"/>
      <c r="H378" s="16"/>
      <c r="I378" s="7"/>
      <c r="J378" s="16"/>
      <c r="K378" s="7"/>
    </row>
    <row r="379" spans="2:11">
      <c r="B379" s="15"/>
      <c r="C379" s="16"/>
      <c r="D379" s="16"/>
      <c r="E379" s="16"/>
      <c r="F379" s="16"/>
      <c r="G379" s="16"/>
      <c r="H379" s="16"/>
      <c r="I379" s="7"/>
      <c r="J379" s="16"/>
      <c r="K379" s="7"/>
    </row>
    <row r="380" spans="2:11">
      <c r="B380" s="15"/>
      <c r="C380" s="16"/>
      <c r="D380" s="16"/>
      <c r="E380" s="16"/>
      <c r="F380" s="16"/>
      <c r="G380" s="16"/>
      <c r="H380" s="16"/>
      <c r="I380" s="7"/>
      <c r="J380" s="16"/>
      <c r="K380" s="7"/>
    </row>
    <row r="381" spans="2:11">
      <c r="B381" s="15"/>
      <c r="C381" s="16"/>
      <c r="D381" s="16"/>
      <c r="E381" s="16"/>
      <c r="F381" s="16"/>
      <c r="G381" s="16"/>
      <c r="H381" s="16"/>
      <c r="I381" s="7"/>
      <c r="J381" s="16"/>
      <c r="K381" s="7"/>
    </row>
    <row r="382" spans="2:11">
      <c r="B382" s="15"/>
      <c r="C382" s="16"/>
      <c r="D382" s="16"/>
      <c r="E382" s="16"/>
      <c r="F382" s="16"/>
      <c r="G382" s="16"/>
      <c r="H382" s="16"/>
      <c r="I382" s="7"/>
      <c r="J382" s="16"/>
      <c r="K382" s="7"/>
    </row>
    <row r="383" spans="2:11">
      <c r="B383" s="15"/>
      <c r="C383" s="16"/>
      <c r="D383" s="16"/>
      <c r="E383" s="16"/>
      <c r="F383" s="16"/>
      <c r="G383" s="16"/>
      <c r="H383" s="16"/>
      <c r="I383" s="7"/>
      <c r="J383" s="16"/>
      <c r="K383" s="7"/>
    </row>
    <row r="384" spans="2:11">
      <c r="B384" s="15"/>
      <c r="C384" s="16"/>
      <c r="D384" s="16"/>
      <c r="E384" s="16"/>
      <c r="F384" s="16"/>
      <c r="G384" s="16"/>
      <c r="H384" s="16"/>
      <c r="I384" s="7"/>
      <c r="J384" s="16"/>
      <c r="K384" s="7"/>
    </row>
    <row r="385" spans="2:11">
      <c r="B385" s="15"/>
      <c r="C385" s="16"/>
      <c r="D385" s="16"/>
      <c r="E385" s="16"/>
      <c r="F385" s="16"/>
      <c r="G385" s="16"/>
      <c r="H385" s="16"/>
      <c r="I385" s="7"/>
      <c r="J385" s="16"/>
      <c r="K385" s="7"/>
    </row>
    <row r="386" spans="2:11">
      <c r="B386" s="15"/>
      <c r="C386" s="16"/>
      <c r="D386" s="16"/>
      <c r="E386" s="16"/>
      <c r="F386" s="16"/>
      <c r="G386" s="16"/>
      <c r="H386" s="16"/>
      <c r="I386" s="7"/>
      <c r="J386" s="16"/>
      <c r="K386" s="7"/>
    </row>
    <row r="387" spans="2:11">
      <c r="B387" s="15"/>
      <c r="C387" s="16"/>
      <c r="D387" s="16"/>
      <c r="E387" s="16"/>
      <c r="F387" s="16"/>
      <c r="G387" s="16"/>
      <c r="H387" s="16"/>
      <c r="I387" s="7"/>
      <c r="J387" s="16"/>
      <c r="K387" s="7"/>
    </row>
    <row r="388" spans="2:11">
      <c r="B388" s="15"/>
      <c r="C388" s="16"/>
      <c r="D388" s="16"/>
      <c r="E388" s="16"/>
      <c r="F388" s="16"/>
      <c r="G388" s="16"/>
      <c r="H388" s="16"/>
      <c r="I388" s="7"/>
      <c r="J388" s="16"/>
      <c r="K388" s="7"/>
    </row>
    <row r="389" spans="2:11">
      <c r="B389" s="15"/>
      <c r="C389" s="16"/>
      <c r="D389" s="16"/>
      <c r="E389" s="16"/>
      <c r="F389" s="16"/>
      <c r="G389" s="16"/>
      <c r="H389" s="16"/>
      <c r="I389" s="7"/>
      <c r="J389" s="16"/>
      <c r="K389" s="7"/>
    </row>
    <row r="390" spans="2:11">
      <c r="B390" s="15"/>
      <c r="C390" s="16"/>
      <c r="D390" s="16"/>
      <c r="E390" s="16"/>
      <c r="F390" s="16"/>
      <c r="G390" s="16"/>
      <c r="H390" s="16"/>
      <c r="I390" s="7"/>
      <c r="J390" s="16"/>
      <c r="K390" s="7"/>
    </row>
    <row r="391" spans="2:11">
      <c r="B391" s="15"/>
      <c r="C391" s="16"/>
      <c r="D391" s="16"/>
      <c r="E391" s="16"/>
      <c r="F391" s="16"/>
      <c r="G391" s="16"/>
      <c r="H391" s="16"/>
      <c r="I391" s="7"/>
      <c r="J391" s="16"/>
      <c r="K391" s="7"/>
    </row>
    <row r="392" spans="2:11">
      <c r="B392" s="15"/>
      <c r="C392" s="16"/>
      <c r="D392" s="16"/>
      <c r="E392" s="16"/>
      <c r="F392" s="16"/>
      <c r="G392" s="16"/>
      <c r="H392" s="16"/>
      <c r="I392" s="7"/>
      <c r="J392" s="16"/>
      <c r="K392" s="7"/>
    </row>
    <row r="393" spans="2:11">
      <c r="B393" s="15"/>
      <c r="C393" s="16"/>
      <c r="D393" s="16"/>
      <c r="E393" s="16"/>
      <c r="F393" s="16"/>
      <c r="G393" s="16"/>
      <c r="H393" s="16"/>
      <c r="I393" s="7"/>
      <c r="J393" s="16"/>
      <c r="K393" s="7"/>
    </row>
    <row r="394" spans="2:11">
      <c r="B394" s="15"/>
      <c r="C394" s="16"/>
      <c r="D394" s="16"/>
      <c r="E394" s="16"/>
      <c r="F394" s="16"/>
      <c r="G394" s="16"/>
      <c r="H394" s="16"/>
      <c r="I394" s="7"/>
      <c r="J394" s="16"/>
      <c r="K394" s="7"/>
    </row>
    <row r="395" spans="2:11">
      <c r="B395" s="15"/>
      <c r="C395" s="16"/>
      <c r="D395" s="16"/>
      <c r="E395" s="16"/>
      <c r="F395" s="16"/>
      <c r="G395" s="16"/>
      <c r="H395" s="16"/>
      <c r="I395" s="7"/>
      <c r="J395" s="16"/>
      <c r="K395" s="7"/>
    </row>
    <row r="396" spans="2:11">
      <c r="B396" s="15"/>
      <c r="C396" s="16"/>
      <c r="D396" s="16"/>
      <c r="E396" s="16"/>
      <c r="F396" s="16"/>
      <c r="G396" s="16"/>
      <c r="H396" s="16"/>
      <c r="I396" s="7"/>
      <c r="J396" s="16"/>
      <c r="K396" s="7"/>
    </row>
    <row r="397" spans="2:11">
      <c r="B397" s="15"/>
      <c r="C397" s="16"/>
      <c r="D397" s="16"/>
      <c r="E397" s="16"/>
      <c r="F397" s="16"/>
      <c r="G397" s="16"/>
      <c r="H397" s="16"/>
      <c r="I397" s="7"/>
      <c r="J397" s="16"/>
      <c r="K397" s="7"/>
    </row>
    <row r="398" spans="2:11">
      <c r="B398" s="15"/>
      <c r="C398" s="16"/>
      <c r="D398" s="16"/>
      <c r="E398" s="16"/>
      <c r="F398" s="16"/>
      <c r="G398" s="16"/>
      <c r="H398" s="16"/>
      <c r="I398" s="7"/>
      <c r="J398" s="16"/>
      <c r="K398" s="7"/>
    </row>
    <row r="399" spans="2:11">
      <c r="B399" s="15"/>
      <c r="C399" s="16"/>
      <c r="D399" s="16"/>
      <c r="E399" s="16"/>
      <c r="F399" s="16"/>
      <c r="G399" s="16"/>
      <c r="H399" s="16"/>
      <c r="I399" s="7"/>
      <c r="J399" s="16"/>
      <c r="K399" s="7"/>
    </row>
    <row r="400" spans="2:11">
      <c r="B400" s="15"/>
      <c r="C400" s="16"/>
      <c r="D400" s="16"/>
      <c r="E400" s="16"/>
      <c r="F400" s="16"/>
      <c r="G400" s="16"/>
      <c r="H400" s="16"/>
      <c r="I400" s="7"/>
      <c r="J400" s="16"/>
      <c r="K400" s="7"/>
    </row>
    <row r="401" spans="2:11">
      <c r="B401" s="15"/>
      <c r="C401" s="16"/>
      <c r="D401" s="16"/>
      <c r="E401" s="16"/>
      <c r="F401" s="16"/>
      <c r="G401" s="16"/>
      <c r="H401" s="16"/>
      <c r="I401" s="7"/>
      <c r="J401" s="16"/>
      <c r="K401" s="7"/>
    </row>
    <row r="402" spans="2:11">
      <c r="B402" s="15"/>
      <c r="C402" s="16"/>
      <c r="D402" s="16"/>
      <c r="E402" s="16"/>
      <c r="F402" s="16"/>
      <c r="G402" s="16"/>
      <c r="H402" s="16"/>
      <c r="I402" s="7"/>
      <c r="J402" s="16"/>
      <c r="K402" s="7"/>
    </row>
    <row r="403" spans="2:11">
      <c r="B403" s="15"/>
      <c r="C403" s="16"/>
      <c r="D403" s="16"/>
      <c r="E403" s="16"/>
      <c r="F403" s="16"/>
      <c r="G403" s="16"/>
      <c r="H403" s="16"/>
      <c r="I403" s="7"/>
      <c r="J403" s="16"/>
      <c r="K403" s="7"/>
    </row>
    <row r="404" spans="2:11">
      <c r="B404" s="15"/>
      <c r="C404" s="16"/>
      <c r="D404" s="16"/>
      <c r="E404" s="16"/>
      <c r="F404" s="16"/>
      <c r="G404" s="16"/>
      <c r="H404" s="16"/>
      <c r="I404" s="7"/>
      <c r="J404" s="16"/>
      <c r="K404" s="7"/>
    </row>
    <row r="405" spans="2:11">
      <c r="B405" s="15"/>
      <c r="C405" s="16"/>
      <c r="D405" s="16"/>
      <c r="E405" s="16"/>
      <c r="F405" s="16"/>
      <c r="G405" s="16"/>
      <c r="H405" s="16"/>
      <c r="I405" s="7"/>
      <c r="J405" s="16"/>
      <c r="K405" s="7"/>
    </row>
    <row r="406" spans="2:11">
      <c r="B406" s="15"/>
      <c r="C406" s="16"/>
      <c r="D406" s="16"/>
      <c r="E406" s="16"/>
      <c r="F406" s="16"/>
      <c r="G406" s="16"/>
      <c r="H406" s="16"/>
      <c r="I406" s="7"/>
      <c r="J406" s="16"/>
      <c r="K406" s="7"/>
    </row>
    <row r="407" spans="2:11">
      <c r="B407" s="15"/>
      <c r="C407" s="16"/>
      <c r="D407" s="16"/>
      <c r="E407" s="16"/>
      <c r="F407" s="16"/>
      <c r="G407" s="16"/>
      <c r="H407" s="16"/>
      <c r="I407" s="7"/>
      <c r="J407" s="16"/>
      <c r="K407" s="7"/>
    </row>
    <row r="408" spans="2:11">
      <c r="B408" s="15"/>
      <c r="C408" s="16"/>
      <c r="D408" s="16"/>
      <c r="E408" s="16"/>
      <c r="F408" s="16"/>
      <c r="G408" s="16"/>
      <c r="H408" s="16"/>
      <c r="I408" s="7"/>
      <c r="J408" s="16"/>
      <c r="K408" s="7"/>
    </row>
    <row r="409" spans="2:11">
      <c r="B409" s="15"/>
      <c r="C409" s="16"/>
      <c r="D409" s="16"/>
      <c r="E409" s="16"/>
      <c r="F409" s="16"/>
      <c r="G409" s="16"/>
      <c r="H409" s="16"/>
      <c r="I409" s="7"/>
      <c r="J409" s="16"/>
      <c r="K409" s="7"/>
    </row>
    <row r="410" spans="2:11">
      <c r="B410" s="15"/>
      <c r="C410" s="16"/>
      <c r="D410" s="16"/>
      <c r="E410" s="16"/>
      <c r="F410" s="16"/>
      <c r="G410" s="16"/>
      <c r="H410" s="16"/>
      <c r="I410" s="7"/>
      <c r="J410" s="16"/>
      <c r="K410" s="7"/>
    </row>
    <row r="411" spans="2:11">
      <c r="B411" s="15"/>
      <c r="C411" s="16"/>
      <c r="D411" s="16"/>
      <c r="E411" s="16"/>
      <c r="F411" s="16"/>
      <c r="G411" s="16"/>
      <c r="H411" s="16"/>
      <c r="I411" s="7"/>
      <c r="J411" s="16"/>
      <c r="K411" s="7"/>
    </row>
    <row r="412" spans="2:11">
      <c r="B412" s="15"/>
      <c r="C412" s="16"/>
      <c r="D412" s="16"/>
      <c r="E412" s="16"/>
      <c r="F412" s="16"/>
      <c r="G412" s="16"/>
      <c r="H412" s="16"/>
      <c r="I412" s="7"/>
      <c r="J412" s="16"/>
      <c r="K412" s="7"/>
    </row>
    <row r="413" spans="2:11">
      <c r="B413" s="15"/>
      <c r="C413" s="16"/>
      <c r="D413" s="16"/>
      <c r="E413" s="16"/>
      <c r="F413" s="16"/>
      <c r="G413" s="16"/>
      <c r="H413" s="16"/>
      <c r="I413" s="7"/>
      <c r="J413" s="16"/>
      <c r="K413" s="7"/>
    </row>
    <row r="414" spans="2:11">
      <c r="B414" s="15"/>
      <c r="C414" s="16"/>
      <c r="D414" s="16"/>
      <c r="E414" s="16"/>
      <c r="F414" s="16"/>
      <c r="G414" s="16"/>
      <c r="H414" s="16"/>
      <c r="I414" s="7"/>
      <c r="J414" s="16"/>
      <c r="K414" s="7"/>
    </row>
    <row r="415" spans="2:11">
      <c r="B415" s="15"/>
      <c r="C415" s="16"/>
      <c r="D415" s="16"/>
      <c r="E415" s="16"/>
      <c r="F415" s="16"/>
      <c r="G415" s="16"/>
      <c r="H415" s="16"/>
      <c r="I415" s="7"/>
      <c r="J415" s="16"/>
      <c r="K415" s="7"/>
    </row>
    <row r="416" spans="2:11">
      <c r="B416" s="15"/>
      <c r="C416" s="16"/>
      <c r="D416" s="16"/>
      <c r="E416" s="16"/>
      <c r="F416" s="16"/>
      <c r="G416" s="16"/>
      <c r="H416" s="16"/>
      <c r="I416" s="7"/>
      <c r="J416" s="16"/>
      <c r="K416" s="7"/>
    </row>
    <row r="417" spans="2:11">
      <c r="B417" s="15"/>
      <c r="C417" s="16"/>
      <c r="D417" s="16"/>
      <c r="E417" s="16"/>
      <c r="F417" s="16"/>
      <c r="G417" s="16"/>
      <c r="H417" s="16"/>
      <c r="I417" s="7"/>
      <c r="J417" s="16"/>
      <c r="K417" s="7"/>
    </row>
    <row r="418" spans="2:11">
      <c r="B418" s="15"/>
      <c r="C418" s="16"/>
      <c r="D418" s="16"/>
      <c r="E418" s="16"/>
      <c r="F418" s="16"/>
      <c r="G418" s="16"/>
      <c r="H418" s="16"/>
      <c r="I418" s="7"/>
      <c r="J418" s="16"/>
      <c r="K418" s="7"/>
    </row>
    <row r="419" spans="2:11">
      <c r="B419" s="15"/>
      <c r="C419" s="16"/>
      <c r="D419" s="16"/>
      <c r="E419" s="16"/>
      <c r="F419" s="16"/>
      <c r="G419" s="16"/>
      <c r="H419" s="16"/>
      <c r="I419" s="7"/>
      <c r="J419" s="16"/>
      <c r="K419" s="7"/>
    </row>
    <row r="420" spans="2:11">
      <c r="B420" s="15"/>
      <c r="C420" s="16"/>
      <c r="D420" s="16"/>
      <c r="E420" s="16"/>
      <c r="F420" s="16"/>
      <c r="G420" s="16"/>
      <c r="H420" s="16"/>
      <c r="I420" s="7"/>
      <c r="J420" s="16"/>
      <c r="K420" s="7"/>
    </row>
    <row r="421" spans="2:11">
      <c r="B421" s="15"/>
      <c r="C421" s="16"/>
      <c r="D421" s="16"/>
      <c r="E421" s="16"/>
      <c r="F421" s="16"/>
      <c r="G421" s="16"/>
      <c r="H421" s="16"/>
      <c r="I421" s="7"/>
      <c r="J421" s="16"/>
      <c r="K421" s="7"/>
    </row>
    <row r="422" spans="2:11">
      <c r="B422" s="15"/>
      <c r="C422" s="16"/>
      <c r="D422" s="16"/>
      <c r="E422" s="16"/>
      <c r="F422" s="16"/>
      <c r="G422" s="16"/>
      <c r="H422" s="16"/>
      <c r="I422" s="7"/>
      <c r="J422" s="16"/>
      <c r="K422" s="7"/>
    </row>
    <row r="423" spans="2:11">
      <c r="B423" s="15"/>
      <c r="C423" s="16"/>
      <c r="D423" s="16"/>
      <c r="E423" s="16"/>
      <c r="F423" s="16"/>
      <c r="G423" s="16"/>
      <c r="H423" s="16"/>
      <c r="I423" s="7"/>
      <c r="J423" s="16"/>
      <c r="K423" s="7"/>
    </row>
    <row r="424" spans="2:11">
      <c r="B424" s="15"/>
      <c r="C424" s="16"/>
      <c r="D424" s="16"/>
      <c r="E424" s="16"/>
      <c r="F424" s="16"/>
      <c r="G424" s="16"/>
      <c r="H424" s="16"/>
      <c r="I424" s="7"/>
      <c r="J424" s="16"/>
      <c r="K424" s="7"/>
    </row>
    <row r="425" spans="2:11">
      <c r="B425" s="15"/>
      <c r="C425" s="16"/>
      <c r="D425" s="16"/>
      <c r="E425" s="16"/>
      <c r="F425" s="16"/>
      <c r="G425" s="16"/>
      <c r="H425" s="16"/>
      <c r="I425" s="7"/>
      <c r="J425" s="16"/>
      <c r="K425" s="7"/>
    </row>
    <row r="426" spans="2:11">
      <c r="B426" s="15"/>
      <c r="C426" s="16"/>
      <c r="D426" s="16"/>
      <c r="E426" s="16"/>
      <c r="F426" s="16"/>
      <c r="G426" s="16"/>
      <c r="H426" s="16"/>
      <c r="I426" s="7"/>
      <c r="J426" s="16"/>
      <c r="K426" s="7"/>
    </row>
    <row r="427" spans="2:11">
      <c r="B427" s="15"/>
      <c r="C427" s="16"/>
      <c r="D427" s="16"/>
      <c r="E427" s="16"/>
      <c r="F427" s="16"/>
      <c r="G427" s="16"/>
      <c r="H427" s="16"/>
      <c r="I427" s="7"/>
      <c r="J427" s="16"/>
      <c r="K427" s="7"/>
    </row>
    <row r="428" spans="2:11">
      <c r="B428" s="15"/>
      <c r="C428" s="16"/>
      <c r="D428" s="16"/>
      <c r="E428" s="16"/>
      <c r="F428" s="16"/>
      <c r="G428" s="16"/>
      <c r="H428" s="16"/>
      <c r="I428" s="7"/>
      <c r="J428" s="16"/>
      <c r="K428" s="7"/>
    </row>
    <row r="429" spans="2:11">
      <c r="B429" s="15"/>
      <c r="C429" s="16"/>
      <c r="D429" s="16"/>
      <c r="E429" s="16"/>
      <c r="F429" s="16"/>
      <c r="G429" s="16"/>
      <c r="H429" s="16"/>
      <c r="I429" s="7"/>
      <c r="J429" s="16"/>
      <c r="K429" s="7"/>
    </row>
    <row r="430" spans="2:11">
      <c r="B430" s="15"/>
      <c r="C430" s="16"/>
      <c r="D430" s="16"/>
      <c r="E430" s="16"/>
      <c r="F430" s="16"/>
      <c r="G430" s="16"/>
      <c r="H430" s="16"/>
      <c r="I430" s="7"/>
      <c r="J430" s="16"/>
      <c r="K430" s="7"/>
    </row>
    <row r="431" spans="2:11">
      <c r="B431" s="15"/>
      <c r="C431" s="16"/>
      <c r="D431" s="16"/>
      <c r="E431" s="16"/>
      <c r="F431" s="16"/>
      <c r="G431" s="16"/>
      <c r="H431" s="16"/>
      <c r="I431" s="7"/>
      <c r="J431" s="16"/>
      <c r="K431" s="7"/>
    </row>
    <row r="432" spans="2:11">
      <c r="B432" s="15"/>
      <c r="C432" s="16"/>
      <c r="D432" s="16"/>
      <c r="E432" s="16"/>
      <c r="F432" s="16"/>
      <c r="G432" s="16"/>
      <c r="H432" s="16"/>
      <c r="I432" s="7"/>
      <c r="J432" s="16"/>
      <c r="K432" s="7"/>
    </row>
    <row r="433" spans="2:11">
      <c r="B433" s="15"/>
      <c r="C433" s="16"/>
      <c r="D433" s="16"/>
      <c r="E433" s="16"/>
      <c r="F433" s="16"/>
      <c r="G433" s="16"/>
      <c r="H433" s="16"/>
      <c r="I433" s="7"/>
      <c r="J433" s="16"/>
      <c r="K433" s="7"/>
    </row>
    <row r="434" spans="2:11">
      <c r="B434" s="15"/>
      <c r="C434" s="16"/>
      <c r="D434" s="16"/>
      <c r="E434" s="16"/>
      <c r="F434" s="16"/>
      <c r="G434" s="16"/>
      <c r="H434" s="16"/>
      <c r="I434" s="7"/>
      <c r="J434" s="16"/>
      <c r="K434" s="7"/>
    </row>
    <row r="435" spans="2:11">
      <c r="B435" s="15"/>
      <c r="C435" s="16"/>
      <c r="D435" s="16"/>
      <c r="E435" s="16"/>
      <c r="F435" s="16"/>
      <c r="G435" s="16"/>
      <c r="H435" s="16"/>
      <c r="I435" s="7"/>
      <c r="J435" s="16"/>
      <c r="K435" s="7"/>
    </row>
    <row r="436" spans="2:11">
      <c r="B436" s="15"/>
      <c r="C436" s="16"/>
      <c r="D436" s="16"/>
      <c r="E436" s="16"/>
      <c r="F436" s="16"/>
      <c r="G436" s="16"/>
      <c r="H436" s="16"/>
      <c r="I436" s="7"/>
      <c r="J436" s="16"/>
      <c r="K436" s="7"/>
    </row>
    <row r="437" spans="2:11">
      <c r="B437" s="15"/>
      <c r="C437" s="16"/>
      <c r="D437" s="16"/>
      <c r="E437" s="16"/>
      <c r="F437" s="16"/>
      <c r="G437" s="16"/>
      <c r="H437" s="16"/>
      <c r="I437" s="7"/>
      <c r="J437" s="16"/>
      <c r="K437" s="7"/>
    </row>
    <row r="438" spans="2:11">
      <c r="B438" s="15"/>
      <c r="C438" s="16"/>
      <c r="D438" s="16"/>
      <c r="E438" s="16"/>
      <c r="F438" s="16"/>
      <c r="G438" s="16"/>
      <c r="H438" s="16"/>
      <c r="I438" s="7"/>
      <c r="J438" s="16"/>
      <c r="K438" s="7"/>
    </row>
    <row r="439" spans="2:11">
      <c r="B439" s="15"/>
      <c r="C439" s="16"/>
      <c r="D439" s="16"/>
      <c r="E439" s="16"/>
      <c r="F439" s="16"/>
      <c r="G439" s="16"/>
      <c r="H439" s="16"/>
      <c r="I439" s="7"/>
      <c r="J439" s="16"/>
      <c r="K439" s="7"/>
    </row>
    <row r="440" spans="2:11">
      <c r="B440" s="15"/>
      <c r="C440" s="16"/>
      <c r="D440" s="16"/>
      <c r="E440" s="16"/>
      <c r="F440" s="16"/>
      <c r="G440" s="16"/>
      <c r="H440" s="16"/>
      <c r="I440" s="7"/>
      <c r="J440" s="16"/>
      <c r="K440" s="7"/>
    </row>
    <row r="441" spans="2:11">
      <c r="B441" s="15"/>
      <c r="C441" s="16"/>
      <c r="D441" s="16"/>
      <c r="E441" s="16"/>
      <c r="F441" s="16"/>
      <c r="G441" s="16"/>
      <c r="H441" s="16"/>
      <c r="I441" s="7"/>
      <c r="J441" s="16"/>
      <c r="K441" s="7"/>
    </row>
    <row r="442" spans="2:11">
      <c r="B442" s="15"/>
      <c r="C442" s="16"/>
      <c r="D442" s="16"/>
      <c r="E442" s="16"/>
      <c r="F442" s="16"/>
      <c r="G442" s="16"/>
      <c r="H442" s="16"/>
      <c r="I442" s="7"/>
      <c r="J442" s="16"/>
      <c r="K442" s="7"/>
    </row>
    <row r="443" spans="2:11">
      <c r="B443" s="15"/>
      <c r="C443" s="16"/>
      <c r="D443" s="16"/>
      <c r="E443" s="16"/>
      <c r="F443" s="16"/>
      <c r="G443" s="16"/>
      <c r="H443" s="16"/>
      <c r="I443" s="7"/>
      <c r="J443" s="16"/>
      <c r="K443" s="7"/>
    </row>
    <row r="444" spans="2:11">
      <c r="B444" s="15"/>
      <c r="C444" s="16"/>
      <c r="D444" s="16"/>
      <c r="E444" s="16"/>
      <c r="F444" s="16"/>
      <c r="G444" s="16"/>
      <c r="H444" s="16"/>
      <c r="I444" s="7"/>
      <c r="J444" s="16"/>
      <c r="K444" s="7"/>
    </row>
    <row r="445" spans="2:11">
      <c r="B445" s="15"/>
      <c r="C445" s="16"/>
      <c r="D445" s="16"/>
      <c r="E445" s="16"/>
      <c r="F445" s="16"/>
      <c r="G445" s="16"/>
      <c r="H445" s="16"/>
      <c r="I445" s="7"/>
      <c r="J445" s="16"/>
      <c r="K445" s="7"/>
    </row>
    <row r="446" spans="2:11">
      <c r="B446" s="15"/>
      <c r="C446" s="16"/>
      <c r="D446" s="16"/>
      <c r="E446" s="16"/>
      <c r="F446" s="16"/>
      <c r="G446" s="16"/>
      <c r="H446" s="16"/>
      <c r="I446" s="7"/>
      <c r="J446" s="16"/>
      <c r="K446" s="7"/>
    </row>
    <row r="447" spans="2:11">
      <c r="B447" s="15"/>
      <c r="C447" s="16"/>
      <c r="D447" s="16"/>
      <c r="E447" s="16"/>
      <c r="F447" s="16"/>
      <c r="G447" s="16"/>
      <c r="H447" s="16"/>
      <c r="I447" s="7"/>
      <c r="J447" s="16"/>
      <c r="K447" s="7"/>
    </row>
    <row r="448" spans="2:11">
      <c r="B448" s="15"/>
      <c r="C448" s="16"/>
      <c r="D448" s="16"/>
      <c r="E448" s="16"/>
      <c r="F448" s="16"/>
      <c r="G448" s="16"/>
      <c r="H448" s="16"/>
      <c r="I448" s="7"/>
      <c r="J448" s="16"/>
      <c r="K448" s="7"/>
    </row>
    <row r="449" spans="2:11">
      <c r="B449" s="15"/>
      <c r="C449" s="16"/>
      <c r="D449" s="16"/>
      <c r="E449" s="16"/>
      <c r="F449" s="16"/>
      <c r="G449" s="16"/>
      <c r="H449" s="16"/>
      <c r="I449" s="7"/>
      <c r="J449" s="16"/>
      <c r="K449" s="7"/>
    </row>
    <row r="450" spans="2:11">
      <c r="B450" s="15"/>
      <c r="C450" s="16"/>
      <c r="D450" s="16"/>
      <c r="E450" s="16"/>
      <c r="F450" s="16"/>
      <c r="G450" s="16"/>
      <c r="H450" s="16"/>
      <c r="I450" s="7"/>
      <c r="J450" s="16"/>
      <c r="K450" s="7"/>
    </row>
    <row r="451" spans="2:11">
      <c r="B451" s="15"/>
      <c r="C451" s="16"/>
      <c r="D451" s="16"/>
      <c r="E451" s="16"/>
      <c r="F451" s="16"/>
      <c r="G451" s="16"/>
      <c r="H451" s="16"/>
      <c r="I451" s="7"/>
      <c r="J451" s="16"/>
      <c r="K451" s="7"/>
    </row>
    <row r="452" spans="2:11">
      <c r="B452" s="15"/>
      <c r="C452" s="16"/>
      <c r="D452" s="16"/>
      <c r="E452" s="16"/>
      <c r="F452" s="16"/>
      <c r="G452" s="16"/>
      <c r="H452" s="16"/>
      <c r="I452" s="7"/>
      <c r="J452" s="16"/>
      <c r="K452" s="7"/>
    </row>
    <row r="453" spans="2:11">
      <c r="B453" s="15"/>
      <c r="C453" s="16"/>
      <c r="D453" s="16"/>
      <c r="E453" s="16"/>
      <c r="F453" s="16"/>
      <c r="G453" s="16"/>
      <c r="H453" s="16"/>
      <c r="I453" s="7"/>
      <c r="J453" s="16"/>
      <c r="K453" s="7"/>
    </row>
    <row r="454" spans="2:11">
      <c r="B454" s="15"/>
      <c r="C454" s="16"/>
      <c r="D454" s="16"/>
      <c r="E454" s="16"/>
      <c r="F454" s="16"/>
      <c r="G454" s="16"/>
      <c r="H454" s="16"/>
      <c r="I454" s="7"/>
      <c r="J454" s="16"/>
      <c r="K454" s="7"/>
    </row>
    <row r="455" spans="2:11">
      <c r="B455" s="15"/>
      <c r="C455" s="16"/>
      <c r="D455" s="16"/>
      <c r="E455" s="16"/>
      <c r="F455" s="16"/>
      <c r="G455" s="16"/>
      <c r="H455" s="16"/>
      <c r="I455" s="7"/>
      <c r="J455" s="16"/>
      <c r="K455" s="7"/>
    </row>
    <row r="456" spans="2:11">
      <c r="B456" s="15"/>
      <c r="C456" s="16"/>
      <c r="D456" s="16"/>
      <c r="E456" s="16"/>
      <c r="F456" s="16"/>
      <c r="G456" s="16"/>
      <c r="H456" s="16"/>
      <c r="I456" s="7"/>
      <c r="J456" s="16"/>
      <c r="K456" s="7"/>
    </row>
    <row r="457" spans="2:11">
      <c r="B457" s="15"/>
      <c r="C457" s="16"/>
      <c r="D457" s="16"/>
      <c r="E457" s="16"/>
      <c r="F457" s="16"/>
      <c r="G457" s="16"/>
      <c r="H457" s="16"/>
      <c r="I457" s="7"/>
      <c r="J457" s="16"/>
      <c r="K457" s="7"/>
    </row>
    <row r="458" spans="2:11">
      <c r="B458" s="15"/>
      <c r="C458" s="16"/>
      <c r="D458" s="16"/>
      <c r="E458" s="16"/>
      <c r="F458" s="16"/>
      <c r="G458" s="16"/>
      <c r="H458" s="16"/>
      <c r="I458" s="7"/>
      <c r="J458" s="16"/>
      <c r="K458" s="7"/>
    </row>
    <row r="459" spans="2:11">
      <c r="B459" s="15"/>
      <c r="C459" s="16"/>
      <c r="D459" s="16"/>
      <c r="E459" s="16"/>
      <c r="F459" s="16"/>
      <c r="G459" s="16"/>
      <c r="H459" s="16"/>
      <c r="I459" s="7"/>
      <c r="J459" s="16"/>
      <c r="K459" s="7"/>
    </row>
    <row r="460" spans="2:11">
      <c r="B460" s="15"/>
      <c r="C460" s="16"/>
      <c r="D460" s="16"/>
      <c r="E460" s="16"/>
      <c r="F460" s="16"/>
      <c r="G460" s="16"/>
      <c r="H460" s="16"/>
      <c r="I460" s="7"/>
      <c r="J460" s="16"/>
      <c r="K460" s="7"/>
    </row>
    <row r="461" spans="2:11">
      <c r="B461" s="15"/>
      <c r="C461" s="16"/>
      <c r="D461" s="16"/>
      <c r="E461" s="16"/>
      <c r="F461" s="16"/>
      <c r="G461" s="16"/>
      <c r="H461" s="16"/>
      <c r="I461" s="7"/>
      <c r="J461" s="16"/>
      <c r="K461" s="7"/>
    </row>
    <row r="462" spans="2:11">
      <c r="B462" s="15"/>
      <c r="C462" s="16"/>
      <c r="D462" s="16"/>
      <c r="E462" s="16"/>
      <c r="F462" s="16"/>
      <c r="G462" s="16"/>
      <c r="H462" s="16"/>
      <c r="I462" s="7"/>
      <c r="J462" s="16"/>
      <c r="K462" s="7"/>
    </row>
    <row r="463" spans="2:11">
      <c r="B463" s="15"/>
      <c r="C463" s="16"/>
      <c r="D463" s="16"/>
      <c r="E463" s="16"/>
      <c r="F463" s="16"/>
      <c r="G463" s="16"/>
      <c r="H463" s="16"/>
      <c r="I463" s="7"/>
      <c r="J463" s="16"/>
      <c r="K463" s="7"/>
    </row>
    <row r="464" spans="2:11">
      <c r="B464" s="15"/>
      <c r="C464" s="16"/>
      <c r="D464" s="16"/>
      <c r="E464" s="16"/>
      <c r="F464" s="16"/>
      <c r="G464" s="16"/>
      <c r="H464" s="16"/>
      <c r="I464" s="7"/>
      <c r="J464" s="16"/>
      <c r="K464" s="7"/>
    </row>
    <row r="465" spans="2:11">
      <c r="B465" s="15"/>
      <c r="C465" s="16"/>
      <c r="D465" s="16"/>
      <c r="E465" s="16"/>
      <c r="F465" s="16"/>
      <c r="G465" s="16"/>
      <c r="H465" s="16"/>
      <c r="I465" s="7"/>
      <c r="J465" s="16"/>
      <c r="K465" s="7"/>
    </row>
    <row r="466" spans="2:11">
      <c r="B466" s="15"/>
      <c r="C466" s="16"/>
      <c r="D466" s="16"/>
      <c r="E466" s="16"/>
      <c r="F466" s="16"/>
      <c r="G466" s="16"/>
      <c r="H466" s="16"/>
      <c r="I466" s="7"/>
      <c r="J466" s="16"/>
      <c r="K466" s="7"/>
    </row>
    <row r="467" spans="2:11">
      <c r="B467" s="15"/>
      <c r="C467" s="16"/>
      <c r="D467" s="16"/>
      <c r="E467" s="16"/>
      <c r="F467" s="16"/>
      <c r="G467" s="16"/>
      <c r="H467" s="16"/>
      <c r="I467" s="7"/>
      <c r="J467" s="16"/>
      <c r="K467" s="7"/>
    </row>
    <row r="468" spans="2:11">
      <c r="B468" s="15"/>
      <c r="C468" s="16"/>
      <c r="D468" s="16"/>
      <c r="E468" s="16"/>
      <c r="F468" s="16"/>
      <c r="G468" s="16"/>
      <c r="H468" s="16"/>
      <c r="I468" s="7"/>
      <c r="J468" s="16"/>
      <c r="K468" s="7"/>
    </row>
    <row r="469" spans="2:11">
      <c r="B469" s="15"/>
      <c r="C469" s="16"/>
      <c r="D469" s="16"/>
      <c r="E469" s="16"/>
      <c r="F469" s="16"/>
      <c r="G469" s="16"/>
      <c r="H469" s="16"/>
      <c r="I469" s="7"/>
      <c r="J469" s="16"/>
      <c r="K469" s="7"/>
    </row>
    <row r="470" spans="2:11">
      <c r="B470" s="15"/>
      <c r="C470" s="16"/>
      <c r="D470" s="16"/>
      <c r="E470" s="16"/>
      <c r="F470" s="16"/>
      <c r="G470" s="16"/>
      <c r="H470" s="16"/>
      <c r="I470" s="7"/>
      <c r="J470" s="16"/>
      <c r="K470" s="7"/>
    </row>
    <row r="471" spans="2:11">
      <c r="B471" s="15"/>
      <c r="C471" s="16"/>
      <c r="D471" s="16"/>
      <c r="E471" s="16"/>
      <c r="F471" s="16"/>
      <c r="G471" s="16"/>
      <c r="H471" s="16"/>
      <c r="I471" s="7"/>
      <c r="J471" s="16"/>
      <c r="K471" s="7"/>
    </row>
    <row r="472" spans="2:11">
      <c r="B472" s="15"/>
      <c r="C472" s="16"/>
      <c r="D472" s="16"/>
      <c r="E472" s="16"/>
      <c r="F472" s="16"/>
      <c r="G472" s="16"/>
      <c r="H472" s="16"/>
      <c r="I472" s="7"/>
      <c r="J472" s="16"/>
      <c r="K472" s="7"/>
    </row>
    <row r="473" spans="2:11">
      <c r="B473" s="15"/>
      <c r="C473" s="16"/>
      <c r="D473" s="16"/>
      <c r="E473" s="16"/>
      <c r="F473" s="16"/>
      <c r="G473" s="16"/>
      <c r="H473" s="16"/>
      <c r="I473" s="7"/>
      <c r="J473" s="16"/>
      <c r="K473" s="7"/>
    </row>
    <row r="474" spans="2:11">
      <c r="B474" s="15"/>
      <c r="C474" s="16"/>
      <c r="D474" s="16"/>
      <c r="E474" s="16"/>
      <c r="F474" s="16"/>
      <c r="G474" s="16"/>
      <c r="H474" s="16"/>
      <c r="I474" s="7"/>
      <c r="J474" s="16"/>
      <c r="K474" s="7"/>
    </row>
    <row r="475" spans="2:11">
      <c r="B475" s="15"/>
      <c r="C475" s="16"/>
      <c r="D475" s="16"/>
      <c r="E475" s="16"/>
      <c r="F475" s="16"/>
      <c r="G475" s="16"/>
      <c r="H475" s="16"/>
      <c r="I475" s="7"/>
      <c r="J475" s="16"/>
      <c r="K475" s="7"/>
    </row>
    <row r="476" spans="2:11">
      <c r="B476" s="15"/>
      <c r="C476" s="16"/>
      <c r="D476" s="16"/>
      <c r="E476" s="16"/>
      <c r="F476" s="16"/>
      <c r="G476" s="16"/>
      <c r="H476" s="16"/>
      <c r="I476" s="7"/>
      <c r="J476" s="16"/>
      <c r="K476" s="7"/>
    </row>
    <row r="477" spans="2:11">
      <c r="B477" s="15"/>
      <c r="C477" s="16"/>
      <c r="D477" s="16"/>
      <c r="E477" s="16"/>
      <c r="F477" s="16"/>
      <c r="G477" s="16"/>
      <c r="H477" s="16"/>
      <c r="I477" s="7"/>
      <c r="J477" s="16"/>
      <c r="K477" s="7"/>
    </row>
    <row r="478" spans="2:11">
      <c r="B478" s="15"/>
      <c r="C478" s="16"/>
      <c r="D478" s="16"/>
      <c r="E478" s="16"/>
      <c r="F478" s="16"/>
      <c r="G478" s="16"/>
      <c r="H478" s="16"/>
      <c r="I478" s="7"/>
      <c r="J478" s="16"/>
      <c r="K478" s="7"/>
    </row>
    <row r="479" spans="2:11">
      <c r="B479" s="15"/>
      <c r="C479" s="16"/>
      <c r="D479" s="16"/>
      <c r="E479" s="16"/>
      <c r="F479" s="16"/>
      <c r="G479" s="16"/>
      <c r="H479" s="16"/>
      <c r="I479" s="7"/>
      <c r="J479" s="16"/>
      <c r="K479" s="7"/>
    </row>
    <row r="480" spans="2:11">
      <c r="B480" s="15"/>
      <c r="C480" s="16"/>
      <c r="D480" s="16"/>
      <c r="E480" s="16"/>
      <c r="F480" s="16"/>
      <c r="G480" s="16"/>
      <c r="H480" s="16"/>
      <c r="I480" s="7"/>
      <c r="J480" s="16"/>
      <c r="K480" s="7"/>
    </row>
    <row r="481" spans="2:11">
      <c r="B481" s="15"/>
      <c r="C481" s="16"/>
      <c r="D481" s="16"/>
      <c r="E481" s="16"/>
      <c r="F481" s="16"/>
      <c r="G481" s="16"/>
      <c r="H481" s="16"/>
      <c r="I481" s="7"/>
      <c r="J481" s="16"/>
      <c r="K481" s="7"/>
    </row>
    <row r="482" spans="2:11">
      <c r="B482" s="15"/>
      <c r="C482" s="16"/>
      <c r="D482" s="16"/>
      <c r="E482" s="16"/>
      <c r="F482" s="16"/>
      <c r="G482" s="16"/>
      <c r="H482" s="16"/>
      <c r="I482" s="7"/>
      <c r="J482" s="16"/>
      <c r="K482" s="7"/>
    </row>
    <row r="483" spans="2:11">
      <c r="B483" s="15"/>
      <c r="C483" s="16"/>
      <c r="D483" s="16"/>
      <c r="E483" s="16"/>
      <c r="F483" s="16"/>
      <c r="G483" s="16"/>
      <c r="H483" s="16"/>
      <c r="I483" s="7"/>
      <c r="J483" s="16"/>
      <c r="K483" s="7"/>
    </row>
    <row r="484" spans="2:11">
      <c r="B484" s="15"/>
      <c r="C484" s="16"/>
      <c r="D484" s="16"/>
      <c r="E484" s="16"/>
      <c r="F484" s="16"/>
      <c r="G484" s="16"/>
      <c r="H484" s="16"/>
      <c r="I484" s="7"/>
      <c r="J484" s="16"/>
      <c r="K484" s="7"/>
    </row>
    <row r="485" spans="2:11">
      <c r="B485" s="15"/>
      <c r="C485" s="16"/>
      <c r="D485" s="16"/>
      <c r="E485" s="16"/>
      <c r="F485" s="16"/>
      <c r="G485" s="16"/>
      <c r="H485" s="16"/>
      <c r="I485" s="7"/>
      <c r="J485" s="16"/>
      <c r="K485" s="7"/>
    </row>
    <row r="486" spans="2:11">
      <c r="B486" s="15"/>
      <c r="C486" s="16"/>
      <c r="D486" s="16"/>
      <c r="E486" s="16"/>
      <c r="F486" s="16"/>
      <c r="G486" s="16"/>
      <c r="H486" s="16"/>
      <c r="I486" s="7"/>
      <c r="J486" s="16"/>
      <c r="K486" s="7"/>
    </row>
    <row r="487" spans="2:11">
      <c r="B487" s="15"/>
      <c r="C487" s="16"/>
      <c r="D487" s="16"/>
      <c r="E487" s="16"/>
      <c r="F487" s="16"/>
      <c r="G487" s="16"/>
      <c r="H487" s="16"/>
      <c r="I487" s="7"/>
      <c r="J487" s="16"/>
      <c r="K487" s="7"/>
    </row>
    <row r="488" spans="2:11">
      <c r="B488" s="15"/>
      <c r="C488" s="16"/>
      <c r="D488" s="16"/>
      <c r="E488" s="16"/>
      <c r="F488" s="16"/>
      <c r="G488" s="16"/>
      <c r="H488" s="16"/>
      <c r="I488" s="7"/>
      <c r="J488" s="16"/>
      <c r="K488" s="7"/>
    </row>
    <row r="489" spans="2:11">
      <c r="B489" s="15"/>
      <c r="C489" s="16"/>
      <c r="D489" s="16"/>
      <c r="E489" s="16"/>
      <c r="F489" s="16"/>
      <c r="G489" s="16"/>
      <c r="H489" s="16"/>
      <c r="I489" s="7"/>
      <c r="J489" s="16"/>
      <c r="K489" s="7"/>
    </row>
    <row r="490" spans="2:11">
      <c r="B490" s="15"/>
      <c r="C490" s="16"/>
      <c r="D490" s="16"/>
      <c r="E490" s="16"/>
      <c r="F490" s="16"/>
      <c r="G490" s="16"/>
      <c r="H490" s="16"/>
      <c r="I490" s="7"/>
      <c r="J490" s="16"/>
      <c r="K490" s="7"/>
    </row>
    <row r="491" spans="2:11">
      <c r="B491" s="15"/>
      <c r="C491" s="16"/>
      <c r="D491" s="16"/>
      <c r="E491" s="16"/>
      <c r="F491" s="16"/>
      <c r="G491" s="16"/>
      <c r="H491" s="16"/>
      <c r="I491" s="7"/>
      <c r="J491" s="16"/>
      <c r="K491" s="7"/>
    </row>
    <row r="492" spans="2:11">
      <c r="B492" s="15"/>
      <c r="C492" s="16"/>
      <c r="D492" s="16"/>
      <c r="E492" s="16"/>
      <c r="F492" s="16"/>
      <c r="G492" s="16"/>
      <c r="H492" s="16"/>
      <c r="I492" s="7"/>
      <c r="J492" s="16"/>
      <c r="K492" s="7"/>
    </row>
    <row r="493" spans="2:11">
      <c r="B493" s="15"/>
      <c r="C493" s="16"/>
      <c r="D493" s="16"/>
      <c r="E493" s="16"/>
      <c r="F493" s="16"/>
      <c r="G493" s="16"/>
      <c r="H493" s="16"/>
      <c r="I493" s="7"/>
      <c r="J493" s="16"/>
      <c r="K493" s="7"/>
    </row>
    <row r="494" spans="2:11">
      <c r="B494" s="15"/>
      <c r="C494" s="16"/>
      <c r="D494" s="16"/>
      <c r="E494" s="16"/>
      <c r="F494" s="16"/>
      <c r="G494" s="16"/>
      <c r="H494" s="16"/>
      <c r="I494" s="7"/>
      <c r="J494" s="16"/>
      <c r="K494" s="7"/>
    </row>
    <row r="495" spans="2:11">
      <c r="B495" s="15"/>
      <c r="C495" s="16"/>
      <c r="D495" s="16"/>
      <c r="E495" s="16"/>
      <c r="F495" s="16"/>
      <c r="G495" s="16"/>
      <c r="H495" s="16"/>
      <c r="I495" s="7"/>
      <c r="J495" s="16"/>
      <c r="K495" s="7"/>
    </row>
    <row r="496" spans="2:11">
      <c r="B496" s="15"/>
      <c r="C496" s="16"/>
      <c r="D496" s="16"/>
      <c r="E496" s="16"/>
      <c r="F496" s="16"/>
      <c r="G496" s="16"/>
      <c r="H496" s="16"/>
      <c r="I496" s="7"/>
      <c r="J496" s="16"/>
      <c r="K496" s="7"/>
    </row>
    <row r="497" spans="2:11">
      <c r="B497" s="15"/>
      <c r="C497" s="16"/>
      <c r="D497" s="16"/>
      <c r="E497" s="16"/>
      <c r="F497" s="16"/>
      <c r="G497" s="16"/>
      <c r="H497" s="16"/>
      <c r="I497" s="7"/>
      <c r="J497" s="16"/>
      <c r="K497" s="7"/>
    </row>
    <row r="498" spans="2:11">
      <c r="B498" s="15"/>
      <c r="C498" s="16"/>
      <c r="D498" s="16"/>
      <c r="E498" s="16"/>
      <c r="F498" s="16"/>
      <c r="G498" s="16"/>
      <c r="H498" s="16"/>
      <c r="I498" s="7"/>
      <c r="J498" s="16"/>
      <c r="K498" s="7"/>
    </row>
  </sheetData>
  <mergeCells count="18">
    <mergeCell ref="M87:M88"/>
    <mergeCell ref="N87:N88"/>
    <mergeCell ref="O87:O88"/>
    <mergeCell ref="P87:P88"/>
    <mergeCell ref="R80:W90"/>
    <mergeCell ref="M18:O20"/>
    <mergeCell ref="P18:S20"/>
    <mergeCell ref="M13:S13"/>
    <mergeCell ref="M17:S17"/>
    <mergeCell ref="M85:M86"/>
    <mergeCell ref="N85:N86"/>
    <mergeCell ref="O85:O86"/>
    <mergeCell ref="P85:P86"/>
    <mergeCell ref="M2:S2"/>
    <mergeCell ref="M10:O12"/>
    <mergeCell ref="P10:S12"/>
    <mergeCell ref="M14:O16"/>
    <mergeCell ref="P14:S16"/>
  </mergeCells>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15E4-102B-4CA5-A8B7-A830F01F4BBA}">
  <dimension ref="A1:AE746"/>
  <sheetViews>
    <sheetView tabSelected="1" zoomScale="85" zoomScaleNormal="85" workbookViewId="0">
      <selection activeCell="U8" sqref="U8"/>
    </sheetView>
  </sheetViews>
  <sheetFormatPr defaultColWidth="8.77734375" defaultRowHeight="14.4"/>
  <cols>
    <col min="1" max="1" width="13.77734375" style="1" customWidth="1"/>
    <col min="2" max="2" width="12.44140625" customWidth="1"/>
    <col min="3" max="3" width="11" customWidth="1"/>
    <col min="4" max="4" width="11.77734375" customWidth="1"/>
    <col min="5" max="5" width="12.109375" customWidth="1"/>
    <col min="6" max="6" width="15.6640625" customWidth="1"/>
    <col min="7" max="7" width="13.77734375" customWidth="1"/>
    <col min="8" max="8" width="14" customWidth="1"/>
    <col min="9" max="9" width="13.77734375" customWidth="1"/>
    <col min="10" max="10" width="16.109375" customWidth="1"/>
    <col min="11" max="11" width="14.44140625" customWidth="1"/>
    <col min="12" max="12" width="15.109375" customWidth="1"/>
    <col min="13" max="16" width="14.44140625" customWidth="1"/>
    <col min="18" max="18" width="40.77734375" customWidth="1"/>
    <col min="19" max="19" width="17" customWidth="1"/>
    <col min="20" max="20" width="12.77734375" customWidth="1"/>
    <col min="21" max="21" width="14.33203125" customWidth="1"/>
    <col min="22" max="22" width="14" customWidth="1"/>
    <col min="23" max="23" width="12.33203125" customWidth="1"/>
    <col min="24" max="24" width="14.6640625" customWidth="1"/>
    <col min="25" max="25" width="16.44140625" customWidth="1"/>
    <col min="26" max="26" width="15.44140625" customWidth="1"/>
    <col min="27" max="27" width="12.44140625" customWidth="1"/>
    <col min="28" max="28" width="6.77734375" customWidth="1"/>
    <col min="29" max="29" width="31.77734375" customWidth="1"/>
    <col min="30" max="30" width="14.109375" customWidth="1"/>
  </cols>
  <sheetData>
    <row r="1" spans="1:31" ht="18">
      <c r="A1" s="103"/>
      <c r="B1" s="220" t="s">
        <v>256</v>
      </c>
      <c r="C1" s="221"/>
      <c r="D1" s="221"/>
      <c r="E1" s="221"/>
      <c r="F1" s="221"/>
      <c r="G1" s="222"/>
      <c r="H1" s="223" t="s">
        <v>257</v>
      </c>
      <c r="I1" s="224"/>
      <c r="J1" s="224"/>
      <c r="K1" s="224"/>
      <c r="L1" s="224"/>
      <c r="M1" s="224"/>
      <c r="N1" s="225"/>
      <c r="O1" s="20"/>
      <c r="P1" s="20"/>
      <c r="AC1" s="226" t="s">
        <v>268</v>
      </c>
      <c r="AD1" s="227"/>
      <c r="AE1" s="46">
        <v>6.5000000000000002E-2</v>
      </c>
    </row>
    <row r="2" spans="1:31" ht="37.200000000000003" customHeight="1">
      <c r="A2" s="104" t="s">
        <v>252</v>
      </c>
      <c r="B2" s="100" t="s">
        <v>258</v>
      </c>
      <c r="C2" s="100" t="s">
        <v>349</v>
      </c>
      <c r="D2" s="100" t="s">
        <v>279</v>
      </c>
      <c r="E2" s="102" t="s">
        <v>260</v>
      </c>
      <c r="F2" s="100" t="s">
        <v>296</v>
      </c>
      <c r="G2" s="100" t="s">
        <v>261</v>
      </c>
      <c r="H2" s="100" t="s">
        <v>347</v>
      </c>
      <c r="I2" s="100" t="s">
        <v>380</v>
      </c>
      <c r="J2" s="100" t="s">
        <v>381</v>
      </c>
      <c r="K2" s="100" t="s">
        <v>382</v>
      </c>
      <c r="L2" s="100" t="s">
        <v>383</v>
      </c>
      <c r="M2" s="100" t="s">
        <v>348</v>
      </c>
      <c r="N2" s="100" t="s">
        <v>293</v>
      </c>
      <c r="O2" s="100" t="s">
        <v>333</v>
      </c>
      <c r="P2" s="101" t="s">
        <v>334</v>
      </c>
    </row>
    <row r="3" spans="1:31">
      <c r="A3" s="73">
        <v>44652</v>
      </c>
      <c r="B3" s="45">
        <v>1998.8</v>
      </c>
      <c r="C3" s="105">
        <v>1268.45</v>
      </c>
      <c r="D3" s="5">
        <v>53.85</v>
      </c>
      <c r="E3" s="5">
        <v>542.45000000000005</v>
      </c>
      <c r="F3" s="5">
        <v>251.45</v>
      </c>
      <c r="G3" s="5">
        <v>17670.45</v>
      </c>
      <c r="H3" s="5"/>
      <c r="I3" s="5"/>
      <c r="J3" s="5"/>
      <c r="K3" s="5"/>
      <c r="L3" s="5"/>
      <c r="M3" s="5"/>
      <c r="N3" s="5"/>
      <c r="O3" s="5"/>
      <c r="P3" s="79"/>
      <c r="AC3" s="229" t="s">
        <v>270</v>
      </c>
      <c r="AD3" s="229"/>
      <c r="AE3" s="176"/>
    </row>
    <row r="4" spans="1:31">
      <c r="A4" s="73">
        <v>44655</v>
      </c>
      <c r="B4" s="45">
        <v>2022.25</v>
      </c>
      <c r="C4" s="105">
        <v>1294.6500000000001</v>
      </c>
      <c r="D4" s="5">
        <v>54.4</v>
      </c>
      <c r="E4" s="5">
        <v>544.65</v>
      </c>
      <c r="F4" s="5">
        <v>271.55</v>
      </c>
      <c r="G4" s="5">
        <v>18053.400000000001</v>
      </c>
      <c r="H4" s="5">
        <f t="shared" ref="H4:M19" si="0">(B4 - B3) / B3</f>
        <v>1.1732039223534144E-2</v>
      </c>
      <c r="I4" s="5">
        <f t="shared" si="0"/>
        <v>2.0655130277109895E-2</v>
      </c>
      <c r="J4" s="5">
        <f t="shared" si="0"/>
        <v>1.0213556174558908E-2</v>
      </c>
      <c r="K4" s="5">
        <f t="shared" si="0"/>
        <v>4.0556733339477029E-3</v>
      </c>
      <c r="L4" s="5">
        <f t="shared" si="0"/>
        <v>7.9936369059455253E-2</v>
      </c>
      <c r="M4" s="5">
        <f t="shared" si="0"/>
        <v>2.1671774063478901E-2</v>
      </c>
      <c r="N4" s="5">
        <f>((H4 *0.3 ) + (I4 * 0.064462757 ) + (J4 * 0.026806099 ) + (K4 * 0.137093997) + (L4 * 0.471637147))</f>
        <v>4.3381853521491966E-2</v>
      </c>
      <c r="O4" s="5">
        <f t="shared" ref="O4:O67" si="1">$V$86*H4 +$V$87*I4 + $V$88*J4 + $V$89*K4+ $V$90*L4</f>
        <v>1.0327652064503496E-2</v>
      </c>
      <c r="P4" s="79">
        <f t="shared" ref="P4:P67" si="2">$V$104*H4 +$V$105*I4 + $V$106*J4 + $V$107*K4+ $V$108*L4</f>
        <v>1.0504624321003396E-2</v>
      </c>
      <c r="AC4" s="230" t="s">
        <v>271</v>
      </c>
      <c r="AD4" s="231"/>
      <c r="AE4" s="12">
        <v>100000</v>
      </c>
    </row>
    <row r="5" spans="1:31">
      <c r="A5" s="73">
        <v>44656</v>
      </c>
      <c r="B5" s="45">
        <v>2017.8</v>
      </c>
      <c r="C5" s="105">
        <v>1319.2</v>
      </c>
      <c r="D5" s="5">
        <v>56.05</v>
      </c>
      <c r="E5" s="5">
        <v>548.95000000000005</v>
      </c>
      <c r="F5" s="5">
        <v>274.25</v>
      </c>
      <c r="G5" s="5">
        <v>17957.400000000001</v>
      </c>
      <c r="H5" s="5">
        <f t="shared" si="0"/>
        <v>-2.2005192236370604E-3</v>
      </c>
      <c r="I5" s="5">
        <f t="shared" si="0"/>
        <v>1.8962653999150314E-2</v>
      </c>
      <c r="J5" s="5">
        <f t="shared" si="0"/>
        <v>3.0330882352941152E-2</v>
      </c>
      <c r="K5" s="5">
        <f t="shared" si="0"/>
        <v>7.8949784265125653E-3</v>
      </c>
      <c r="L5" s="5">
        <f t="shared" si="0"/>
        <v>9.9429202725096252E-3</v>
      </c>
      <c r="M5" s="5">
        <f>(G5 - G4) / G4</f>
        <v>-5.3175579115291296E-3</v>
      </c>
      <c r="N5" s="5">
        <f t="shared" ref="N5:N68" si="3">((H5 *0.3 ) + (I5 * 0.064462757 ) + (J5 * 0.026806099 ) + (K5 * 0.137093997) + (L5 * 0.471637147))</f>
        <v>7.14708652373576E-3</v>
      </c>
      <c r="O5" s="5">
        <f t="shared" si="1"/>
        <v>5.8585323729795922E-3</v>
      </c>
      <c r="P5" s="79">
        <f t="shared" si="2"/>
        <v>6.9431078141321727E-3</v>
      </c>
      <c r="AC5" s="230" t="s">
        <v>272</v>
      </c>
      <c r="AD5" s="231"/>
      <c r="AE5" s="12">
        <v>0</v>
      </c>
    </row>
    <row r="6" spans="1:31">
      <c r="A6" s="73">
        <v>44657</v>
      </c>
      <c r="B6" s="45">
        <v>2017.5</v>
      </c>
      <c r="C6" s="105">
        <v>1328.3</v>
      </c>
      <c r="D6" s="5">
        <v>56.75</v>
      </c>
      <c r="E6" s="5">
        <v>541.45000000000005</v>
      </c>
      <c r="F6" s="5">
        <v>273.05</v>
      </c>
      <c r="G6" s="5">
        <v>17807.650000000001</v>
      </c>
      <c r="H6" s="5">
        <f t="shared" si="0"/>
        <v>-1.4867677668745888E-4</v>
      </c>
      <c r="I6" s="5">
        <f t="shared" si="0"/>
        <v>6.898120072771307E-3</v>
      </c>
      <c r="J6" s="5">
        <f t="shared" si="0"/>
        <v>1.2488849241748491E-2</v>
      </c>
      <c r="K6" s="5">
        <f t="shared" si="0"/>
        <v>-1.3662446488751251E-2</v>
      </c>
      <c r="L6" s="5">
        <f t="shared" si="0"/>
        <v>-4.3755697356426208E-3</v>
      </c>
      <c r="M6" s="5">
        <f>(G6 - G5) / G5</f>
        <v>-8.3391805049728793E-3</v>
      </c>
      <c r="N6" s="5">
        <f t="shared" si="3"/>
        <v>-3.2018744903875278E-3</v>
      </c>
      <c r="O6" s="5">
        <f t="shared" si="1"/>
        <v>-5.7898045909451738E-3</v>
      </c>
      <c r="P6" s="79">
        <f t="shared" si="2"/>
        <v>-3.6581584261446E-3</v>
      </c>
      <c r="R6" s="188" t="s">
        <v>350</v>
      </c>
      <c r="AC6" s="230" t="s">
        <v>273</v>
      </c>
      <c r="AD6" s="231"/>
      <c r="AE6" s="12">
        <v>252</v>
      </c>
    </row>
    <row r="7" spans="1:31">
      <c r="A7" s="73">
        <v>44658</v>
      </c>
      <c r="B7" s="45">
        <v>1963.6</v>
      </c>
      <c r="C7" s="105">
        <v>1307.75</v>
      </c>
      <c r="D7" s="5">
        <v>56.55</v>
      </c>
      <c r="E7" s="5">
        <v>550.54999999999995</v>
      </c>
      <c r="F7" s="5">
        <v>275.64999999999998</v>
      </c>
      <c r="G7" s="5">
        <v>17639.55</v>
      </c>
      <c r="H7" s="5">
        <f t="shared" si="0"/>
        <v>-2.6716232961586168E-2</v>
      </c>
      <c r="I7" s="5">
        <f t="shared" si="0"/>
        <v>-1.547090265753215E-2</v>
      </c>
      <c r="J7" s="5">
        <f t="shared" si="0"/>
        <v>-3.5242290748899179E-3</v>
      </c>
      <c r="K7" s="5">
        <f t="shared" si="0"/>
        <v>1.680672268907546E-2</v>
      </c>
      <c r="L7" s="5">
        <f t="shared" si="0"/>
        <v>9.5220655557588935E-3</v>
      </c>
      <c r="M7" s="5">
        <f>(G7 - G6) / G6</f>
        <v>-9.4397632478177736E-3</v>
      </c>
      <c r="N7" s="5">
        <f t="shared" si="3"/>
        <v>-2.3115771383581387E-3</v>
      </c>
      <c r="O7" s="5">
        <f t="shared" si="1"/>
        <v>-3.0880161981928929E-3</v>
      </c>
      <c r="P7" s="79">
        <f t="shared" si="2"/>
        <v>-6.3624725308670874E-3</v>
      </c>
      <c r="R7" s="228"/>
      <c r="AC7" s="230" t="s">
        <v>274</v>
      </c>
      <c r="AD7" s="231"/>
      <c r="AE7" s="12">
        <v>5</v>
      </c>
    </row>
    <row r="8" spans="1:31">
      <c r="A8" s="73">
        <v>44659</v>
      </c>
      <c r="B8" s="45">
        <v>1967.5</v>
      </c>
      <c r="C8" s="105">
        <v>1269.6500000000001</v>
      </c>
      <c r="D8" s="5">
        <v>56.55</v>
      </c>
      <c r="E8" s="5">
        <v>556.95000000000005</v>
      </c>
      <c r="F8" s="5">
        <v>294.14999999999998</v>
      </c>
      <c r="G8" s="5">
        <v>17784.349999999999</v>
      </c>
      <c r="H8" s="5">
        <f t="shared" si="0"/>
        <v>1.986147891627669E-3</v>
      </c>
      <c r="I8" s="5">
        <f>(C8 - C7) / C7</f>
        <v>-2.913400879372962E-2</v>
      </c>
      <c r="J8" s="5">
        <f>(D8 - D7) / D7</f>
        <v>0</v>
      </c>
      <c r="K8" s="5">
        <f t="shared" si="0"/>
        <v>1.1624738897466336E-2</v>
      </c>
      <c r="L8" s="5">
        <f t="shared" si="0"/>
        <v>6.7114093959731544E-2</v>
      </c>
      <c r="M8" s="5">
        <f>(G8 - G7) / G7</f>
        <v>8.2088261888766598E-3</v>
      </c>
      <c r="N8" s="5">
        <f t="shared" si="3"/>
        <v>3.1964967556374999E-2</v>
      </c>
      <c r="O8" s="5">
        <f t="shared" si="1"/>
        <v>5.1317462822261777E-3</v>
      </c>
      <c r="P8" s="79">
        <f t="shared" si="2"/>
        <v>1.4570563957897265E-3</v>
      </c>
      <c r="R8" s="228"/>
      <c r="AC8" s="232" t="s">
        <v>275</v>
      </c>
      <c r="AD8" s="233"/>
      <c r="AE8" s="19" t="s">
        <v>276</v>
      </c>
    </row>
    <row r="9" spans="1:31">
      <c r="A9" s="73">
        <v>44662</v>
      </c>
      <c r="B9" s="45">
        <v>2019.75</v>
      </c>
      <c r="C9" s="105">
        <v>1280.9000000000001</v>
      </c>
      <c r="D9" s="5">
        <v>56.6</v>
      </c>
      <c r="E9" s="5">
        <v>552.4</v>
      </c>
      <c r="F9" s="5">
        <v>302</v>
      </c>
      <c r="G9" s="5">
        <v>17674.95</v>
      </c>
      <c r="H9" s="5">
        <f t="shared" si="0"/>
        <v>2.6556543837357054E-2</v>
      </c>
      <c r="I9" s="5">
        <f t="shared" si="0"/>
        <v>8.8607096443901849E-3</v>
      </c>
      <c r="J9" s="5">
        <f>(D9 - D8) / D8</f>
        <v>8.8417329796647683E-4</v>
      </c>
      <c r="K9" s="5">
        <f t="shared" si="0"/>
        <v>-8.1694945686328537E-3</v>
      </c>
      <c r="L9" s="5">
        <f t="shared" si="0"/>
        <v>2.6687064422913558E-2</v>
      </c>
      <c r="M9" s="5">
        <f t="shared" si="0"/>
        <v>-6.1514758762618721E-3</v>
      </c>
      <c r="N9" s="5">
        <f t="shared" si="3"/>
        <v>2.0028472423163923E-2</v>
      </c>
      <c r="O9" s="5">
        <f t="shared" si="1"/>
        <v>7.3334740509200056E-3</v>
      </c>
      <c r="P9" s="79">
        <f t="shared" si="2"/>
        <v>8.8040119310725477E-3</v>
      </c>
    </row>
    <row r="10" spans="1:31">
      <c r="A10" s="73">
        <v>44663</v>
      </c>
      <c r="B10" s="45">
        <v>1980.15</v>
      </c>
      <c r="C10" s="105">
        <v>1250.5</v>
      </c>
      <c r="D10" s="5">
        <v>55.25</v>
      </c>
      <c r="E10" s="5">
        <v>553.75</v>
      </c>
      <c r="F10" s="5">
        <v>328.8</v>
      </c>
      <c r="G10" s="5">
        <v>17530.3</v>
      </c>
      <c r="H10" s="5">
        <f t="shared" si="0"/>
        <v>-1.9606386929075334E-2</v>
      </c>
      <c r="I10" s="5">
        <f t="shared" si="0"/>
        <v>-2.3733312514638213E-2</v>
      </c>
      <c r="J10" s="5">
        <f t="shared" si="0"/>
        <v>-2.3851590106007091E-2</v>
      </c>
      <c r="K10" s="5">
        <f t="shared" si="0"/>
        <v>2.443881245474335E-3</v>
      </c>
      <c r="L10" s="5">
        <f t="shared" si="0"/>
        <v>8.8741721854304678E-2</v>
      </c>
      <c r="M10" s="5">
        <f t="shared" si="0"/>
        <v>-8.1838986814673567E-3</v>
      </c>
      <c r="N10" s="5">
        <f t="shared" si="3"/>
        <v>3.4137735041519394E-2</v>
      </c>
      <c r="O10" s="5">
        <f t="shared" si="1"/>
        <v>-6.9924306245685228E-3</v>
      </c>
      <c r="P10" s="79">
        <f t="shared" si="2"/>
        <v>-1.1027820827086175E-2</v>
      </c>
    </row>
    <row r="11" spans="1:31">
      <c r="A11" s="73">
        <v>44664</v>
      </c>
      <c r="B11" s="45">
        <v>1960.55</v>
      </c>
      <c r="C11" s="105">
        <v>1232.8</v>
      </c>
      <c r="D11" s="5">
        <v>54.7</v>
      </c>
      <c r="E11" s="5">
        <v>555.9</v>
      </c>
      <c r="F11" s="5">
        <v>315.3</v>
      </c>
      <c r="G11" s="5">
        <v>17475.650000000001</v>
      </c>
      <c r="H11" s="5">
        <f t="shared" si="0"/>
        <v>-9.8982400323208517E-3</v>
      </c>
      <c r="I11" s="5">
        <f t="shared" si="0"/>
        <v>-1.4154338264694158E-2</v>
      </c>
      <c r="J11" s="5">
        <f>(D11 - D10) / D10</f>
        <v>-9.9547511312216685E-3</v>
      </c>
      <c r="K11" s="5">
        <f t="shared" si="0"/>
        <v>3.8826185101579723E-3</v>
      </c>
      <c r="L11" s="5">
        <f t="shared" si="0"/>
        <v>-4.105839416058394E-2</v>
      </c>
      <c r="M11" s="5">
        <f t="shared" si="0"/>
        <v>-3.1174594844353958E-3</v>
      </c>
      <c r="N11" s="5">
        <f t="shared" si="3"/>
        <v>-2.2981127914008453E-2</v>
      </c>
      <c r="O11" s="5">
        <f t="shared" si="1"/>
        <v>-4.3082484446888576E-3</v>
      </c>
      <c r="P11" s="79">
        <f t="shared" si="2"/>
        <v>-5.3922099688753135E-3</v>
      </c>
    </row>
    <row r="12" spans="1:31" ht="28.8" customHeight="1">
      <c r="A12" s="73">
        <v>44669</v>
      </c>
      <c r="B12" s="45">
        <v>1969.9</v>
      </c>
      <c r="C12" s="105">
        <v>1223.5</v>
      </c>
      <c r="D12" s="5">
        <v>54.4</v>
      </c>
      <c r="E12" s="5">
        <v>562.70000000000005</v>
      </c>
      <c r="F12" s="5">
        <v>331.3</v>
      </c>
      <c r="G12" s="5">
        <v>17173.650000000001</v>
      </c>
      <c r="H12" s="5">
        <f t="shared" si="0"/>
        <v>4.7690699038535804E-3</v>
      </c>
      <c r="I12" s="5">
        <f t="shared" si="0"/>
        <v>-7.543802725502884E-3</v>
      </c>
      <c r="J12" s="5">
        <f>(D12 - D11) / D11</f>
        <v>-5.4844606946984325E-3</v>
      </c>
      <c r="K12" s="5">
        <f t="shared" si="0"/>
        <v>1.2232415902140796E-2</v>
      </c>
      <c r="L12" s="5">
        <f t="shared" si="0"/>
        <v>5.0745321915635903E-2</v>
      </c>
      <c r="M12" s="5">
        <f t="shared" si="0"/>
        <v>-1.7281188396425881E-2</v>
      </c>
      <c r="N12" s="5">
        <f t="shared" si="3"/>
        <v>2.6407779293740281E-2</v>
      </c>
      <c r="O12" s="5">
        <f t="shared" si="1"/>
        <v>7.9753836274020166E-3</v>
      </c>
      <c r="P12" s="79">
        <f t="shared" si="2"/>
        <v>5.5818324790947067E-3</v>
      </c>
      <c r="R12" s="106" t="s">
        <v>262</v>
      </c>
      <c r="S12" s="106" t="s">
        <v>280</v>
      </c>
      <c r="T12" s="106" t="s">
        <v>263</v>
      </c>
      <c r="U12" s="106" t="s">
        <v>264</v>
      </c>
      <c r="V12" s="106" t="s">
        <v>265</v>
      </c>
      <c r="W12" s="106" t="s">
        <v>266</v>
      </c>
      <c r="X12" s="106" t="s">
        <v>269</v>
      </c>
      <c r="Y12" s="106" t="s">
        <v>278</v>
      </c>
      <c r="Z12" s="106" t="s">
        <v>281</v>
      </c>
      <c r="AA12" s="106" t="s">
        <v>277</v>
      </c>
      <c r="AC12" s="202" t="s">
        <v>379</v>
      </c>
      <c r="AD12" s="203"/>
      <c r="AE12" s="204"/>
    </row>
    <row r="13" spans="1:31">
      <c r="A13" s="73">
        <v>44670</v>
      </c>
      <c r="B13" s="45">
        <v>1925.6</v>
      </c>
      <c r="C13" s="105">
        <v>1248.45</v>
      </c>
      <c r="D13" s="5">
        <v>53.55</v>
      </c>
      <c r="E13" s="5">
        <v>549</v>
      </c>
      <c r="F13" s="5">
        <v>313.14999999999998</v>
      </c>
      <c r="G13" s="5">
        <v>16958.650000000001</v>
      </c>
      <c r="H13" s="5">
        <f t="shared" si="0"/>
        <v>-2.2488451190415849E-2</v>
      </c>
      <c r="I13" s="5">
        <f t="shared" si="0"/>
        <v>2.0392317123007802E-2</v>
      </c>
      <c r="J13" s="5">
        <f>(D13 - D12) / D12</f>
        <v>-1.5625000000000028E-2</v>
      </c>
      <c r="K13" s="5">
        <f t="shared" si="0"/>
        <v>-2.4346898880398159E-2</v>
      </c>
      <c r="L13" s="5">
        <f t="shared" si="0"/>
        <v>-5.4784183519468864E-2</v>
      </c>
      <c r="M13" s="5">
        <f t="shared" si="0"/>
        <v>-1.2519179091224054E-2</v>
      </c>
      <c r="N13" s="5">
        <f t="shared" si="3"/>
        <v>-3.5026905368547689E-2</v>
      </c>
      <c r="O13" s="5">
        <f t="shared" si="1"/>
        <v>-1.9883555847102465E-2</v>
      </c>
      <c r="P13" s="79">
        <f t="shared" si="2"/>
        <v>-1.6610201371347971E-2</v>
      </c>
      <c r="R13" s="107" t="s">
        <v>258</v>
      </c>
      <c r="S13" s="108" t="s">
        <v>283</v>
      </c>
      <c r="T13" s="109">
        <f>B3</f>
        <v>1998.8</v>
      </c>
      <c r="U13" s="109">
        <f>B746</f>
        <v>1219.9000000000001</v>
      </c>
      <c r="V13" s="110">
        <f t="shared" ref="V13:V18" si="4">((U13/T13)^(1/3))-1</f>
        <v>-0.15176088194904447</v>
      </c>
      <c r="W13" s="110">
        <f>_xlfn.STDEV.S(H4:H746) * SQRT(252)</f>
        <v>0.21978440708475377</v>
      </c>
      <c r="X13" s="108">
        <f>(V13 - AE1) / W13</f>
        <v>-0.98624322272988474</v>
      </c>
      <c r="Y13" s="111">
        <v>128527540</v>
      </c>
      <c r="Z13" s="112">
        <f>(Y13 * T13) / 10000000</f>
        <v>25690.084695199999</v>
      </c>
      <c r="AA13" s="112">
        <v>0.3</v>
      </c>
      <c r="AC13" s="205"/>
      <c r="AD13" s="206"/>
      <c r="AE13" s="207"/>
    </row>
    <row r="14" spans="1:31">
      <c r="A14" s="73">
        <v>44671</v>
      </c>
      <c r="B14" s="45">
        <v>1923.9</v>
      </c>
      <c r="C14" s="105">
        <v>1265.9000000000001</v>
      </c>
      <c r="D14" s="5">
        <v>53.85</v>
      </c>
      <c r="E14" s="5">
        <v>550.29999999999995</v>
      </c>
      <c r="F14" s="5">
        <v>314.3</v>
      </c>
      <c r="G14" s="5">
        <v>17136.55</v>
      </c>
      <c r="H14" s="5">
        <f t="shared" si="0"/>
        <v>-8.8284171167418897E-4</v>
      </c>
      <c r="I14" s="5">
        <f t="shared" si="0"/>
        <v>1.3977331891545552E-2</v>
      </c>
      <c r="J14" s="5">
        <f>(D14 - D13) / D13</f>
        <v>5.6022408963586233E-3</v>
      </c>
      <c r="K14" s="5">
        <f t="shared" si="0"/>
        <v>2.3679417122039245E-3</v>
      </c>
      <c r="L14" s="5">
        <f t="shared" si="0"/>
        <v>3.6723614881048515E-3</v>
      </c>
      <c r="M14" s="5">
        <f t="shared" si="0"/>
        <v>1.049022180421188E-2</v>
      </c>
      <c r="N14" s="5">
        <f t="shared" si="3"/>
        <v>2.8429917488119387E-3</v>
      </c>
      <c r="O14" s="5">
        <f t="shared" si="1"/>
        <v>2.3745584379355942E-3</v>
      </c>
      <c r="P14" s="79">
        <f t="shared" si="2"/>
        <v>3.0401121157339391E-3</v>
      </c>
      <c r="R14" s="107" t="s">
        <v>349</v>
      </c>
      <c r="S14" s="113" t="s">
        <v>343</v>
      </c>
      <c r="T14" s="114">
        <f>C3</f>
        <v>1268.45</v>
      </c>
      <c r="U14" s="115">
        <f>C746</f>
        <v>5325.15</v>
      </c>
      <c r="V14" s="116">
        <f t="shared" si="4"/>
        <v>0.61319238867959891</v>
      </c>
      <c r="W14" s="116">
        <f>_xlfn.STDEV.S(I4:I746) * SQRT(252)</f>
        <v>0.33747949887997636</v>
      </c>
      <c r="X14" s="113">
        <f>(V14 - AE1) / W14</f>
        <v>1.6243724152102113</v>
      </c>
      <c r="Y14" s="117">
        <v>355487461</v>
      </c>
      <c r="Z14" s="115">
        <f>(Y14 * T14) / 10000000</f>
        <v>45091.806990545003</v>
      </c>
      <c r="AA14" s="115">
        <f>(Z14 / SUM(Z14:Z17)) * 0.7</f>
        <v>0.18579980208676128</v>
      </c>
      <c r="AC14" s="205"/>
      <c r="AD14" s="206"/>
      <c r="AE14" s="207"/>
    </row>
    <row r="15" spans="1:31">
      <c r="A15" s="73">
        <v>44672</v>
      </c>
      <c r="B15" s="45">
        <v>1948.4</v>
      </c>
      <c r="C15" s="105">
        <v>1285.8</v>
      </c>
      <c r="D15" s="5">
        <v>54.7</v>
      </c>
      <c r="E15" s="5">
        <v>561.85</v>
      </c>
      <c r="F15" s="5">
        <v>327.5</v>
      </c>
      <c r="G15" s="5">
        <v>17392.599999999999</v>
      </c>
      <c r="H15" s="5">
        <f t="shared" si="0"/>
        <v>1.2734549612765735E-2</v>
      </c>
      <c r="I15" s="5">
        <f t="shared" si="0"/>
        <v>1.5720041077494164E-2</v>
      </c>
      <c r="J15" s="5">
        <f t="shared" si="0"/>
        <v>1.578458681522751E-2</v>
      </c>
      <c r="K15" s="5">
        <f t="shared" si="0"/>
        <v>2.0988551699073359E-2</v>
      </c>
      <c r="L15" s="5">
        <f t="shared" si="0"/>
        <v>4.1998090995863789E-2</v>
      </c>
      <c r="M15" s="5">
        <f t="shared" si="0"/>
        <v>1.4941747317867323E-2</v>
      </c>
      <c r="N15" s="5">
        <f t="shared" si="3"/>
        <v>2.7942109529084023E-2</v>
      </c>
      <c r="O15" s="5">
        <f t="shared" si="1"/>
        <v>1.7758570974819036E-2</v>
      </c>
      <c r="P15" s="79">
        <f t="shared" si="2"/>
        <v>1.6814485053703861E-2</v>
      </c>
      <c r="R15" s="107" t="s">
        <v>279</v>
      </c>
      <c r="S15" s="108" t="s">
        <v>284</v>
      </c>
      <c r="T15" s="112">
        <f>D3</f>
        <v>53.85</v>
      </c>
      <c r="U15" s="109">
        <f>D746</f>
        <v>216.43</v>
      </c>
      <c r="V15" s="110">
        <f t="shared" si="4"/>
        <v>0.58992724179539269</v>
      </c>
      <c r="W15" s="110">
        <f>_xlfn.STDEV.S(J4:J746) * SQRT(252)</f>
        <v>0.43101738064482298</v>
      </c>
      <c r="X15" s="108">
        <f>(V15 - AE1) / W15</f>
        <v>1.2178795226542281</v>
      </c>
      <c r="Y15" s="111">
        <v>3482063355</v>
      </c>
      <c r="Z15" s="112">
        <f>(Y15 * T15) / 10000000</f>
        <v>18750.911166675</v>
      </c>
      <c r="AA15" s="112">
        <f>(Z15 / SUM(Z14:Z17)) * 0.7</f>
        <v>7.7262718356910731E-2</v>
      </c>
      <c r="AC15" s="205"/>
      <c r="AD15" s="206"/>
      <c r="AE15" s="207"/>
    </row>
    <row r="16" spans="1:31">
      <c r="A16" s="73">
        <v>44673</v>
      </c>
      <c r="B16" s="45">
        <v>1913</v>
      </c>
      <c r="C16" s="105">
        <v>1286.5999999999999</v>
      </c>
      <c r="D16" s="5">
        <v>53.95</v>
      </c>
      <c r="E16" s="5">
        <v>559.85</v>
      </c>
      <c r="F16" s="5">
        <v>327.45</v>
      </c>
      <c r="G16" s="5">
        <v>17171.95</v>
      </c>
      <c r="H16" s="5">
        <f t="shared" si="0"/>
        <v>-1.81687538493123E-2</v>
      </c>
      <c r="I16" s="5">
        <f t="shared" si="0"/>
        <v>6.2218074350595316E-4</v>
      </c>
      <c r="J16" s="5">
        <f t="shared" si="0"/>
        <v>-1.3711151736745886E-2</v>
      </c>
      <c r="K16" s="5">
        <f t="shared" si="0"/>
        <v>-3.5596689507875765E-3</v>
      </c>
      <c r="L16" s="5">
        <f t="shared" si="0"/>
        <v>-1.5267175572522557E-4</v>
      </c>
      <c r="M16" s="5">
        <f t="shared" si="0"/>
        <v>-1.2686429860975233E-2</v>
      </c>
      <c r="N16" s="5">
        <f t="shared" si="3"/>
        <v>-6.3380760753322099E-3</v>
      </c>
      <c r="O16" s="5">
        <f t="shared" si="1"/>
        <v>-8.7842355659078809E-3</v>
      </c>
      <c r="P16" s="79">
        <f t="shared" si="2"/>
        <v>-9.2310930609673502E-3</v>
      </c>
      <c r="R16" s="107" t="s">
        <v>260</v>
      </c>
      <c r="S16" s="113" t="s">
        <v>285</v>
      </c>
      <c r="T16" s="115">
        <f>E3</f>
        <v>542.45000000000005</v>
      </c>
      <c r="U16" s="115">
        <f>E746</f>
        <v>506.5</v>
      </c>
      <c r="V16" s="116">
        <f t="shared" si="4"/>
        <v>-2.2597950436143321E-2</v>
      </c>
      <c r="W16" s="116">
        <f>_xlfn.STDEV.S(K4:K746) * SQRT(252)</f>
        <v>0.20662302925574841</v>
      </c>
      <c r="X16" s="113">
        <f>(V16 - AE1) / W16</f>
        <v>-0.42395056713508272</v>
      </c>
      <c r="Y16" s="118">
        <v>1767858463</v>
      </c>
      <c r="Z16" s="115">
        <f>(Y16 * T16) / 10000000</f>
        <v>95897.482325435005</v>
      </c>
      <c r="AA16" s="115">
        <f>(Z16 / SUM(Z14:Z17)) * 0.7</f>
        <v>0.39514347341237827</v>
      </c>
      <c r="AC16" s="205"/>
      <c r="AD16" s="206"/>
      <c r="AE16" s="207"/>
    </row>
    <row r="17" spans="1:31">
      <c r="A17" s="73">
        <v>44676</v>
      </c>
      <c r="B17" s="45">
        <v>1910.2</v>
      </c>
      <c r="C17" s="105">
        <v>1237.45</v>
      </c>
      <c r="D17" s="5">
        <v>51.7</v>
      </c>
      <c r="E17" s="5">
        <v>551.29999999999995</v>
      </c>
      <c r="F17" s="5">
        <v>319</v>
      </c>
      <c r="G17" s="5">
        <v>16953.95</v>
      </c>
      <c r="H17" s="5">
        <f t="shared" si="0"/>
        <v>-1.4636696288551775E-3</v>
      </c>
      <c r="I17" s="5">
        <f t="shared" si="0"/>
        <v>-3.820146121560692E-2</v>
      </c>
      <c r="J17" s="5">
        <f t="shared" si="0"/>
        <v>-4.1705282669138088E-2</v>
      </c>
      <c r="K17" s="5">
        <f t="shared" si="0"/>
        <v>-1.5271947843172399E-2</v>
      </c>
      <c r="L17" s="5">
        <f t="shared" si="0"/>
        <v>-2.580546648343255E-2</v>
      </c>
      <c r="M17" s="5">
        <f t="shared" si="0"/>
        <v>-1.2695121986728355E-2</v>
      </c>
      <c r="N17" s="5">
        <f t="shared" si="3"/>
        <v>-1.8284137297141331E-2</v>
      </c>
      <c r="O17" s="5">
        <f t="shared" si="1"/>
        <v>-1.3275938718303317E-2</v>
      </c>
      <c r="P17" s="79">
        <f t="shared" si="2"/>
        <v>-1.4949161943878943E-2</v>
      </c>
      <c r="R17" s="107" t="s">
        <v>296</v>
      </c>
      <c r="S17" s="108" t="s">
        <v>297</v>
      </c>
      <c r="T17" s="112">
        <f>F3</f>
        <v>251.45</v>
      </c>
      <c r="U17" s="112">
        <f>F746</f>
        <v>2643.8</v>
      </c>
      <c r="V17" s="110">
        <f t="shared" si="4"/>
        <v>1.1907474730924492</v>
      </c>
      <c r="W17" s="110">
        <f>_xlfn.STDEV.S(L4:L746) * SQRT(252)</f>
        <v>0.64853918152050161</v>
      </c>
      <c r="X17" s="108">
        <f>(V17 - AE1) / W17</f>
        <v>1.7358202945474037</v>
      </c>
      <c r="Y17" s="119">
        <v>403380365</v>
      </c>
      <c r="Z17" s="112">
        <f>(Y17 * T17) / 10000000</f>
        <v>10142.999277925001</v>
      </c>
      <c r="AA17" s="112">
        <f>(Z17 / SUM(Z14:Z17)) * 0.7</f>
        <v>4.1794006143949604E-2</v>
      </c>
      <c r="AC17" s="205"/>
      <c r="AD17" s="206"/>
      <c r="AE17" s="207"/>
    </row>
    <row r="18" spans="1:31">
      <c r="A18" s="73">
        <v>44677</v>
      </c>
      <c r="B18" s="45">
        <v>1975.45</v>
      </c>
      <c r="C18" s="105">
        <v>1279.8499999999999</v>
      </c>
      <c r="D18" s="5">
        <v>52.95</v>
      </c>
      <c r="E18" s="5">
        <v>559.9</v>
      </c>
      <c r="F18" s="5">
        <v>315.2</v>
      </c>
      <c r="G18" s="5">
        <v>17200.8</v>
      </c>
      <c r="H18" s="5">
        <f t="shared" si="0"/>
        <v>3.4158726834886396E-2</v>
      </c>
      <c r="I18" s="5">
        <f t="shared" si="0"/>
        <v>3.4264010667097548E-2</v>
      </c>
      <c r="J18" s="5">
        <f t="shared" si="0"/>
        <v>2.4177949709864602E-2</v>
      </c>
      <c r="K18" s="5">
        <f t="shared" si="0"/>
        <v>1.5599492109559266E-2</v>
      </c>
      <c r="L18" s="5">
        <f t="shared" si="0"/>
        <v>-1.1912225705329189E-2</v>
      </c>
      <c r="M18" s="5">
        <f t="shared" si="0"/>
        <v>1.4560028783852643E-2</v>
      </c>
      <c r="N18" s="5">
        <f t="shared" si="3"/>
        <v>9.6248357358720074E-3</v>
      </c>
      <c r="O18" s="5">
        <f t="shared" si="1"/>
        <v>2.3858732799516523E-2</v>
      </c>
      <c r="P18" s="79">
        <f t="shared" si="2"/>
        <v>2.5976403323128922E-2</v>
      </c>
      <c r="R18" s="106" t="s">
        <v>267</v>
      </c>
      <c r="S18" s="120" t="s">
        <v>282</v>
      </c>
      <c r="T18" s="115">
        <f>G3</f>
        <v>17670.45</v>
      </c>
      <c r="U18" s="115">
        <v>23519.35</v>
      </c>
      <c r="V18" s="116">
        <f t="shared" si="4"/>
        <v>9.9999704569658565E-2</v>
      </c>
      <c r="W18" s="116">
        <f>_xlfn.STDEV.S(M4:M746) * SQRT(252)</f>
        <v>0.13058893288537399</v>
      </c>
      <c r="X18" s="113">
        <f>(V18 - AE1) / W18</f>
        <v>0.268014324003857</v>
      </c>
      <c r="Y18" s="115" t="s">
        <v>214</v>
      </c>
      <c r="Z18" s="115" t="s">
        <v>214</v>
      </c>
      <c r="AA18" s="115" t="s">
        <v>214</v>
      </c>
      <c r="AC18" s="205"/>
      <c r="AD18" s="206"/>
      <c r="AE18" s="207"/>
    </row>
    <row r="19" spans="1:31">
      <c r="A19" s="73">
        <v>44678</v>
      </c>
      <c r="B19" s="45">
        <v>1919.05</v>
      </c>
      <c r="C19" s="105">
        <v>1225</v>
      </c>
      <c r="D19" s="5">
        <v>52.6</v>
      </c>
      <c r="E19" s="5">
        <v>559.85</v>
      </c>
      <c r="F19" s="5">
        <v>309.89999999999998</v>
      </c>
      <c r="G19" s="5">
        <v>17038.400000000001</v>
      </c>
      <c r="H19" s="5">
        <f t="shared" si="0"/>
        <v>-2.8550456857931148E-2</v>
      </c>
      <c r="I19" s="5">
        <f t="shared" si="0"/>
        <v>-4.285658475602603E-2</v>
      </c>
      <c r="J19" s="5">
        <f t="shared" si="0"/>
        <v>-6.6100094428706594E-3</v>
      </c>
      <c r="K19" s="5">
        <f t="shared" si="0"/>
        <v>-8.9301661010813581E-5</v>
      </c>
      <c r="L19" s="5">
        <f t="shared" si="0"/>
        <v>-1.6814720812182778E-2</v>
      </c>
      <c r="M19" s="5">
        <f t="shared" si="0"/>
        <v>-9.4414213292403747E-3</v>
      </c>
      <c r="N19" s="5">
        <f t="shared" si="3"/>
        <v>-1.94476689069796E-2</v>
      </c>
      <c r="O19" s="5">
        <f t="shared" si="1"/>
        <v>-1.5219754939366028E-2</v>
      </c>
      <c r="P19" s="79">
        <f t="shared" si="2"/>
        <v>-1.8187877185966584E-2</v>
      </c>
      <c r="R19" s="1"/>
      <c r="S19" s="1"/>
      <c r="T19" s="1"/>
      <c r="U19" s="1"/>
      <c r="V19" s="1"/>
      <c r="W19" s="1"/>
      <c r="X19" s="1"/>
      <c r="Y19" s="1"/>
      <c r="Z19" s="1"/>
      <c r="AC19" s="205"/>
      <c r="AD19" s="206"/>
      <c r="AE19" s="207"/>
    </row>
    <row r="20" spans="1:31">
      <c r="A20" s="73">
        <v>44679</v>
      </c>
      <c r="B20" s="45">
        <v>1936.7</v>
      </c>
      <c r="C20" s="105">
        <v>1225.75</v>
      </c>
      <c r="D20" s="5">
        <v>53.8</v>
      </c>
      <c r="E20" s="5">
        <v>572.25</v>
      </c>
      <c r="F20" s="5">
        <v>310.05</v>
      </c>
      <c r="G20" s="5">
        <v>17245.05</v>
      </c>
      <c r="H20" s="5">
        <f t="shared" ref="H20:M62" si="5">(B20 - B19) / B19</f>
        <v>9.1972590604726765E-3</v>
      </c>
      <c r="I20" s="5">
        <f t="shared" si="5"/>
        <v>6.1224489795918364E-4</v>
      </c>
      <c r="J20" s="5">
        <f t="shared" si="5"/>
        <v>2.2813688212927674E-2</v>
      </c>
      <c r="K20" s="5">
        <f t="shared" si="5"/>
        <v>2.2148789854425251E-2</v>
      </c>
      <c r="L20" s="5">
        <f t="shared" si="5"/>
        <v>4.8402710551801912E-4</v>
      </c>
      <c r="M20" s="5">
        <f t="shared" si="5"/>
        <v>1.2128486242839574E-2</v>
      </c>
      <c r="N20" s="5">
        <f t="shared" si="3"/>
        <v>6.6749419899876997E-3</v>
      </c>
      <c r="O20" s="5">
        <f t="shared" si="1"/>
        <v>1.4854384034625558E-2</v>
      </c>
      <c r="P20" s="79">
        <f t="shared" si="2"/>
        <v>1.3708004863215656E-2</v>
      </c>
      <c r="AC20" s="205"/>
      <c r="AD20" s="206"/>
      <c r="AE20" s="207"/>
    </row>
    <row r="21" spans="1:31">
      <c r="A21" s="73">
        <v>44680</v>
      </c>
      <c r="B21" s="45">
        <v>1948.65</v>
      </c>
      <c r="C21" s="105">
        <v>1228.4000000000001</v>
      </c>
      <c r="D21" s="5">
        <v>52.65</v>
      </c>
      <c r="E21" s="5">
        <v>556.70000000000005</v>
      </c>
      <c r="F21" s="5">
        <v>300.2</v>
      </c>
      <c r="G21" s="5">
        <v>17102.55</v>
      </c>
      <c r="H21" s="5">
        <f t="shared" si="5"/>
        <v>6.170289667991968E-3</v>
      </c>
      <c r="I21" s="5">
        <f t="shared" si="5"/>
        <v>2.1619416683663806E-3</v>
      </c>
      <c r="J21" s="5">
        <f t="shared" si="5"/>
        <v>-2.1375464684014845E-2</v>
      </c>
      <c r="K21" s="5">
        <f t="shared" si="5"/>
        <v>-2.7173438182612416E-2</v>
      </c>
      <c r="L21" s="5">
        <f t="shared" si="5"/>
        <v>-3.1769069504918632E-2</v>
      </c>
      <c r="M21" s="5">
        <f t="shared" si="5"/>
        <v>-8.2632407560430388E-3</v>
      </c>
      <c r="N21" s="5">
        <f t="shared" si="3"/>
        <v>-1.7291329758508316E-2</v>
      </c>
      <c r="O21" s="5">
        <f t="shared" si="1"/>
        <v>-1.1994065282347687E-2</v>
      </c>
      <c r="P21" s="79">
        <f t="shared" si="2"/>
        <v>-9.3861867566047349E-3</v>
      </c>
      <c r="R21" s="1"/>
      <c r="S21" s="1"/>
      <c r="T21" s="1"/>
      <c r="U21" s="1"/>
      <c r="V21" s="1"/>
      <c r="W21" s="1"/>
      <c r="X21" s="1"/>
      <c r="Y21" s="1"/>
      <c r="Z21" s="1"/>
      <c r="AC21" s="205"/>
      <c r="AD21" s="206"/>
      <c r="AE21" s="207"/>
    </row>
    <row r="22" spans="1:31">
      <c r="A22" s="73">
        <v>44683</v>
      </c>
      <c r="B22" s="45">
        <v>1967.8</v>
      </c>
      <c r="C22" s="105">
        <v>1220.2</v>
      </c>
      <c r="D22" s="5">
        <v>52.4</v>
      </c>
      <c r="E22" s="5">
        <v>557.20000000000005</v>
      </c>
      <c r="F22" s="5">
        <v>293.39999999999998</v>
      </c>
      <c r="G22" s="5">
        <v>17069.099999999999</v>
      </c>
      <c r="H22" s="5">
        <f t="shared" si="5"/>
        <v>9.8273163472146676E-3</v>
      </c>
      <c r="I22" s="5">
        <f t="shared" si="5"/>
        <v>-6.6753500488440616E-3</v>
      </c>
      <c r="J22" s="5">
        <f t="shared" si="5"/>
        <v>-4.7483380816714148E-3</v>
      </c>
      <c r="K22" s="5">
        <f t="shared" si="5"/>
        <v>8.9814981138853958E-4</v>
      </c>
      <c r="L22" s="5">
        <f t="shared" si="5"/>
        <v>-2.2651565622918094E-2</v>
      </c>
      <c r="M22" s="5">
        <f t="shared" si="5"/>
        <v>-1.9558486892305958E-3</v>
      </c>
      <c r="N22" s="5">
        <f t="shared" si="3"/>
        <v>-8.1695898225552423E-3</v>
      </c>
      <c r="O22" s="5">
        <f t="shared" si="1"/>
        <v>2.813528208212502E-3</v>
      </c>
      <c r="P22" s="79">
        <f t="shared" si="2"/>
        <v>2.7456801545541754E-3</v>
      </c>
      <c r="R22" s="211" t="s">
        <v>237</v>
      </c>
      <c r="S22" s="212"/>
      <c r="T22" s="123" t="s">
        <v>258</v>
      </c>
      <c r="U22" s="123" t="s">
        <v>349</v>
      </c>
      <c r="V22" s="123" t="s">
        <v>279</v>
      </c>
      <c r="W22" s="123" t="s">
        <v>260</v>
      </c>
      <c r="X22" s="124" t="s">
        <v>259</v>
      </c>
      <c r="Y22" s="123" t="s">
        <v>286</v>
      </c>
      <c r="Z22" s="124" t="s">
        <v>261</v>
      </c>
      <c r="AC22" s="205"/>
      <c r="AD22" s="206"/>
      <c r="AE22" s="207"/>
    </row>
    <row r="23" spans="1:31">
      <c r="A23" s="73">
        <v>44685</v>
      </c>
      <c r="B23" s="45">
        <v>1905.1</v>
      </c>
      <c r="C23" s="105">
        <v>1213.25</v>
      </c>
      <c r="D23" s="5">
        <v>52.35</v>
      </c>
      <c r="E23" s="5">
        <v>538.04999999999995</v>
      </c>
      <c r="F23" s="5">
        <v>293.89999999999998</v>
      </c>
      <c r="G23" s="5">
        <v>16677.599999999999</v>
      </c>
      <c r="H23" s="5">
        <f t="shared" si="5"/>
        <v>-3.1862994206728348E-2</v>
      </c>
      <c r="I23" s="5">
        <f t="shared" si="5"/>
        <v>-5.695787575807282E-3</v>
      </c>
      <c r="J23" s="5">
        <f t="shared" si="5"/>
        <v>-9.541984732823885E-4</v>
      </c>
      <c r="K23" s="5">
        <f t="shared" si="5"/>
        <v>-3.4368269921033902E-2</v>
      </c>
      <c r="L23" s="5">
        <f t="shared" si="5"/>
        <v>1.7041581458759375E-3</v>
      </c>
      <c r="M23" s="5">
        <f t="shared" si="5"/>
        <v>-2.2936182927043608E-2</v>
      </c>
      <c r="N23" s="5">
        <f t="shared" si="3"/>
        <v>-1.3859581978673518E-2</v>
      </c>
      <c r="O23" s="5">
        <f t="shared" si="1"/>
        <v>-2.9014322618582236E-2</v>
      </c>
      <c r="P23" s="79">
        <f t="shared" si="2"/>
        <v>-2.6825332437505327E-2</v>
      </c>
      <c r="R23" s="211" t="s">
        <v>287</v>
      </c>
      <c r="S23" s="212"/>
      <c r="T23" s="22">
        <f>AVERAGE(H:H)</f>
        <v>-5.6882340519698467E-4</v>
      </c>
      <c r="U23" s="22">
        <f>AVERAGE(I:I)</f>
        <v>2.1546938868838581E-3</v>
      </c>
      <c r="V23" s="22">
        <f>AVERAGE(J:J)</f>
        <v>2.2445613917093763E-3</v>
      </c>
      <c r="W23" s="22">
        <f>AVERAGE(K:K)</f>
        <v>-7.6549657790094724E-6</v>
      </c>
      <c r="X23" s="22">
        <f>AVERAGE(L:L)</f>
        <v>4.08932486053848E-3</v>
      </c>
      <c r="Y23" s="22">
        <f>AA13*T23 + AA14*U23 + AA15*V23 +AA16*W23 + AA17*X23</f>
        <v>5.7100004940309739E-4</v>
      </c>
      <c r="Z23" s="22">
        <f>AVERAGE(M:M)</f>
        <v>4.1877242522498986E-4</v>
      </c>
      <c r="AC23" s="205"/>
      <c r="AD23" s="206"/>
      <c r="AE23" s="207"/>
    </row>
    <row r="24" spans="1:31">
      <c r="A24" s="73">
        <v>44686</v>
      </c>
      <c r="B24" s="45">
        <v>1881.65</v>
      </c>
      <c r="C24" s="105">
        <v>1212.3499999999999</v>
      </c>
      <c r="D24" s="5">
        <v>53.85</v>
      </c>
      <c r="E24" s="5">
        <v>529.04999999999995</v>
      </c>
      <c r="F24" s="5">
        <v>288.10000000000002</v>
      </c>
      <c r="G24" s="5">
        <v>16682.650000000001</v>
      </c>
      <c r="H24" s="5">
        <f t="shared" si="5"/>
        <v>-1.2309065140937389E-2</v>
      </c>
      <c r="I24" s="5">
        <f t="shared" si="5"/>
        <v>-7.4180919019170902E-4</v>
      </c>
      <c r="J24" s="5">
        <f t="shared" si="5"/>
        <v>2.8653295128939826E-2</v>
      </c>
      <c r="K24" s="5">
        <f t="shared" si="5"/>
        <v>-1.6727069974909397E-2</v>
      </c>
      <c r="L24" s="5">
        <f t="shared" si="5"/>
        <v>-1.9734603606668781E-2</v>
      </c>
      <c r="M24" s="5">
        <f t="shared" si="5"/>
        <v>3.0280136230650159E-4</v>
      </c>
      <c r="N24" s="5">
        <f t="shared" si="3"/>
        <v>-1.4573208565130526E-2</v>
      </c>
      <c r="O24" s="5">
        <f t="shared" si="1"/>
        <v>-1.2402044465033067E-2</v>
      </c>
      <c r="P24" s="79">
        <f t="shared" si="2"/>
        <v>-9.9337082157749512E-3</v>
      </c>
      <c r="R24" s="211" t="s">
        <v>288</v>
      </c>
      <c r="S24" s="212"/>
      <c r="T24" s="125">
        <f>((U13/T13)^(1/3))-1</f>
        <v>-0.15176088194904447</v>
      </c>
      <c r="U24" s="125">
        <f>((U14/T14)^(1/3))-1</f>
        <v>0.61319238867959891</v>
      </c>
      <c r="V24" s="125">
        <f>((U15/T15)^(1/3))-1</f>
        <v>0.58992724179539269</v>
      </c>
      <c r="W24" s="125">
        <f>((U16/T16)^(1/3))-1</f>
        <v>-2.2597950436143321E-2</v>
      </c>
      <c r="X24" s="125">
        <f>((U17/T17)^(1/3))-1</f>
        <v>1.1907474730924492</v>
      </c>
      <c r="Y24" s="125">
        <f>AA13*T24 + AA14*U24 + AA15*V24 +AA16*W24 + AA17*X24</f>
        <v>0.154818816785951</v>
      </c>
      <c r="Z24" s="125">
        <f>((U18/T18)^(1/3))-1</f>
        <v>9.9999704569658565E-2</v>
      </c>
      <c r="AC24" s="205"/>
      <c r="AD24" s="206"/>
      <c r="AE24" s="207"/>
    </row>
    <row r="25" spans="1:31">
      <c r="A25" s="73">
        <v>44687</v>
      </c>
      <c r="B25" s="45">
        <v>1856.8</v>
      </c>
      <c r="C25" s="105">
        <v>1146.75</v>
      </c>
      <c r="D25" s="5">
        <v>51.05</v>
      </c>
      <c r="E25" s="5">
        <v>510.8</v>
      </c>
      <c r="F25" s="5">
        <v>284.3</v>
      </c>
      <c r="G25" s="5">
        <v>16411.25</v>
      </c>
      <c r="H25" s="5">
        <f t="shared" si="5"/>
        <v>-1.3206494300215308E-2</v>
      </c>
      <c r="I25" s="5">
        <f t="shared" si="5"/>
        <v>-5.4109786777745632E-2</v>
      </c>
      <c r="J25" s="5">
        <f t="shared" si="5"/>
        <v>-5.1996285979572968E-2</v>
      </c>
      <c r="K25" s="5">
        <f t="shared" si="5"/>
        <v>-3.4495794348360163E-2</v>
      </c>
      <c r="L25" s="5">
        <f t="shared" si="5"/>
        <v>-1.3189864630336726E-2</v>
      </c>
      <c r="M25" s="5">
        <f t="shared" si="5"/>
        <v>-1.6268398605737183E-2</v>
      </c>
      <c r="N25" s="5">
        <f t="shared" si="3"/>
        <v>-1.9793828366515893E-2</v>
      </c>
      <c r="O25" s="5">
        <f t="shared" si="1"/>
        <v>-2.8458024830085204E-2</v>
      </c>
      <c r="P25" s="79">
        <f t="shared" si="2"/>
        <v>-2.997072694760046E-2</v>
      </c>
      <c r="R25" s="211" t="s">
        <v>289</v>
      </c>
      <c r="S25" s="212"/>
      <c r="T25" s="23">
        <f>_xlfn.STDEV.S(H4:H746) * SQRT(252)</f>
        <v>0.21978440708475377</v>
      </c>
      <c r="U25" s="23">
        <f>_xlfn.STDEV.S(I4:I746) * SQRT(252)</f>
        <v>0.33747949887997636</v>
      </c>
      <c r="V25" s="5">
        <f>_xlfn.STDEV.S(J4:J746) * SQRT(252)</f>
        <v>0.43101738064482298</v>
      </c>
      <c r="W25" s="23">
        <f>_xlfn.STDEV.S(K4:K746) * SQRT(252)</f>
        <v>0.20662302925574841</v>
      </c>
      <c r="X25" s="5">
        <f>_xlfn.STDEV.S(L4:L746) * SQRT(252)</f>
        <v>0.64853918152050161</v>
      </c>
      <c r="Y25" s="23">
        <f>_xlfn.STDEV.S(N4:N746) * SQRT(252)</f>
        <v>0.33768379396883758</v>
      </c>
      <c r="Z25" s="23">
        <f>_xlfn.STDEV.S(M4:M746) * SQRT(252)</f>
        <v>0.13058893288537399</v>
      </c>
      <c r="AC25" s="205"/>
      <c r="AD25" s="206"/>
      <c r="AE25" s="207"/>
    </row>
    <row r="26" spans="1:31">
      <c r="A26" s="73">
        <v>44690</v>
      </c>
      <c r="B26" s="45">
        <v>1810.25</v>
      </c>
      <c r="C26" s="105">
        <v>1103.8499999999999</v>
      </c>
      <c r="D26" s="5">
        <v>49.4</v>
      </c>
      <c r="E26" s="5">
        <v>504.55</v>
      </c>
      <c r="F26" s="5">
        <v>281.85000000000002</v>
      </c>
      <c r="G26" s="5">
        <v>16301.85</v>
      </c>
      <c r="H26" s="5">
        <f t="shared" si="5"/>
        <v>-2.5070012925463139E-2</v>
      </c>
      <c r="I26" s="5">
        <f t="shared" si="5"/>
        <v>-3.7410071942446124E-2</v>
      </c>
      <c r="J26" s="5">
        <f t="shared" si="5"/>
        <v>-3.2321253672869713E-2</v>
      </c>
      <c r="K26" s="5">
        <f t="shared" si="5"/>
        <v>-1.2235708692247455E-2</v>
      </c>
      <c r="L26" s="5">
        <f t="shared" si="5"/>
        <v>-8.6176574041505055E-3</v>
      </c>
      <c r="M26" s="5">
        <f t="shared" si="5"/>
        <v>-6.6661588849112434E-3</v>
      </c>
      <c r="N26" s="5">
        <f t="shared" si="3"/>
        <v>-1.6540816543041237E-2</v>
      </c>
      <c r="O26" s="5">
        <f t="shared" si="1"/>
        <v>-1.9836064606741425E-2</v>
      </c>
      <c r="P26" s="79">
        <f t="shared" si="2"/>
        <v>-2.2210085957175992E-2</v>
      </c>
      <c r="R26" s="213" t="s">
        <v>290</v>
      </c>
      <c r="S26" s="214"/>
      <c r="T26" s="127">
        <f t="shared" ref="T26:Z26" si="6">T25*T25</f>
        <v>4.8305185597596764E-2</v>
      </c>
      <c r="U26" s="127">
        <f t="shared" si="6"/>
        <v>0.11389241216427996</v>
      </c>
      <c r="V26" s="127">
        <f t="shared" si="6"/>
        <v>0.18577598241792423</v>
      </c>
      <c r="W26" s="127">
        <f>W25*W25</f>
        <v>4.269307621882186E-2</v>
      </c>
      <c r="X26" s="127">
        <f t="shared" si="6"/>
        <v>0.42060306996728214</v>
      </c>
      <c r="Y26" s="127">
        <f t="shared" si="6"/>
        <v>0.11403034470918834</v>
      </c>
      <c r="Z26" s="127">
        <f t="shared" si="6"/>
        <v>1.705346939214071E-2</v>
      </c>
      <c r="AC26" s="205"/>
      <c r="AD26" s="206"/>
      <c r="AE26" s="207"/>
    </row>
    <row r="27" spans="1:31">
      <c r="A27" s="73">
        <v>44691</v>
      </c>
      <c r="B27" s="45">
        <v>1759.65</v>
      </c>
      <c r="C27" s="105">
        <v>1060.1500000000001</v>
      </c>
      <c r="D27" s="5">
        <v>48.35</v>
      </c>
      <c r="E27" s="5">
        <v>502.55</v>
      </c>
      <c r="F27" s="5">
        <v>275.39999999999998</v>
      </c>
      <c r="G27" s="5">
        <v>16240.05</v>
      </c>
      <c r="H27" s="5">
        <f t="shared" si="5"/>
        <v>-2.7951940339732032E-2</v>
      </c>
      <c r="I27" s="5">
        <f t="shared" si="5"/>
        <v>-3.9588712234451984E-2</v>
      </c>
      <c r="J27" s="5">
        <f t="shared" si="5"/>
        <v>-2.1255060728744883E-2</v>
      </c>
      <c r="K27" s="5">
        <f t="shared" si="5"/>
        <v>-3.9639282528986224E-3</v>
      </c>
      <c r="L27" s="5">
        <f t="shared" si="5"/>
        <v>-2.2884513038850612E-2</v>
      </c>
      <c r="M27" s="5">
        <f t="shared" si="5"/>
        <v>-3.7909807782552955E-3</v>
      </c>
      <c r="N27" s="5">
        <f t="shared" si="3"/>
        <v>-2.2843962108916663E-2</v>
      </c>
      <c r="O27" s="5">
        <f t="shared" si="1"/>
        <v>-1.7109036222331786E-2</v>
      </c>
      <c r="P27" s="79">
        <f t="shared" si="2"/>
        <v>-1.9888636929927407E-2</v>
      </c>
      <c r="R27" s="211" t="s">
        <v>292</v>
      </c>
      <c r="S27" s="212"/>
      <c r="T27" s="23">
        <f>_xlfn.COVARIANCE.P(H4:H746,M4:M746)*252</f>
        <v>1.2694648110037742E-2</v>
      </c>
      <c r="U27" s="23">
        <f>_xlfn.COVARIANCE.P(I4:I746,M4:M746)*252</f>
        <v>1.7707668678496141E-2</v>
      </c>
      <c r="V27" s="23">
        <f>_xlfn.COVARIANCE.P(J4:J746,M4:M746)*252</f>
        <v>2.7557031921220089E-2</v>
      </c>
      <c r="W27" s="23">
        <f>_xlfn.COVARIANCE.P(K4:K746,M4:M746)*252</f>
        <v>8.7851932024601512E-3</v>
      </c>
      <c r="X27" s="23">
        <f>_xlfn.COVARIANCE.P(L4:L746,M4:M746)*252</f>
        <v>2.5032405278719441E-2</v>
      </c>
      <c r="Y27" s="23">
        <f>_xlfn.COVARIANCE.P(N4:N746,M4:M746)*252</f>
        <v>1.8699185560641578E-2</v>
      </c>
      <c r="Z27" s="23">
        <f>Z26</f>
        <v>1.705346939214071E-2</v>
      </c>
      <c r="AC27" s="205"/>
      <c r="AD27" s="206"/>
      <c r="AE27" s="207"/>
    </row>
    <row r="28" spans="1:31">
      <c r="A28" s="73">
        <v>44692</v>
      </c>
      <c r="B28" s="45">
        <v>1725.4</v>
      </c>
      <c r="C28" s="105">
        <v>1045.9000000000001</v>
      </c>
      <c r="D28" s="5">
        <v>46.85</v>
      </c>
      <c r="E28" s="5">
        <v>507.1</v>
      </c>
      <c r="F28" s="5">
        <v>268.64999999999998</v>
      </c>
      <c r="G28" s="5">
        <v>16167.1</v>
      </c>
      <c r="H28" s="5">
        <f t="shared" si="5"/>
        <v>-1.9464097974028927E-2</v>
      </c>
      <c r="I28" s="5">
        <f t="shared" si="5"/>
        <v>-1.3441494128189405E-2</v>
      </c>
      <c r="J28" s="5">
        <f t="shared" si="5"/>
        <v>-3.1023784901758014E-2</v>
      </c>
      <c r="K28" s="5">
        <f t="shared" si="5"/>
        <v>9.0538254900010169E-3</v>
      </c>
      <c r="L28" s="5">
        <f t="shared" si="5"/>
        <v>-2.4509803921568631E-2</v>
      </c>
      <c r="M28" s="5">
        <f t="shared" si="5"/>
        <v>-4.4919812439000442E-3</v>
      </c>
      <c r="N28" s="5">
        <f t="shared" si="3"/>
        <v>-1.7855840681875623E-2</v>
      </c>
      <c r="O28" s="5">
        <f t="shared" si="1"/>
        <v>-5.4877263311734091E-3</v>
      </c>
      <c r="P28" s="79">
        <f t="shared" si="2"/>
        <v>-8.1311945079605638E-3</v>
      </c>
      <c r="R28" s="211" t="s">
        <v>291</v>
      </c>
      <c r="S28" s="212"/>
      <c r="T28" s="127">
        <f>T27/Z26</f>
        <v>0.74440266775792951</v>
      </c>
      <c r="U28" s="127">
        <f>U27/Z26</f>
        <v>1.0383616536501907</v>
      </c>
      <c r="V28" s="127">
        <f>V27/Z26</f>
        <v>1.6159193937346301</v>
      </c>
      <c r="W28" s="127">
        <f>W27/Z27</f>
        <v>0.51515577273143665</v>
      </c>
      <c r="X28" s="127">
        <f>X27/Z26</f>
        <v>1.4678775739472647</v>
      </c>
      <c r="Y28" s="127">
        <f>Y27/Z26</f>
        <v>1.096503305612365</v>
      </c>
      <c r="Z28" s="127">
        <v>1</v>
      </c>
      <c r="AC28" s="205"/>
      <c r="AD28" s="206"/>
      <c r="AE28" s="207"/>
    </row>
    <row r="29" spans="1:31">
      <c r="A29" s="73">
        <v>44693</v>
      </c>
      <c r="B29" s="45">
        <v>1684.15</v>
      </c>
      <c r="C29" s="105">
        <v>1010.85</v>
      </c>
      <c r="D29" s="5">
        <v>45.4</v>
      </c>
      <c r="E29" s="5">
        <v>498.35</v>
      </c>
      <c r="F29" s="5">
        <v>263.8</v>
      </c>
      <c r="G29" s="5">
        <v>15808</v>
      </c>
      <c r="H29" s="5">
        <f t="shared" si="5"/>
        <v>-2.3907499710212124E-2</v>
      </c>
      <c r="I29" s="5">
        <f t="shared" si="5"/>
        <v>-3.3511808012238326E-2</v>
      </c>
      <c r="J29" s="5">
        <f t="shared" si="5"/>
        <v>-3.0949839914621191E-2</v>
      </c>
      <c r="K29" s="5">
        <f t="shared" si="5"/>
        <v>-1.7254979294024846E-2</v>
      </c>
      <c r="L29" s="5">
        <f t="shared" si="5"/>
        <v>-1.8053229108505365E-2</v>
      </c>
      <c r="M29" s="5">
        <f t="shared" si="5"/>
        <v>-2.2211775766835137E-2</v>
      </c>
      <c r="N29" s="5">
        <f t="shared" si="3"/>
        <v>-2.1042285472815621E-2</v>
      </c>
      <c r="O29" s="5">
        <f t="shared" si="1"/>
        <v>-2.1646738545266466E-2</v>
      </c>
      <c r="P29" s="79">
        <f t="shared" si="2"/>
        <v>-2.3121852481447536E-2</v>
      </c>
      <c r="Z29" s="1"/>
      <c r="AC29" s="205"/>
      <c r="AD29" s="206"/>
      <c r="AE29" s="207"/>
    </row>
    <row r="30" spans="1:31" ht="15.6">
      <c r="A30" s="73">
        <v>44694</v>
      </c>
      <c r="B30" s="45">
        <v>1679.3</v>
      </c>
      <c r="C30" s="105">
        <v>1032</v>
      </c>
      <c r="D30" s="5">
        <v>46.3</v>
      </c>
      <c r="E30" s="5">
        <v>500.8</v>
      </c>
      <c r="F30" s="5">
        <v>263.8</v>
      </c>
      <c r="G30" s="5">
        <v>15782.15</v>
      </c>
      <c r="H30" s="5">
        <f t="shared" si="5"/>
        <v>-2.8797909924888733E-3</v>
      </c>
      <c r="I30" s="5">
        <f t="shared" si="5"/>
        <v>2.0922985606172999E-2</v>
      </c>
      <c r="J30" s="5">
        <f t="shared" si="5"/>
        <v>1.9823788546255477E-2</v>
      </c>
      <c r="K30" s="5">
        <f t="shared" si="5"/>
        <v>4.9162235376743026E-3</v>
      </c>
      <c r="L30" s="5">
        <f t="shared" si="5"/>
        <v>0</v>
      </c>
      <c r="M30" s="5">
        <f t="shared" si="5"/>
        <v>-1.6352479757085251E-3</v>
      </c>
      <c r="N30" s="5">
        <f t="shared" si="3"/>
        <v>1.690199212349806E-3</v>
      </c>
      <c r="O30" s="5">
        <f t="shared" si="1"/>
        <v>3.834672208108385E-3</v>
      </c>
      <c r="P30" s="79">
        <f t="shared" si="2"/>
        <v>5.1100421237096523E-3</v>
      </c>
      <c r="R30" s="129" t="s">
        <v>294</v>
      </c>
      <c r="S30" s="130">
        <f>SLOPE((N4:N746),(M4:M746))</f>
        <v>1.0979810728706041</v>
      </c>
      <c r="T30" s="201" t="s">
        <v>306</v>
      </c>
      <c r="U30" s="201"/>
      <c r="V30" s="201"/>
      <c r="W30" s="201"/>
      <c r="X30" s="201"/>
      <c r="Y30" s="201"/>
      <c r="Z30" s="201"/>
      <c r="AC30" s="205"/>
      <c r="AD30" s="206"/>
      <c r="AE30" s="207"/>
    </row>
    <row r="31" spans="1:31">
      <c r="A31" s="73">
        <v>44697</v>
      </c>
      <c r="B31" s="45">
        <v>1690.9</v>
      </c>
      <c r="C31" s="105">
        <v>1039.1500000000001</v>
      </c>
      <c r="D31" s="5">
        <v>48.65</v>
      </c>
      <c r="E31" s="5">
        <v>496.8</v>
      </c>
      <c r="F31" s="5">
        <v>272.2</v>
      </c>
      <c r="G31" s="5">
        <v>15842.3</v>
      </c>
      <c r="H31" s="5">
        <f t="shared" si="5"/>
        <v>6.9076400881320412E-3</v>
      </c>
      <c r="I31" s="5">
        <f t="shared" si="5"/>
        <v>6.9282945736434988E-3</v>
      </c>
      <c r="J31" s="5">
        <f t="shared" si="5"/>
        <v>5.0755939524838048E-2</v>
      </c>
      <c r="K31" s="5">
        <f t="shared" si="5"/>
        <v>-7.9872204472843447E-3</v>
      </c>
      <c r="L31" s="5">
        <f t="shared" si="5"/>
        <v>3.1842304776345629E-2</v>
      </c>
      <c r="M31" s="5">
        <f t="shared" si="5"/>
        <v>3.8112677930446509E-3</v>
      </c>
      <c r="N31" s="5">
        <f t="shared" si="3"/>
        <v>1.7802491538287418E-2</v>
      </c>
      <c r="O31" s="5">
        <f t="shared" si="1"/>
        <v>1.4443824941482602E-3</v>
      </c>
      <c r="P31" s="79">
        <f t="shared" si="2"/>
        <v>3.8693787412912737E-3</v>
      </c>
      <c r="AC31" s="205"/>
      <c r="AD31" s="206"/>
      <c r="AE31" s="207"/>
    </row>
    <row r="32" spans="1:31">
      <c r="A32" s="73">
        <v>44698</v>
      </c>
      <c r="B32" s="45">
        <v>1763.1</v>
      </c>
      <c r="C32" s="105">
        <v>1075.5999999999999</v>
      </c>
      <c r="D32" s="5">
        <v>49.95</v>
      </c>
      <c r="E32" s="5">
        <v>501.85</v>
      </c>
      <c r="F32" s="5">
        <v>292.7</v>
      </c>
      <c r="G32" s="5">
        <v>16259.3</v>
      </c>
      <c r="H32" s="5">
        <f t="shared" si="5"/>
        <v>4.2699154296528367E-2</v>
      </c>
      <c r="I32" s="5">
        <f t="shared" si="5"/>
        <v>3.5076745416927117E-2</v>
      </c>
      <c r="J32" s="5">
        <f t="shared" si="5"/>
        <v>2.6721479958890119E-2</v>
      </c>
      <c r="K32" s="5">
        <f t="shared" si="5"/>
        <v>1.0165056360708557E-2</v>
      </c>
      <c r="L32" s="5">
        <f t="shared" si="5"/>
        <v>7.5312270389419553E-2</v>
      </c>
      <c r="M32" s="5">
        <f t="shared" si="5"/>
        <v>2.6321935577536093E-2</v>
      </c>
      <c r="N32" s="5">
        <f t="shared" si="3"/>
        <v>5.2700821189103492E-2</v>
      </c>
      <c r="O32" s="5">
        <f t="shared" si="1"/>
        <v>2.6480466105971701E-2</v>
      </c>
      <c r="P32" s="79">
        <f t="shared" si="2"/>
        <v>2.8139397269126898E-2</v>
      </c>
      <c r="R32" s="128" t="s">
        <v>310</v>
      </c>
      <c r="S32" s="131"/>
      <c r="T32" s="215" t="s">
        <v>311</v>
      </c>
      <c r="U32" s="216"/>
      <c r="V32" s="216"/>
      <c r="W32" s="216"/>
      <c r="X32" s="216"/>
      <c r="Y32" s="217"/>
      <c r="AC32" s="205"/>
      <c r="AD32" s="206"/>
      <c r="AE32" s="207"/>
    </row>
    <row r="33" spans="1:31">
      <c r="A33" s="73">
        <v>44699</v>
      </c>
      <c r="B33" s="45">
        <v>1754.45</v>
      </c>
      <c r="C33" s="105">
        <v>1085.05</v>
      </c>
      <c r="D33" s="5">
        <v>49.8</v>
      </c>
      <c r="E33" s="5">
        <v>509.8</v>
      </c>
      <c r="F33" s="5">
        <v>288.7</v>
      </c>
      <c r="G33" s="5">
        <v>16240.3</v>
      </c>
      <c r="H33" s="5">
        <f t="shared" si="5"/>
        <v>-4.9061312461005412E-3</v>
      </c>
      <c r="I33" s="5">
        <f t="shared" si="5"/>
        <v>8.7857939754556035E-3</v>
      </c>
      <c r="J33" s="5">
        <f t="shared" si="5"/>
        <v>-3.0030030030031166E-3</v>
      </c>
      <c r="K33" s="5">
        <f t="shared" si="5"/>
        <v>1.5841386868586209E-2</v>
      </c>
      <c r="L33" s="5">
        <f t="shared" si="5"/>
        <v>-1.3665869490946362E-2</v>
      </c>
      <c r="M33" s="5">
        <f t="shared" si="5"/>
        <v>-1.1685619922136869E-3</v>
      </c>
      <c r="N33" s="5">
        <f t="shared" si="3"/>
        <v>-5.2595543216805898E-3</v>
      </c>
      <c r="O33" s="5">
        <f t="shared" si="1"/>
        <v>6.309191056016311E-3</v>
      </c>
      <c r="P33" s="79">
        <f t="shared" si="2"/>
        <v>5.3089571039365673E-3</v>
      </c>
      <c r="R33" s="218" t="s">
        <v>312</v>
      </c>
      <c r="S33" s="218" t="s">
        <v>313</v>
      </c>
      <c r="T33" s="215" t="s">
        <v>314</v>
      </c>
      <c r="U33" s="217"/>
      <c r="V33" s="215" t="s">
        <v>315</v>
      </c>
      <c r="W33" s="217"/>
      <c r="X33" s="215" t="s">
        <v>316</v>
      </c>
      <c r="Y33" s="217"/>
      <c r="AC33" s="208"/>
      <c r="AD33" s="209"/>
      <c r="AE33" s="210"/>
    </row>
    <row r="34" spans="1:31">
      <c r="A34" s="73">
        <v>44700</v>
      </c>
      <c r="B34" s="45">
        <v>1735.8</v>
      </c>
      <c r="C34" s="105">
        <v>1036.6500000000001</v>
      </c>
      <c r="D34" s="5">
        <v>49.35</v>
      </c>
      <c r="E34" s="5">
        <v>492.1</v>
      </c>
      <c r="F34" s="5">
        <v>284.35000000000002</v>
      </c>
      <c r="G34" s="5">
        <v>15809.4</v>
      </c>
      <c r="H34" s="5">
        <f t="shared" si="5"/>
        <v>-1.0630112000912018E-2</v>
      </c>
      <c r="I34" s="5">
        <f t="shared" si="5"/>
        <v>-4.4606239343808918E-2</v>
      </c>
      <c r="J34" s="5">
        <f t="shared" si="5"/>
        <v>-9.0361445783131676E-3</v>
      </c>
      <c r="K34" s="5">
        <f t="shared" si="5"/>
        <v>-3.4719497842291072E-2</v>
      </c>
      <c r="L34" s="5">
        <f t="shared" si="5"/>
        <v>-1.5067544163491396E-2</v>
      </c>
      <c r="M34" s="5">
        <f t="shared" si="5"/>
        <v>-2.6532761094314739E-2</v>
      </c>
      <c r="N34" s="5">
        <f t="shared" si="3"/>
        <v>-1.8172946828520116E-2</v>
      </c>
      <c r="O34" s="5">
        <f t="shared" si="1"/>
        <v>-2.5576068658501212E-2</v>
      </c>
      <c r="P34" s="79">
        <f t="shared" si="2"/>
        <v>-2.5095466300495025E-2</v>
      </c>
      <c r="R34" s="219"/>
      <c r="S34" s="219"/>
      <c r="T34" s="131" t="s">
        <v>317</v>
      </c>
      <c r="U34" s="131" t="s">
        <v>318</v>
      </c>
      <c r="V34" s="131" t="s">
        <v>317</v>
      </c>
      <c r="W34" s="131" t="s">
        <v>318</v>
      </c>
      <c r="X34" s="131" t="s">
        <v>317</v>
      </c>
      <c r="Y34" s="131" t="s">
        <v>318</v>
      </c>
      <c r="AC34" s="174"/>
      <c r="AD34" s="174"/>
      <c r="AE34" s="174"/>
    </row>
    <row r="35" spans="1:31">
      <c r="A35" s="73">
        <v>44701</v>
      </c>
      <c r="B35" s="45">
        <v>1752.95</v>
      </c>
      <c r="C35" s="105">
        <v>1086.95</v>
      </c>
      <c r="D35" s="5">
        <v>53.1</v>
      </c>
      <c r="E35" s="5">
        <v>503.35</v>
      </c>
      <c r="F35" s="5">
        <v>296.64999999999998</v>
      </c>
      <c r="G35" s="5">
        <v>16266.15</v>
      </c>
      <c r="H35" s="5">
        <f t="shared" si="5"/>
        <v>9.8801705265584121E-3</v>
      </c>
      <c r="I35" s="5">
        <f t="shared" si="5"/>
        <v>4.8521680412868327E-2</v>
      </c>
      <c r="J35" s="5">
        <f t="shared" si="5"/>
        <v>7.598784194528875E-2</v>
      </c>
      <c r="K35" s="5">
        <f t="shared" si="5"/>
        <v>2.2861207071733388E-2</v>
      </c>
      <c r="L35" s="5">
        <f t="shared" si="5"/>
        <v>4.3256550026375781E-2</v>
      </c>
      <c r="M35" s="5">
        <f t="shared" si="5"/>
        <v>2.8891039508140728E-2</v>
      </c>
      <c r="N35" s="5">
        <f t="shared" si="3"/>
        <v>3.1664360162846919E-2</v>
      </c>
      <c r="O35" s="5">
        <f t="shared" si="1"/>
        <v>2.238382236800486E-2</v>
      </c>
      <c r="P35" s="79">
        <f t="shared" si="2"/>
        <v>2.4926015547680199E-2</v>
      </c>
      <c r="R35" s="132" t="s">
        <v>258</v>
      </c>
      <c r="S35" s="27">
        <f>AA13</f>
        <v>0.3</v>
      </c>
      <c r="T35" s="26">
        <f>B251/B3</f>
        <v>0.70960076045627374</v>
      </c>
      <c r="U35" s="26">
        <f>T35 - 1</f>
        <v>-0.29039923954372626</v>
      </c>
      <c r="V35" s="26">
        <f>B497 / B252</f>
        <v>0.95305295514880539</v>
      </c>
      <c r="W35" s="26">
        <f>V35 - 1</f>
        <v>-4.6947044851194608E-2</v>
      </c>
      <c r="X35" s="26">
        <f>B746 / B498</f>
        <v>0.89095822378030975</v>
      </c>
      <c r="Y35" s="26">
        <f>X35 - 1</f>
        <v>-0.10904177621969025</v>
      </c>
      <c r="AC35" s="174"/>
      <c r="AD35" s="174"/>
      <c r="AE35" s="174"/>
    </row>
    <row r="36" spans="1:31">
      <c r="A36" s="73">
        <v>44704</v>
      </c>
      <c r="B36" s="45">
        <v>1765</v>
      </c>
      <c r="C36" s="105">
        <v>1065.3</v>
      </c>
      <c r="D36" s="5">
        <v>51.1</v>
      </c>
      <c r="E36" s="5">
        <v>506.3</v>
      </c>
      <c r="F36" s="5">
        <v>298.60000000000002</v>
      </c>
      <c r="G36" s="5">
        <v>16214.7</v>
      </c>
      <c r="H36" s="5">
        <f t="shared" si="5"/>
        <v>6.8741264725177293E-3</v>
      </c>
      <c r="I36" s="5">
        <f t="shared" si="5"/>
        <v>-1.9918119508717136E-2</v>
      </c>
      <c r="J36" s="5">
        <f t="shared" si="5"/>
        <v>-3.7664783427495289E-2</v>
      </c>
      <c r="K36" s="5">
        <f t="shared" si="5"/>
        <v>5.8607330883083111E-3</v>
      </c>
      <c r="L36" s="5">
        <f t="shared" si="5"/>
        <v>6.573403000168703E-3</v>
      </c>
      <c r="M36" s="5">
        <f t="shared" si="5"/>
        <v>-3.1630103005320194E-3</v>
      </c>
      <c r="N36" s="5">
        <f t="shared" si="3"/>
        <v>3.672347492104077E-3</v>
      </c>
      <c r="O36" s="5">
        <f t="shared" si="1"/>
        <v>2.6263506683579033E-3</v>
      </c>
      <c r="P36" s="79">
        <f t="shared" si="2"/>
        <v>-1.8395022933583288E-4</v>
      </c>
      <c r="R36" s="132" t="s">
        <v>349</v>
      </c>
      <c r="S36" s="133">
        <f>AA14</f>
        <v>0.18579980208676128</v>
      </c>
      <c r="T36" s="134">
        <f>C251 / C3</f>
        <v>1.0839607394851984</v>
      </c>
      <c r="U36" s="134">
        <f>T36 - 1</f>
        <v>8.3960739485198443E-2</v>
      </c>
      <c r="V36" s="134">
        <f>C497 / C252</f>
        <v>2.9085015470752906</v>
      </c>
      <c r="W36" s="134">
        <f>V36 - 1</f>
        <v>1.9085015470752906</v>
      </c>
      <c r="X36" s="134">
        <f>C746 / C498</f>
        <v>1.3700602037665945</v>
      </c>
      <c r="Y36" s="134">
        <f>X36 - 1</f>
        <v>0.37006020376659454</v>
      </c>
      <c r="AC36" s="174"/>
      <c r="AD36" s="174"/>
      <c r="AE36" s="174"/>
    </row>
    <row r="37" spans="1:31">
      <c r="A37" s="73">
        <v>44705</v>
      </c>
      <c r="B37" s="45">
        <v>1783.2</v>
      </c>
      <c r="C37" s="105">
        <v>1075.9000000000001</v>
      </c>
      <c r="D37" s="5">
        <v>50.4</v>
      </c>
      <c r="E37" s="5">
        <v>502.15</v>
      </c>
      <c r="F37" s="5">
        <v>289.95</v>
      </c>
      <c r="G37" s="5">
        <v>16125.15</v>
      </c>
      <c r="H37" s="5">
        <f t="shared" si="5"/>
        <v>1.0311614730878212E-2</v>
      </c>
      <c r="I37" s="5">
        <f t="shared" si="5"/>
        <v>9.9502487562190337E-3</v>
      </c>
      <c r="J37" s="5">
        <f t="shared" si="5"/>
        <v>-1.3698630136986356E-2</v>
      </c>
      <c r="K37" s="5">
        <f t="shared" si="5"/>
        <v>-8.1967213114754762E-3</v>
      </c>
      <c r="L37" s="5">
        <f t="shared" si="5"/>
        <v>-2.896851975887486E-2</v>
      </c>
      <c r="M37" s="5">
        <f t="shared" si="5"/>
        <v>-5.5227663786564718E-3</v>
      </c>
      <c r="N37" s="5">
        <f t="shared" si="3"/>
        <v>-1.1418653247465398E-2</v>
      </c>
      <c r="O37" s="5">
        <f t="shared" si="1"/>
        <v>-2.4217538645575126E-4</v>
      </c>
      <c r="P37" s="79">
        <f t="shared" si="2"/>
        <v>1.3020040515235507E-3</v>
      </c>
      <c r="R37" s="132" t="s">
        <v>279</v>
      </c>
      <c r="S37" s="27">
        <f>AA15</f>
        <v>7.7262718356910731E-2</v>
      </c>
      <c r="T37" s="26">
        <f>D251 / D3</f>
        <v>1.3008356545961002</v>
      </c>
      <c r="U37" s="26">
        <f>T37 - 1</f>
        <v>0.30083565459610018</v>
      </c>
      <c r="V37" s="26">
        <f>D497 / D252</f>
        <v>3.5429799426934099</v>
      </c>
      <c r="W37" s="26">
        <f>V37 - 1</f>
        <v>2.5429799426934099</v>
      </c>
      <c r="X37" s="26">
        <f>D746 / D498</f>
        <v>0.85292610837438432</v>
      </c>
      <c r="Y37" s="26">
        <f>X37 - 1</f>
        <v>-0.14707389162561568</v>
      </c>
      <c r="AC37" s="174"/>
      <c r="AD37" s="174"/>
      <c r="AE37" s="174"/>
    </row>
    <row r="38" spans="1:31">
      <c r="A38" s="73">
        <v>44706</v>
      </c>
      <c r="B38" s="45">
        <v>1745.75</v>
      </c>
      <c r="C38" s="105">
        <v>1037.95</v>
      </c>
      <c r="D38" s="5">
        <v>49.3</v>
      </c>
      <c r="E38" s="5">
        <v>494.45</v>
      </c>
      <c r="F38" s="5">
        <v>275.89999999999998</v>
      </c>
      <c r="G38" s="5">
        <v>16025.8</v>
      </c>
      <c r="H38" s="5">
        <f t="shared" si="5"/>
        <v>-2.1001570210856912E-2</v>
      </c>
      <c r="I38" s="5">
        <f t="shared" si="5"/>
        <v>-3.5272794869411692E-2</v>
      </c>
      <c r="J38" s="5">
        <f t="shared" si="5"/>
        <v>-2.1825396825396855E-2</v>
      </c>
      <c r="K38" s="5">
        <f t="shared" si="5"/>
        <v>-1.533406352683459E-2</v>
      </c>
      <c r="L38" s="5">
        <f t="shared" si="5"/>
        <v>-4.8456630453526509E-2</v>
      </c>
      <c r="M38" s="5">
        <f t="shared" si="5"/>
        <v>-6.1611829967473395E-3</v>
      </c>
      <c r="N38" s="5">
        <f t="shared" si="3"/>
        <v>-3.4115461415130909E-2</v>
      </c>
      <c r="O38" s="5">
        <f t="shared" si="1"/>
        <v>-2.0230733889555333E-2</v>
      </c>
      <c r="P38" s="79">
        <f t="shared" si="2"/>
        <v>-2.1190078470979212E-2</v>
      </c>
      <c r="R38" s="132" t="s">
        <v>319</v>
      </c>
      <c r="S38" s="133">
        <f>AA16</f>
        <v>0.39514347341237827</v>
      </c>
      <c r="T38" s="134">
        <f>E251 / E3</f>
        <v>1.0045165453037146</v>
      </c>
      <c r="U38" s="134">
        <f>T38 - 1</f>
        <v>4.516545303714592E-3</v>
      </c>
      <c r="V38" s="134">
        <f>E497 / E252</f>
        <v>0.9553506208911613</v>
      </c>
      <c r="W38" s="134">
        <f>V38 - 1</f>
        <v>-4.4649379108838705E-2</v>
      </c>
      <c r="X38" s="134">
        <f>E746 / E498</f>
        <v>0.95719550222054239</v>
      </c>
      <c r="Y38" s="134">
        <f>X38 - 1</f>
        <v>-4.2804497779457606E-2</v>
      </c>
    </row>
    <row r="39" spans="1:31">
      <c r="A39" s="73">
        <v>44707</v>
      </c>
      <c r="B39" s="45">
        <v>1770.75</v>
      </c>
      <c r="C39" s="105">
        <v>1048.95</v>
      </c>
      <c r="D39" s="5">
        <v>50.2</v>
      </c>
      <c r="E39" s="5">
        <v>497.85</v>
      </c>
      <c r="F39" s="5">
        <v>287.10000000000002</v>
      </c>
      <c r="G39" s="5">
        <v>16170.15</v>
      </c>
      <c r="H39" s="5">
        <f t="shared" si="5"/>
        <v>1.4320492624946298E-2</v>
      </c>
      <c r="I39" s="5">
        <f t="shared" si="5"/>
        <v>1.0597812996772484E-2</v>
      </c>
      <c r="J39" s="5">
        <f t="shared" si="5"/>
        <v>1.8255578093306406E-2</v>
      </c>
      <c r="K39" s="5">
        <f t="shared" si="5"/>
        <v>6.8763272322783578E-3</v>
      </c>
      <c r="L39" s="5">
        <f t="shared" si="5"/>
        <v>4.0594418267488386E-2</v>
      </c>
      <c r="M39" s="5">
        <f t="shared" si="5"/>
        <v>9.0073506470816044E-3</v>
      </c>
      <c r="N39" s="5">
        <f t="shared" si="3"/>
        <v>2.555721166585357E-2</v>
      </c>
      <c r="O39" s="5">
        <f t="shared" si="1"/>
        <v>1.1051924828140155E-2</v>
      </c>
      <c r="P39" s="79">
        <f t="shared" si="2"/>
        <v>1.1284128419716615E-2</v>
      </c>
      <c r="R39" s="135" t="s">
        <v>296</v>
      </c>
      <c r="S39" s="27">
        <f>AA17</f>
        <v>4.1794006143949604E-2</v>
      </c>
      <c r="T39" s="26">
        <f>F251 / F3</f>
        <v>2.6369059455160069</v>
      </c>
      <c r="U39" s="26">
        <f>T39 - 1</f>
        <v>1.6369059455160069</v>
      </c>
      <c r="V39" s="26">
        <f>F497 / F252</f>
        <v>2.8368589255821028</v>
      </c>
      <c r="W39" s="26">
        <f>V39 - 1</f>
        <v>1.8368589255821028</v>
      </c>
      <c r="X39" s="26">
        <f>F746 / F498</f>
        <v>1.3213714514194324</v>
      </c>
      <c r="Y39" s="26">
        <f>X39 - 1</f>
        <v>0.32137145141943235</v>
      </c>
    </row>
    <row r="40" spans="1:31">
      <c r="A40" s="73">
        <v>44708</v>
      </c>
      <c r="B40" s="45">
        <v>1802.5</v>
      </c>
      <c r="C40" s="105">
        <v>1068.45</v>
      </c>
      <c r="D40" s="5">
        <v>51.15</v>
      </c>
      <c r="E40" s="5">
        <v>497.7</v>
      </c>
      <c r="F40" s="5">
        <v>288.05</v>
      </c>
      <c r="G40" s="5">
        <v>16352.45</v>
      </c>
      <c r="H40" s="5">
        <f t="shared" si="5"/>
        <v>1.7930255541437245E-2</v>
      </c>
      <c r="I40" s="5">
        <f t="shared" si="5"/>
        <v>1.8590018590018589E-2</v>
      </c>
      <c r="J40" s="5">
        <f t="shared" si="5"/>
        <v>1.8924302788844535E-2</v>
      </c>
      <c r="K40" s="5">
        <f t="shared" si="5"/>
        <v>-3.0129557095517543E-4</v>
      </c>
      <c r="L40" s="5">
        <f t="shared" si="5"/>
        <v>3.3089515848136138E-3</v>
      </c>
      <c r="M40" s="5">
        <f t="shared" si="5"/>
        <v>1.1273859549849637E-2</v>
      </c>
      <c r="N40" s="5">
        <f t="shared" si="3"/>
        <v>8.6040459184107462E-3</v>
      </c>
      <c r="O40" s="5">
        <f t="shared" si="1"/>
        <v>8.8455336688550521E-3</v>
      </c>
      <c r="P40" s="79">
        <f t="shared" si="2"/>
        <v>1.0848590150575745E-2</v>
      </c>
      <c r="R40" s="128" t="s">
        <v>320</v>
      </c>
      <c r="S40" s="136">
        <v>1</v>
      </c>
      <c r="T40" s="131"/>
      <c r="U40" s="137">
        <f>((S35*U35)+(S36*U36)+(S37*U37)+(S38*U38)+(S39*U39))</f>
        <v>2.1921037912163252E-2</v>
      </c>
      <c r="V40" s="131"/>
      <c r="W40" s="137">
        <f>((S35*W35)+(S36*W36)+(S37*W37)+(S38*W38)+(S39*W39))</f>
        <v>0.59611942184767674</v>
      </c>
      <c r="X40" s="131"/>
      <c r="Y40" s="137">
        <f>((S35*Y35)+(S36*Y36)+(S37*Y37)+(S38*Y38)+(S39*Y39))</f>
        <v>2.1198733572654442E-2</v>
      </c>
    </row>
    <row r="41" spans="1:31">
      <c r="A41" s="73">
        <v>44711</v>
      </c>
      <c r="B41" s="45">
        <v>1884.25</v>
      </c>
      <c r="C41" s="105">
        <v>1118.9000000000001</v>
      </c>
      <c r="D41" s="5">
        <v>51.6</v>
      </c>
      <c r="E41" s="5">
        <v>510.1</v>
      </c>
      <c r="F41" s="5">
        <v>283.7</v>
      </c>
      <c r="G41" s="5">
        <v>16661.400000000001</v>
      </c>
      <c r="H41" s="5">
        <f t="shared" si="5"/>
        <v>4.5353675450762833E-2</v>
      </c>
      <c r="I41" s="5">
        <f t="shared" si="5"/>
        <v>4.7217932519069722E-2</v>
      </c>
      <c r="J41" s="5">
        <f t="shared" si="5"/>
        <v>8.7976539589443379E-3</v>
      </c>
      <c r="K41" s="5">
        <f t="shared" si="5"/>
        <v>2.4914607193088276E-2</v>
      </c>
      <c r="L41" s="5">
        <f t="shared" si="5"/>
        <v>-1.5101544870682252E-2</v>
      </c>
      <c r="M41" s="5">
        <f t="shared" si="5"/>
        <v>1.8893193374693133E-2</v>
      </c>
      <c r="N41" s="5">
        <f t="shared" si="3"/>
        <v>1.3178925073923604E-2</v>
      </c>
      <c r="O41" s="5">
        <f t="shared" si="1"/>
        <v>3.32545896452787E-2</v>
      </c>
      <c r="P41" s="79">
        <f t="shared" si="2"/>
        <v>3.502043616385514E-2</v>
      </c>
    </row>
    <row r="42" spans="1:31">
      <c r="A42" s="73">
        <v>44712</v>
      </c>
      <c r="B42" s="45">
        <v>1877.3</v>
      </c>
      <c r="C42" s="105">
        <v>1124.05</v>
      </c>
      <c r="D42" s="5">
        <v>51.2</v>
      </c>
      <c r="E42" s="5">
        <v>519</v>
      </c>
      <c r="F42" s="5">
        <v>276.75</v>
      </c>
      <c r="G42" s="5">
        <v>16584.55</v>
      </c>
      <c r="H42" s="5">
        <f t="shared" si="5"/>
        <v>-3.6884702136128675E-3</v>
      </c>
      <c r="I42" s="5">
        <f t="shared" si="5"/>
        <v>4.6027348288496406E-3</v>
      </c>
      <c r="J42" s="5">
        <f t="shared" si="5"/>
        <v>-7.7519379844960962E-3</v>
      </c>
      <c r="K42" s="5">
        <f t="shared" si="5"/>
        <v>1.7447559302097581E-2</v>
      </c>
      <c r="L42" s="5">
        <f t="shared" si="5"/>
        <v>-2.4497708847373949E-2</v>
      </c>
      <c r="M42" s="5">
        <f t="shared" si="5"/>
        <v>-4.61245753658169E-3</v>
      </c>
      <c r="N42" s="5">
        <f t="shared" si="3"/>
        <v>-1.0179709170523571E-2</v>
      </c>
      <c r="O42" s="5">
        <f t="shared" si="1"/>
        <v>6.7735624204715997E-3</v>
      </c>
      <c r="P42" s="79">
        <f t="shared" si="2"/>
        <v>5.4218152710232637E-3</v>
      </c>
      <c r="R42" s="159" t="s">
        <v>298</v>
      </c>
      <c r="S42" s="160" t="s">
        <v>299</v>
      </c>
      <c r="T42" s="161" t="s">
        <v>261</v>
      </c>
    </row>
    <row r="43" spans="1:31">
      <c r="A43" s="73">
        <v>44713</v>
      </c>
      <c r="B43" s="45">
        <v>1852.3</v>
      </c>
      <c r="C43" s="105">
        <v>1109.45</v>
      </c>
      <c r="D43" s="5">
        <v>51.7</v>
      </c>
      <c r="E43" s="5">
        <v>517.54999999999995</v>
      </c>
      <c r="F43" s="5">
        <v>283.75</v>
      </c>
      <c r="G43" s="5">
        <v>16522.75</v>
      </c>
      <c r="H43" s="5">
        <f t="shared" si="5"/>
        <v>-1.3316997816012359E-2</v>
      </c>
      <c r="I43" s="5">
        <f t="shared" si="5"/>
        <v>-1.2988746052221795E-2</v>
      </c>
      <c r="J43" s="5">
        <f t="shared" si="5"/>
        <v>9.765625E-3</v>
      </c>
      <c r="K43" s="5">
        <f t="shared" si="5"/>
        <v>-2.7938342967245579E-3</v>
      </c>
      <c r="L43" s="5">
        <f t="shared" si="5"/>
        <v>2.5293586269196026E-2</v>
      </c>
      <c r="M43" s="5">
        <f t="shared" si="5"/>
        <v>-3.7263597746094571E-3</v>
      </c>
      <c r="N43" s="5">
        <f t="shared" si="3"/>
        <v>6.9757655399524188E-3</v>
      </c>
      <c r="O43" s="5">
        <f t="shared" si="1"/>
        <v>-6.6820468315120377E-3</v>
      </c>
      <c r="P43" s="79">
        <f t="shared" si="2"/>
        <v>-7.4941344633685071E-3</v>
      </c>
      <c r="R43" s="162" t="s">
        <v>300</v>
      </c>
      <c r="S43" s="156">
        <f>Y24</f>
        <v>0.154818816785951</v>
      </c>
      <c r="T43" s="163">
        <f>Z24</f>
        <v>9.9999704569658565E-2</v>
      </c>
    </row>
    <row r="44" spans="1:31">
      <c r="A44" s="73">
        <v>44714</v>
      </c>
      <c r="B44" s="45">
        <v>1843.85</v>
      </c>
      <c r="C44" s="105">
        <v>1112.8499999999999</v>
      </c>
      <c r="D44" s="5">
        <v>52.2</v>
      </c>
      <c r="E44" s="5">
        <v>521.70000000000005</v>
      </c>
      <c r="F44" s="5">
        <v>296.55</v>
      </c>
      <c r="G44" s="5">
        <v>16628</v>
      </c>
      <c r="H44" s="5">
        <f t="shared" si="5"/>
        <v>-4.5618960211629032E-3</v>
      </c>
      <c r="I44" s="5">
        <f t="shared" si="5"/>
        <v>3.0645815494162545E-3</v>
      </c>
      <c r="J44" s="5">
        <f t="shared" si="5"/>
        <v>9.6711798839458404E-3</v>
      </c>
      <c r="K44" s="5">
        <f t="shared" si="5"/>
        <v>8.0185489324704692E-3</v>
      </c>
      <c r="L44" s="5">
        <f t="shared" si="5"/>
        <v>4.5110132158590346E-2</v>
      </c>
      <c r="M44" s="5">
        <f t="shared" si="5"/>
        <v>6.3700049931155528E-3</v>
      </c>
      <c r="N44" s="5">
        <f t="shared" si="3"/>
        <v>2.1463138130156652E-2</v>
      </c>
      <c r="O44" s="5">
        <f t="shared" si="1"/>
        <v>3.7621942797801088E-3</v>
      </c>
      <c r="P44" s="79">
        <f t="shared" si="2"/>
        <v>2.7241698371257912E-3</v>
      </c>
      <c r="R44" s="164" t="s">
        <v>301</v>
      </c>
      <c r="S44" s="158">
        <f>Y25</f>
        <v>0.33768379396883758</v>
      </c>
      <c r="T44" s="165">
        <f>Z25</f>
        <v>0.13058893288537399</v>
      </c>
    </row>
    <row r="45" spans="1:31">
      <c r="A45" s="73">
        <v>44715</v>
      </c>
      <c r="B45" s="45">
        <v>1839.9</v>
      </c>
      <c r="C45" s="105">
        <v>1129.3</v>
      </c>
      <c r="D45" s="5">
        <v>50.6</v>
      </c>
      <c r="E45" s="5">
        <v>513.95000000000005</v>
      </c>
      <c r="F45" s="5">
        <v>285.55</v>
      </c>
      <c r="G45" s="5">
        <v>16584.3</v>
      </c>
      <c r="H45" s="5">
        <f t="shared" si="5"/>
        <v>-2.1422566911624146E-3</v>
      </c>
      <c r="I45" s="5">
        <f t="shared" si="5"/>
        <v>1.4781866379116725E-2</v>
      </c>
      <c r="J45" s="5">
        <f t="shared" si="5"/>
        <v>-3.0651340996168609E-2</v>
      </c>
      <c r="K45" s="5">
        <f t="shared" si="5"/>
        <v>-1.485528081272762E-2</v>
      </c>
      <c r="L45" s="5">
        <f t="shared" si="5"/>
        <v>-3.7093238914179733E-2</v>
      </c>
      <c r="M45" s="5">
        <f t="shared" si="5"/>
        <v>-2.6280971854703346E-3</v>
      </c>
      <c r="N45" s="5">
        <f t="shared" si="3"/>
        <v>-2.0042559225818653E-2</v>
      </c>
      <c r="O45" s="5">
        <f t="shared" si="1"/>
        <v>-8.2826887921418849E-3</v>
      </c>
      <c r="P45" s="79">
        <f t="shared" si="2"/>
        <v>-6.5202869461434918E-3</v>
      </c>
      <c r="R45" s="162" t="s">
        <v>302</v>
      </c>
      <c r="S45" s="155">
        <f>Y28</f>
        <v>1.096503305612365</v>
      </c>
      <c r="T45" s="166">
        <v>1</v>
      </c>
    </row>
    <row r="46" spans="1:31">
      <c r="A46" s="73">
        <v>44718</v>
      </c>
      <c r="B46" s="45">
        <v>1828.8</v>
      </c>
      <c r="C46" s="105">
        <v>1104.75</v>
      </c>
      <c r="D46" s="5">
        <v>51</v>
      </c>
      <c r="E46" s="5">
        <v>508.6</v>
      </c>
      <c r="F46" s="5">
        <v>277.55</v>
      </c>
      <c r="G46" s="5">
        <v>16569.55</v>
      </c>
      <c r="H46" s="5">
        <f t="shared" si="5"/>
        <v>-6.0329365726398913E-3</v>
      </c>
      <c r="I46" s="5">
        <f t="shared" si="5"/>
        <v>-2.173913043478257E-2</v>
      </c>
      <c r="J46" s="5">
        <f t="shared" si="5"/>
        <v>7.9051383399209203E-3</v>
      </c>
      <c r="K46" s="5">
        <f t="shared" si="5"/>
        <v>-1.0409572915653318E-2</v>
      </c>
      <c r="L46" s="5">
        <f t="shared" si="5"/>
        <v>-2.8016109262826123E-2</v>
      </c>
      <c r="M46" s="5">
        <f t="shared" si="5"/>
        <v>-8.8939539202739944E-4</v>
      </c>
      <c r="N46" s="5">
        <f t="shared" si="3"/>
        <v>-1.7639867134281485E-2</v>
      </c>
      <c r="O46" s="5">
        <f t="shared" si="1"/>
        <v>-9.7433155435377294E-3</v>
      </c>
      <c r="P46" s="79">
        <f t="shared" si="2"/>
        <v>-9.4498016807389659E-3</v>
      </c>
      <c r="R46" s="167" t="s">
        <v>303</v>
      </c>
      <c r="S46" s="157">
        <f>(Y24 - 0.065) / Y25</f>
        <v>0.26598497881790478</v>
      </c>
      <c r="T46" s="168">
        <f>(Z24 - 0.065) / Z25</f>
        <v>0.268014324003857</v>
      </c>
    </row>
    <row r="47" spans="1:31">
      <c r="A47" s="73">
        <v>44719</v>
      </c>
      <c r="B47" s="45">
        <v>1785.25</v>
      </c>
      <c r="C47" s="105">
        <v>1084.8499999999999</v>
      </c>
      <c r="D47" s="5">
        <v>50.5</v>
      </c>
      <c r="E47" s="5">
        <v>501.25</v>
      </c>
      <c r="F47" s="5">
        <v>275.7</v>
      </c>
      <c r="G47" s="5">
        <v>16416.349999999999</v>
      </c>
      <c r="H47" s="5">
        <f t="shared" si="5"/>
        <v>-2.3813429571303564E-2</v>
      </c>
      <c r="I47" s="5">
        <f t="shared" si="5"/>
        <v>-1.8013125141434796E-2</v>
      </c>
      <c r="J47" s="5">
        <f t="shared" si="5"/>
        <v>-9.8039215686274508E-3</v>
      </c>
      <c r="K47" s="5">
        <f t="shared" si="5"/>
        <v>-1.445143531262293E-2</v>
      </c>
      <c r="L47" s="5">
        <f t="shared" si="5"/>
        <v>-6.665465681859206E-3</v>
      </c>
      <c r="M47" s="5">
        <f t="shared" si="5"/>
        <v>-9.2458757178077097E-3</v>
      </c>
      <c r="N47" s="5">
        <f t="shared" si="3"/>
        <v>-1.3692895719363742E-2</v>
      </c>
      <c r="O47" s="5">
        <f t="shared" si="1"/>
        <v>-1.7955376119930169E-2</v>
      </c>
      <c r="P47" s="79">
        <f t="shared" si="2"/>
        <v>-1.8322284529401624E-2</v>
      </c>
      <c r="R47" s="169" t="s">
        <v>304</v>
      </c>
      <c r="S47" s="155">
        <f>(Y24 - 0.065) / Y28</f>
        <v>8.1913858650694921E-2</v>
      </c>
      <c r="T47" s="170">
        <f xml:space="preserve"> (Z24 - 0.065) / Z28</f>
        <v>3.4999704569658563E-2</v>
      </c>
    </row>
    <row r="48" spans="1:31">
      <c r="A48" s="73">
        <v>44720</v>
      </c>
      <c r="B48" s="45">
        <v>1736.65</v>
      </c>
      <c r="C48" s="105">
        <v>1087</v>
      </c>
      <c r="D48" s="5">
        <v>50.6</v>
      </c>
      <c r="E48" s="5">
        <v>494.8</v>
      </c>
      <c r="F48" s="5">
        <v>270.60000000000002</v>
      </c>
      <c r="G48" s="5">
        <v>16356.25</v>
      </c>
      <c r="H48" s="5">
        <f t="shared" si="5"/>
        <v>-2.722307800028002E-2</v>
      </c>
      <c r="I48" s="5">
        <f t="shared" si="5"/>
        <v>1.9818408074849898E-3</v>
      </c>
      <c r="J48" s="5">
        <f t="shared" si="5"/>
        <v>1.9801980198020084E-3</v>
      </c>
      <c r="K48" s="5">
        <f t="shared" si="5"/>
        <v>-1.2867830423940126E-2</v>
      </c>
      <c r="L48" s="5">
        <f t="shared" si="5"/>
        <v>-1.8498367791077136E-2</v>
      </c>
      <c r="M48" s="5">
        <f t="shared" si="5"/>
        <v>-3.6609843235553916E-3</v>
      </c>
      <c r="N48" s="5">
        <f t="shared" si="3"/>
        <v>-1.8474706808216466E-2</v>
      </c>
      <c r="O48" s="5">
        <f t="shared" si="1"/>
        <v>-1.6507232194670464E-2</v>
      </c>
      <c r="P48" s="79">
        <f t="shared" si="2"/>
        <v>-1.542796615529715E-2</v>
      </c>
      <c r="R48" s="171" t="s">
        <v>305</v>
      </c>
      <c r="S48" s="172">
        <f>Y25 / Y24</f>
        <v>2.1811547264032614</v>
      </c>
      <c r="T48" s="173">
        <f>Z25 / Z24</f>
        <v>1.3058931868584407</v>
      </c>
    </row>
    <row r="49" spans="1:28">
      <c r="A49" s="73">
        <v>44721</v>
      </c>
      <c r="B49" s="45">
        <v>1744.9</v>
      </c>
      <c r="C49" s="105">
        <v>1084.25</v>
      </c>
      <c r="D49" s="5">
        <v>50.7</v>
      </c>
      <c r="E49" s="5">
        <v>497.65</v>
      </c>
      <c r="F49" s="5">
        <v>268.45</v>
      </c>
      <c r="G49" s="5">
        <v>16478.099999999999</v>
      </c>
      <c r="H49" s="5">
        <f t="shared" si="5"/>
        <v>4.7505254369043844E-3</v>
      </c>
      <c r="I49" s="5">
        <f t="shared" si="5"/>
        <v>-2.5298988040478379E-3</v>
      </c>
      <c r="J49" s="5">
        <f t="shared" si="5"/>
        <v>1.9762845849802652E-3</v>
      </c>
      <c r="K49" s="5">
        <f t="shared" si="5"/>
        <v>5.7599029911074495E-3</v>
      </c>
      <c r="L49" s="5">
        <f t="shared" si="5"/>
        <v>-7.9453067257946562E-3</v>
      </c>
      <c r="M49" s="5">
        <f t="shared" si="5"/>
        <v>7.4497516239968543E-3</v>
      </c>
      <c r="N49" s="5">
        <f t="shared" si="3"/>
        <v>-1.6426038133419835E-3</v>
      </c>
      <c r="O49" s="5">
        <f t="shared" si="1"/>
        <v>4.1949372095527451E-3</v>
      </c>
      <c r="P49" s="79">
        <f t="shared" si="2"/>
        <v>3.7895603172626137E-3</v>
      </c>
    </row>
    <row r="50" spans="1:28">
      <c r="A50" s="73">
        <v>44722</v>
      </c>
      <c r="B50" s="45">
        <v>1736.95</v>
      </c>
      <c r="C50" s="105">
        <v>1113.3</v>
      </c>
      <c r="D50" s="5">
        <v>49.8</v>
      </c>
      <c r="E50" s="5">
        <v>502.25</v>
      </c>
      <c r="F50" s="5">
        <v>268.05</v>
      </c>
      <c r="G50" s="5">
        <v>16201.8</v>
      </c>
      <c r="H50" s="5">
        <f t="shared" si="5"/>
        <v>-4.5561350220643271E-3</v>
      </c>
      <c r="I50" s="5">
        <f t="shared" si="5"/>
        <v>2.6792713857505146E-2</v>
      </c>
      <c r="J50" s="5">
        <f t="shared" si="5"/>
        <v>-1.775147928994094E-2</v>
      </c>
      <c r="K50" s="5">
        <f t="shared" si="5"/>
        <v>9.2434441876821528E-3</v>
      </c>
      <c r="L50" s="5">
        <f t="shared" si="5"/>
        <v>-1.4900353883403885E-3</v>
      </c>
      <c r="M50" s="5">
        <f t="shared" si="5"/>
        <v>-1.6767709869463063E-2</v>
      </c>
      <c r="N50" s="5">
        <f t="shared" si="3"/>
        <v>4.4890845515484863E-4</v>
      </c>
      <c r="O50" s="5">
        <f t="shared" si="1"/>
        <v>4.7987696843354152E-3</v>
      </c>
      <c r="P50" s="79">
        <f t="shared" si="2"/>
        <v>4.795392129429722E-3</v>
      </c>
      <c r="R50" s="188" t="s">
        <v>351</v>
      </c>
    </row>
    <row r="51" spans="1:28">
      <c r="A51" s="73">
        <v>44725</v>
      </c>
      <c r="B51" s="45">
        <v>1701.95</v>
      </c>
      <c r="C51" s="105">
        <v>1086.6500000000001</v>
      </c>
      <c r="D51" s="5">
        <v>47.45</v>
      </c>
      <c r="E51" s="5">
        <v>497.8</v>
      </c>
      <c r="F51" s="5">
        <v>253.35</v>
      </c>
      <c r="G51" s="5">
        <v>15774.4</v>
      </c>
      <c r="H51" s="5">
        <f t="shared" si="5"/>
        <v>-2.0150263392728632E-2</v>
      </c>
      <c r="I51" s="5">
        <f t="shared" si="5"/>
        <v>-2.3937842450372643E-2</v>
      </c>
      <c r="J51" s="5">
        <f t="shared" si="5"/>
        <v>-4.7188755020080207E-2</v>
      </c>
      <c r="K51" s="5">
        <f t="shared" si="5"/>
        <v>-8.8601294176206841E-3</v>
      </c>
      <c r="L51" s="5">
        <f t="shared" si="5"/>
        <v>-5.4840514829322951E-2</v>
      </c>
      <c r="M51" s="5">
        <f t="shared" si="5"/>
        <v>-2.6379784962164678E-2</v>
      </c>
      <c r="N51" s="5">
        <f t="shared" si="3"/>
        <v>-3.5932619287468229E-2</v>
      </c>
      <c r="O51" s="5">
        <f t="shared" si="1"/>
        <v>-1.6546298730336109E-2</v>
      </c>
      <c r="P51" s="79">
        <f t="shared" si="2"/>
        <v>-1.8168943552947393E-2</v>
      </c>
      <c r="R51" s="185"/>
    </row>
    <row r="52" spans="1:28" ht="14.4" customHeight="1">
      <c r="A52" s="73">
        <v>44726</v>
      </c>
      <c r="B52" s="45">
        <v>1720.15</v>
      </c>
      <c r="C52" s="105">
        <v>1069.45</v>
      </c>
      <c r="D52" s="5">
        <v>47.55</v>
      </c>
      <c r="E52" s="5">
        <v>495.65</v>
      </c>
      <c r="F52" s="5">
        <v>254</v>
      </c>
      <c r="G52" s="5">
        <v>15732.1</v>
      </c>
      <c r="H52" s="5">
        <f t="shared" si="5"/>
        <v>1.0693616146185284E-2</v>
      </c>
      <c r="I52" s="5">
        <f t="shared" si="5"/>
        <v>-1.5828463626742784E-2</v>
      </c>
      <c r="J52" s="5">
        <f t="shared" si="5"/>
        <v>2.1074815595362342E-3</v>
      </c>
      <c r="K52" s="5">
        <f t="shared" si="5"/>
        <v>-4.3190036159100722E-3</v>
      </c>
      <c r="L52" s="5">
        <f t="shared" si="5"/>
        <v>2.5656206828498351E-3</v>
      </c>
      <c r="M52" s="5">
        <f t="shared" si="5"/>
        <v>-2.6815599959427471E-3</v>
      </c>
      <c r="N52" s="5">
        <f t="shared" si="3"/>
        <v>2.8621643491080523E-3</v>
      </c>
      <c r="O52" s="5">
        <f t="shared" si="1"/>
        <v>4.921755379905014E-4</v>
      </c>
      <c r="P52" s="79">
        <f t="shared" si="2"/>
        <v>2.6766056497824168E-4</v>
      </c>
      <c r="R52" s="185"/>
      <c r="V52" s="193" t="s">
        <v>358</v>
      </c>
      <c r="W52" s="193"/>
      <c r="X52" s="193"/>
      <c r="Y52" s="193"/>
      <c r="Z52" s="193"/>
      <c r="AA52" s="193"/>
      <c r="AB52" s="193"/>
    </row>
    <row r="53" spans="1:28">
      <c r="A53" s="73">
        <v>44727</v>
      </c>
      <c r="B53" s="45">
        <v>1722.3</v>
      </c>
      <c r="C53" s="105">
        <v>1094.9000000000001</v>
      </c>
      <c r="D53" s="5">
        <v>47.5</v>
      </c>
      <c r="E53" s="5">
        <v>496.3</v>
      </c>
      <c r="F53" s="5">
        <v>253.5</v>
      </c>
      <c r="G53" s="5">
        <v>15692.15</v>
      </c>
      <c r="H53" s="5">
        <f t="shared" si="5"/>
        <v>1.2498909978780127E-3</v>
      </c>
      <c r="I53" s="5">
        <f t="shared" si="5"/>
        <v>2.3797278975174196E-2</v>
      </c>
      <c r="J53" s="5">
        <f t="shared" si="5"/>
        <v>-1.0515247108306449E-3</v>
      </c>
      <c r="K53" s="5">
        <f t="shared" si="5"/>
        <v>1.3114092605670013E-3</v>
      </c>
      <c r="L53" s="5">
        <f t="shared" si="5"/>
        <v>-1.968503937007874E-3</v>
      </c>
      <c r="M53" s="5">
        <f t="shared" si="5"/>
        <v>-2.5393939779178067E-3</v>
      </c>
      <c r="N53" s="5">
        <f t="shared" si="3"/>
        <v>1.1321849922270775E-3</v>
      </c>
      <c r="O53" s="5">
        <f t="shared" si="1"/>
        <v>3.2682194622027467E-3</v>
      </c>
      <c r="P53" s="79">
        <f t="shared" si="2"/>
        <v>4.5029481148221029E-3</v>
      </c>
      <c r="V53" s="193"/>
      <c r="W53" s="193"/>
      <c r="X53" s="193"/>
      <c r="Y53" s="193"/>
      <c r="Z53" s="193"/>
      <c r="AA53" s="193"/>
      <c r="AB53" s="193"/>
    </row>
    <row r="54" spans="1:28">
      <c r="A54" s="73">
        <v>44728</v>
      </c>
      <c r="B54" s="45">
        <v>1677.8</v>
      </c>
      <c r="C54" s="105">
        <v>1078.05</v>
      </c>
      <c r="D54" s="5">
        <v>45.6</v>
      </c>
      <c r="E54" s="5">
        <v>497</v>
      </c>
      <c r="F54" s="5">
        <v>245.55</v>
      </c>
      <c r="G54" s="5">
        <v>15360.6</v>
      </c>
      <c r="H54" s="5">
        <f t="shared" si="5"/>
        <v>-2.5837542820646809E-2</v>
      </c>
      <c r="I54" s="5">
        <f t="shared" si="5"/>
        <v>-1.5389533290711604E-2</v>
      </c>
      <c r="J54" s="5">
        <f t="shared" si="5"/>
        <v>-3.9999999999999973E-2</v>
      </c>
      <c r="K54" s="5">
        <f t="shared" si="5"/>
        <v>1.4104372355429953E-3</v>
      </c>
      <c r="L54" s="5">
        <f t="shared" si="5"/>
        <v>-3.1360946745562085E-2</v>
      </c>
      <c r="M54" s="5">
        <f t="shared" si="5"/>
        <v>-2.1128398594201514E-2</v>
      </c>
      <c r="N54" s="5">
        <f t="shared" si="3"/>
        <v>-2.4413183523214213E-2</v>
      </c>
      <c r="O54" s="5">
        <f t="shared" si="1"/>
        <v>-1.2142965904168565E-2</v>
      </c>
      <c r="P54" s="79">
        <f t="shared" si="2"/>
        <v>-1.4493295521730022E-2</v>
      </c>
      <c r="V54" s="193"/>
      <c r="W54" s="193"/>
      <c r="X54" s="193"/>
      <c r="Y54" s="193"/>
      <c r="Z54" s="193"/>
      <c r="AA54" s="193"/>
      <c r="AB54" s="193"/>
    </row>
    <row r="55" spans="1:28">
      <c r="A55" s="73">
        <v>44729</v>
      </c>
      <c r="B55" s="45">
        <v>1636.6</v>
      </c>
      <c r="C55" s="105">
        <v>1043.8</v>
      </c>
      <c r="D55" s="5">
        <v>44.85</v>
      </c>
      <c r="E55" s="5">
        <v>484.6</v>
      </c>
      <c r="F55" s="5">
        <v>246.85</v>
      </c>
      <c r="G55" s="5">
        <v>15293.5</v>
      </c>
      <c r="H55" s="5">
        <f t="shared" si="5"/>
        <v>-2.4555966146143787E-2</v>
      </c>
      <c r="I55" s="5">
        <f t="shared" si="5"/>
        <v>-3.1770326051667366E-2</v>
      </c>
      <c r="J55" s="5">
        <f t="shared" si="5"/>
        <v>-1.6447368421052631E-2</v>
      </c>
      <c r="K55" s="5">
        <f t="shared" si="5"/>
        <v>-2.4949698189134763E-2</v>
      </c>
      <c r="L55" s="5">
        <f t="shared" si="5"/>
        <v>5.2942374261860433E-3</v>
      </c>
      <c r="M55" s="5">
        <f t="shared" si="5"/>
        <v>-4.3683189458745336E-3</v>
      </c>
      <c r="N55" s="5">
        <f t="shared" si="3"/>
        <v>-1.0779177251571887E-2</v>
      </c>
      <c r="O55" s="5">
        <f t="shared" si="1"/>
        <v>-2.453710180474301E-2</v>
      </c>
      <c r="P55" s="79">
        <f t="shared" si="2"/>
        <v>-2.5086871593012084E-2</v>
      </c>
      <c r="V55" s="193"/>
      <c r="W55" s="193"/>
      <c r="X55" s="193"/>
      <c r="Y55" s="193"/>
      <c r="Z55" s="193"/>
      <c r="AA55" s="193"/>
      <c r="AB55" s="193"/>
    </row>
    <row r="56" spans="1:28">
      <c r="A56" s="73">
        <v>44732</v>
      </c>
      <c r="B56" s="45">
        <v>1628.9</v>
      </c>
      <c r="C56" s="105">
        <v>1048.8</v>
      </c>
      <c r="D56" s="5">
        <v>42.1</v>
      </c>
      <c r="E56" s="5">
        <v>500.8</v>
      </c>
      <c r="F56" s="5">
        <v>234.85</v>
      </c>
      <c r="G56" s="5">
        <v>15350.15</v>
      </c>
      <c r="H56" s="5">
        <f t="shared" si="5"/>
        <v>-4.7048759623608818E-3</v>
      </c>
      <c r="I56" s="5">
        <f t="shared" si="5"/>
        <v>4.7901896915117839E-3</v>
      </c>
      <c r="J56" s="5">
        <f t="shared" si="5"/>
        <v>-6.1315496098104792E-2</v>
      </c>
      <c r="K56" s="5">
        <f t="shared" si="5"/>
        <v>3.3429632686751934E-2</v>
      </c>
      <c r="L56" s="5">
        <f t="shared" si="5"/>
        <v>-4.8612517723313757E-2</v>
      </c>
      <c r="M56" s="5">
        <f t="shared" si="5"/>
        <v>3.7041880537483007E-3</v>
      </c>
      <c r="N56" s="5">
        <f t="shared" si="3"/>
        <v>-2.109077041752231E-2</v>
      </c>
      <c r="O56" s="5">
        <f t="shared" si="1"/>
        <v>1.2158219302454979E-2</v>
      </c>
      <c r="P56" s="79">
        <f t="shared" si="2"/>
        <v>7.9502099197725565E-3</v>
      </c>
      <c r="R56" s="189" t="s">
        <v>307</v>
      </c>
      <c r="S56" s="191" t="s">
        <v>286</v>
      </c>
      <c r="T56" s="191" t="s">
        <v>258</v>
      </c>
      <c r="V56" s="193"/>
      <c r="W56" s="193"/>
      <c r="X56" s="193"/>
      <c r="Y56" s="193"/>
      <c r="Z56" s="193"/>
      <c r="AA56" s="193"/>
      <c r="AB56" s="193"/>
    </row>
    <row r="57" spans="1:28">
      <c r="A57" s="73">
        <v>44733</v>
      </c>
      <c r="B57" s="45">
        <v>1658.35</v>
      </c>
      <c r="C57" s="105">
        <v>1050.25</v>
      </c>
      <c r="D57" s="5">
        <v>44.75</v>
      </c>
      <c r="E57" s="5">
        <v>505.9</v>
      </c>
      <c r="F57" s="5">
        <v>241.95</v>
      </c>
      <c r="G57" s="5">
        <v>15638.8</v>
      </c>
      <c r="H57" s="5">
        <f t="shared" si="5"/>
        <v>1.8079685677450927E-2</v>
      </c>
      <c r="I57" s="5">
        <f t="shared" si="5"/>
        <v>1.382532418001569E-3</v>
      </c>
      <c r="J57" s="5">
        <f t="shared" si="5"/>
        <v>6.2945368171021338E-2</v>
      </c>
      <c r="K57" s="5">
        <f t="shared" si="5"/>
        <v>1.0183706070287471E-2</v>
      </c>
      <c r="L57" s="5">
        <f t="shared" si="5"/>
        <v>3.0232063018948242E-2</v>
      </c>
      <c r="M57" s="5">
        <f t="shared" si="5"/>
        <v>1.8804376504464104E-2</v>
      </c>
      <c r="N57" s="5">
        <f t="shared" si="3"/>
        <v>2.2855036244955211E-2</v>
      </c>
      <c r="O57" s="5">
        <f t="shared" si="1"/>
        <v>1.4181130598235708E-2</v>
      </c>
      <c r="P57" s="79">
        <f t="shared" si="2"/>
        <v>1.5226707959969138E-2</v>
      </c>
      <c r="R57" s="190"/>
      <c r="S57" s="192"/>
      <c r="T57" s="192"/>
      <c r="V57" s="193"/>
      <c r="W57" s="193"/>
      <c r="X57" s="193"/>
      <c r="Y57" s="193"/>
      <c r="Z57" s="193"/>
      <c r="AA57" s="193"/>
      <c r="AB57" s="193"/>
    </row>
    <row r="58" spans="1:28">
      <c r="A58" s="73">
        <v>44734</v>
      </c>
      <c r="B58" s="45">
        <v>1643.3</v>
      </c>
      <c r="C58" s="105">
        <v>1020.8</v>
      </c>
      <c r="D58" s="5">
        <v>43.65</v>
      </c>
      <c r="E58" s="5">
        <v>498.95</v>
      </c>
      <c r="F58" s="5">
        <v>237.7</v>
      </c>
      <c r="G58" s="5">
        <v>15413.3</v>
      </c>
      <c r="H58" s="5">
        <f t="shared" si="5"/>
        <v>-9.0752856755208222E-3</v>
      </c>
      <c r="I58" s="5">
        <f t="shared" si="5"/>
        <v>-2.8040942632706543E-2</v>
      </c>
      <c r="J58" s="5">
        <f t="shared" si="5"/>
        <v>-2.4581005586592212E-2</v>
      </c>
      <c r="K58" s="5">
        <f t="shared" si="5"/>
        <v>-1.373789286420239E-2</v>
      </c>
      <c r="L58" s="5">
        <f t="shared" si="5"/>
        <v>-1.7565612729902872E-2</v>
      </c>
      <c r="M58" s="5">
        <f t="shared" si="5"/>
        <v>-1.4419264905235697E-2</v>
      </c>
      <c r="N58" s="5">
        <f t="shared" si="3"/>
        <v>-1.5357081159262648E-2</v>
      </c>
      <c r="O58" s="5">
        <f t="shared" si="1"/>
        <v>-1.374063089373358E-2</v>
      </c>
      <c r="P58" s="79">
        <f t="shared" si="2"/>
        <v>-1.4730535955396392E-2</v>
      </c>
      <c r="R58" s="38" t="s">
        <v>308</v>
      </c>
      <c r="S58" s="22">
        <f>Y24</f>
        <v>0.154818816785951</v>
      </c>
      <c r="T58" s="22">
        <f>V13</f>
        <v>-0.15176088194904447</v>
      </c>
      <c r="V58" s="193"/>
      <c r="W58" s="193"/>
      <c r="X58" s="193"/>
      <c r="Y58" s="193"/>
      <c r="Z58" s="193"/>
      <c r="AA58" s="193"/>
      <c r="AB58" s="193"/>
    </row>
    <row r="59" spans="1:28">
      <c r="A59" s="73">
        <v>44735</v>
      </c>
      <c r="B59" s="45">
        <v>1689.15</v>
      </c>
      <c r="C59" s="105">
        <v>1029.75</v>
      </c>
      <c r="D59" s="5">
        <v>44.3</v>
      </c>
      <c r="E59" s="5">
        <v>505.15</v>
      </c>
      <c r="F59" s="5">
        <v>239.55</v>
      </c>
      <c r="G59" s="5">
        <v>15556.65</v>
      </c>
      <c r="H59" s="5">
        <f t="shared" si="5"/>
        <v>2.7901174466013593E-2</v>
      </c>
      <c r="I59" s="5">
        <f t="shared" si="5"/>
        <v>8.7676332288401711E-3</v>
      </c>
      <c r="J59" s="5">
        <f t="shared" si="5"/>
        <v>1.4891179839633416E-2</v>
      </c>
      <c r="K59" s="5">
        <f t="shared" si="5"/>
        <v>1.2426094799078042E-2</v>
      </c>
      <c r="L59" s="5">
        <f t="shared" si="5"/>
        <v>7.7829196466134738E-3</v>
      </c>
      <c r="M59" s="5">
        <f t="shared" si="5"/>
        <v>9.3004093866985247E-3</v>
      </c>
      <c r="N59" s="5">
        <f t="shared" si="3"/>
        <v>1.4708969611673492E-2</v>
      </c>
      <c r="O59" s="5">
        <f t="shared" si="1"/>
        <v>1.7781814635411754E-2</v>
      </c>
      <c r="P59" s="79">
        <f t="shared" si="2"/>
        <v>1.8051993970770196E-2</v>
      </c>
      <c r="R59" s="38" t="s">
        <v>309</v>
      </c>
      <c r="S59" s="23">
        <f>Y25</f>
        <v>0.33768379396883758</v>
      </c>
      <c r="T59" s="23">
        <f>W13</f>
        <v>0.21978440708475377</v>
      </c>
      <c r="V59" s="193"/>
      <c r="W59" s="193"/>
      <c r="X59" s="193"/>
      <c r="Y59" s="193"/>
      <c r="Z59" s="193"/>
      <c r="AA59" s="193"/>
      <c r="AB59" s="193"/>
    </row>
    <row r="60" spans="1:28">
      <c r="A60" s="73">
        <v>44736</v>
      </c>
      <c r="B60" s="45">
        <v>1739.45</v>
      </c>
      <c r="C60" s="105">
        <v>1058.7</v>
      </c>
      <c r="D60" s="5">
        <v>45.55</v>
      </c>
      <c r="E60" s="5">
        <v>509.75</v>
      </c>
      <c r="F60" s="5">
        <v>245.3</v>
      </c>
      <c r="G60" s="5">
        <v>15699.25</v>
      </c>
      <c r="H60" s="5">
        <f t="shared" si="5"/>
        <v>2.9778290856347839E-2</v>
      </c>
      <c r="I60" s="5">
        <f t="shared" si="5"/>
        <v>2.8113619810633692E-2</v>
      </c>
      <c r="J60" s="5">
        <f t="shared" si="5"/>
        <v>2.8216704288939055E-2</v>
      </c>
      <c r="K60" s="5">
        <f t="shared" si="5"/>
        <v>9.1062060774027963E-3</v>
      </c>
      <c r="L60" s="5">
        <f t="shared" si="5"/>
        <v>2.4003339595074096E-2</v>
      </c>
      <c r="M60" s="5">
        <f t="shared" si="5"/>
        <v>9.1664979285386236E-3</v>
      </c>
      <c r="N60" s="5">
        <f t="shared" si="3"/>
        <v>2.4071421261520363E-2</v>
      </c>
      <c r="O60" s="5">
        <f t="shared" si="1"/>
        <v>1.9417354742062597E-2</v>
      </c>
      <c r="P60" s="79">
        <f t="shared" si="2"/>
        <v>2.1309739019066611E-2</v>
      </c>
      <c r="R60" s="38" t="s">
        <v>291</v>
      </c>
      <c r="S60" s="23">
        <f>Y28</f>
        <v>1.096503305612365</v>
      </c>
      <c r="T60" s="23">
        <f>T28</f>
        <v>0.74440266775792951</v>
      </c>
      <c r="V60" s="193"/>
      <c r="W60" s="193"/>
      <c r="X60" s="193"/>
      <c r="Y60" s="193"/>
      <c r="Z60" s="193"/>
      <c r="AA60" s="193"/>
      <c r="AB60" s="193"/>
    </row>
    <row r="61" spans="1:28">
      <c r="A61" s="73">
        <v>44739</v>
      </c>
      <c r="B61" s="45">
        <v>1749.05</v>
      </c>
      <c r="C61" s="105">
        <v>1049.0999999999999</v>
      </c>
      <c r="D61" s="5">
        <v>45.95</v>
      </c>
      <c r="E61" s="5">
        <v>515.70000000000005</v>
      </c>
      <c r="F61" s="5">
        <v>250.35</v>
      </c>
      <c r="G61" s="5">
        <v>15832.05</v>
      </c>
      <c r="H61" s="5">
        <f t="shared" si="5"/>
        <v>5.5189858863433318E-3</v>
      </c>
      <c r="I61" s="5">
        <f t="shared" si="5"/>
        <v>-9.0677245678663799E-3</v>
      </c>
      <c r="J61" s="5">
        <f t="shared" si="5"/>
        <v>8.7815587266741098E-3</v>
      </c>
      <c r="K61" s="5">
        <f t="shared" si="5"/>
        <v>1.1672388425698961E-2</v>
      </c>
      <c r="L61" s="5">
        <f t="shared" si="5"/>
        <v>2.0587036282103476E-2</v>
      </c>
      <c r="M61" s="5">
        <f t="shared" si="5"/>
        <v>8.4590028186059384E-3</v>
      </c>
      <c r="N61" s="5">
        <f t="shared" si="3"/>
        <v>1.2616390014235618E-2</v>
      </c>
      <c r="O61" s="5">
        <f t="shared" si="1"/>
        <v>7.5575184254728575E-3</v>
      </c>
      <c r="P61" s="79">
        <f t="shared" si="2"/>
        <v>6.0399125749392851E-3</v>
      </c>
      <c r="R61" s="38" t="s">
        <v>305</v>
      </c>
      <c r="S61" s="23">
        <f>S59/S58</f>
        <v>2.1811547264032614</v>
      </c>
      <c r="T61" s="23">
        <f>T59/T58</f>
        <v>-1.4482283198548425</v>
      </c>
      <c r="V61" s="193"/>
      <c r="W61" s="193"/>
      <c r="X61" s="193"/>
      <c r="Y61" s="193"/>
      <c r="Z61" s="193"/>
      <c r="AA61" s="193"/>
      <c r="AB61" s="193"/>
    </row>
    <row r="62" spans="1:28">
      <c r="A62" s="73">
        <v>44740</v>
      </c>
      <c r="B62" s="45">
        <v>1712.45</v>
      </c>
      <c r="C62" s="105">
        <v>1068.25</v>
      </c>
      <c r="D62" s="5">
        <v>46.3</v>
      </c>
      <c r="E62" s="5">
        <v>512.1</v>
      </c>
      <c r="F62" s="5">
        <v>255.35</v>
      </c>
      <c r="G62" s="5">
        <v>15850.2</v>
      </c>
      <c r="H62" s="5">
        <f t="shared" si="5"/>
        <v>-2.0925645350332988E-2</v>
      </c>
      <c r="I62" s="5">
        <f t="shared" si="5"/>
        <v>1.8253741302068527E-2</v>
      </c>
      <c r="J62" s="5">
        <f t="shared" si="5"/>
        <v>7.6169749727963941E-3</v>
      </c>
      <c r="K62" s="5">
        <f t="shared" ref="K62:M125" si="7">(E62 - E61) / E61</f>
        <v>-6.9808027923211604E-3</v>
      </c>
      <c r="L62" s="5">
        <f t="shared" si="7"/>
        <v>1.9972039145196727E-2</v>
      </c>
      <c r="M62" s="5">
        <f t="shared" si="7"/>
        <v>1.1464087089164989E-3</v>
      </c>
      <c r="N62" s="5">
        <f t="shared" si="3"/>
        <v>3.5657036751423465E-3</v>
      </c>
      <c r="O62" s="5">
        <f t="shared" si="1"/>
        <v>-8.7695816602835937E-3</v>
      </c>
      <c r="P62" s="79">
        <f t="shared" si="2"/>
        <v>-7.584300815099386E-3</v>
      </c>
      <c r="V62" s="193"/>
      <c r="W62" s="193"/>
      <c r="X62" s="193"/>
      <c r="Y62" s="193"/>
      <c r="Z62" s="193"/>
      <c r="AA62" s="193"/>
      <c r="AB62" s="193"/>
    </row>
    <row r="63" spans="1:28">
      <c r="A63" s="73">
        <v>44741</v>
      </c>
      <c r="B63" s="45">
        <v>1679.65</v>
      </c>
      <c r="C63" s="105">
        <v>1109.25</v>
      </c>
      <c r="D63" s="5">
        <v>46.15</v>
      </c>
      <c r="E63" s="5">
        <v>501.2</v>
      </c>
      <c r="F63" s="5">
        <v>251.1</v>
      </c>
      <c r="G63" s="5">
        <v>15799.1</v>
      </c>
      <c r="H63" s="5">
        <f t="shared" ref="H63:M126" si="8">(B63 - B62) / B62</f>
        <v>-1.9153843907851298E-2</v>
      </c>
      <c r="I63" s="5">
        <f t="shared" si="8"/>
        <v>3.8380528902410484E-2</v>
      </c>
      <c r="J63" s="5">
        <f t="shared" si="8"/>
        <v>-3.2397408207343109E-3</v>
      </c>
      <c r="K63" s="5">
        <f t="shared" si="7"/>
        <v>-2.1284905291935236E-2</v>
      </c>
      <c r="L63" s="5">
        <f t="shared" si="7"/>
        <v>-1.6643822204816919E-2</v>
      </c>
      <c r="M63" s="5">
        <f t="shared" si="7"/>
        <v>-3.2239340828507123E-3</v>
      </c>
      <c r="N63" s="5">
        <f t="shared" si="3"/>
        <v>-1.4126760839455724E-2</v>
      </c>
      <c r="O63" s="5">
        <f t="shared" si="1"/>
        <v>-1.4275110285543123E-2</v>
      </c>
      <c r="P63" s="79">
        <f t="shared" si="2"/>
        <v>-1.037806829240885E-2</v>
      </c>
      <c r="V63" s="193"/>
      <c r="W63" s="193"/>
      <c r="X63" s="193"/>
      <c r="Y63" s="193"/>
      <c r="Z63" s="193"/>
      <c r="AA63" s="193"/>
      <c r="AB63" s="193"/>
    </row>
    <row r="64" spans="1:28">
      <c r="A64" s="73">
        <v>44742</v>
      </c>
      <c r="B64" s="45">
        <v>1668.7</v>
      </c>
      <c r="C64" s="105">
        <v>1074.1500000000001</v>
      </c>
      <c r="D64" s="5">
        <v>44.95</v>
      </c>
      <c r="E64" s="5">
        <v>495.95</v>
      </c>
      <c r="F64" s="5">
        <v>246.25</v>
      </c>
      <c r="G64" s="5">
        <v>15780.25</v>
      </c>
      <c r="H64" s="5">
        <f t="shared" si="8"/>
        <v>-6.519215312713985E-3</v>
      </c>
      <c r="I64" s="5">
        <f t="shared" si="8"/>
        <v>-3.1643002028397482E-2</v>
      </c>
      <c r="J64" s="5">
        <f t="shared" si="8"/>
        <v>-2.600216684723718E-2</v>
      </c>
      <c r="K64" s="5">
        <f t="shared" si="7"/>
        <v>-1.0474860335195532E-2</v>
      </c>
      <c r="L64" s="5">
        <f t="shared" si="7"/>
        <v>-1.9315013938669832E-2</v>
      </c>
      <c r="M64" s="5">
        <f t="shared" si="7"/>
        <v>-1.1931059364141225E-3</v>
      </c>
      <c r="N64" s="5">
        <f t="shared" si="3"/>
        <v>-1.5238294942711034E-2</v>
      </c>
      <c r="O64" s="5">
        <f t="shared" si="1"/>
        <v>-1.1627039871939242E-2</v>
      </c>
      <c r="P64" s="79">
        <f t="shared" si="2"/>
        <v>-1.3091815185219064E-2</v>
      </c>
      <c r="V64" s="193"/>
      <c r="W64" s="193"/>
      <c r="X64" s="193"/>
      <c r="Y64" s="193"/>
      <c r="Z64" s="193"/>
      <c r="AA64" s="193"/>
      <c r="AB64" s="193"/>
    </row>
    <row r="65" spans="1:28">
      <c r="A65" s="73">
        <v>44743</v>
      </c>
      <c r="B65" s="45">
        <v>1701.6</v>
      </c>
      <c r="C65" s="105">
        <v>1073.55</v>
      </c>
      <c r="D65" s="5">
        <v>45.65</v>
      </c>
      <c r="E65" s="5">
        <v>511.25</v>
      </c>
      <c r="F65" s="5">
        <v>248.15</v>
      </c>
      <c r="G65" s="5">
        <v>15752.05</v>
      </c>
      <c r="H65" s="5">
        <f t="shared" si="8"/>
        <v>1.9715946545214757E-2</v>
      </c>
      <c r="I65" s="5">
        <f t="shared" si="8"/>
        <v>-5.5858120374262102E-4</v>
      </c>
      <c r="J65" s="5">
        <f t="shared" si="8"/>
        <v>1.5572858731924264E-2</v>
      </c>
      <c r="K65" s="5">
        <f t="shared" si="7"/>
        <v>3.084988406089326E-2</v>
      </c>
      <c r="L65" s="5">
        <f t="shared" si="7"/>
        <v>7.7157360406091601E-3</v>
      </c>
      <c r="M65" s="5">
        <f t="shared" si="7"/>
        <v>-1.7870439314966954E-3</v>
      </c>
      <c r="N65" s="5">
        <f t="shared" si="3"/>
        <v>1.4164585518136204E-2</v>
      </c>
      <c r="O65" s="5">
        <f t="shared" si="1"/>
        <v>2.2827849512332136E-2</v>
      </c>
      <c r="P65" s="79">
        <f t="shared" si="2"/>
        <v>2.0684203134878561E-2</v>
      </c>
      <c r="V65" s="193"/>
      <c r="W65" s="193"/>
      <c r="X65" s="193"/>
      <c r="Y65" s="193"/>
      <c r="Z65" s="193"/>
      <c r="AA65" s="193"/>
      <c r="AB65" s="193"/>
    </row>
    <row r="66" spans="1:28">
      <c r="A66" s="73">
        <v>44746</v>
      </c>
      <c r="B66" s="45">
        <v>1724.9</v>
      </c>
      <c r="C66" s="105">
        <v>1118.2</v>
      </c>
      <c r="D66" s="5">
        <v>45.7</v>
      </c>
      <c r="E66" s="5">
        <v>525</v>
      </c>
      <c r="F66" s="5">
        <v>255.3</v>
      </c>
      <c r="G66" s="5">
        <v>15835.35</v>
      </c>
      <c r="H66" s="5">
        <f t="shared" si="8"/>
        <v>1.369299482839691E-2</v>
      </c>
      <c r="I66" s="5">
        <f t="shared" si="8"/>
        <v>4.1590983186623902E-2</v>
      </c>
      <c r="J66" s="5">
        <f t="shared" si="8"/>
        <v>1.0952902519168514E-3</v>
      </c>
      <c r="K66" s="5">
        <f t="shared" si="7"/>
        <v>2.6894865525672371E-2</v>
      </c>
      <c r="L66" s="5">
        <f t="shared" si="7"/>
        <v>2.8813217811807398E-2</v>
      </c>
      <c r="M66" s="5">
        <f t="shared" si="7"/>
        <v>5.2882005834161963E-3</v>
      </c>
      <c r="N66" s="5">
        <f t="shared" si="3"/>
        <v>2.4094836808338467E-2</v>
      </c>
      <c r="O66" s="5">
        <f t="shared" si="1"/>
        <v>2.2718307830887439E-2</v>
      </c>
      <c r="P66" s="79">
        <f t="shared" si="2"/>
        <v>2.2419631920237999E-2</v>
      </c>
      <c r="V66" s="193"/>
      <c r="W66" s="193"/>
      <c r="X66" s="193"/>
      <c r="Y66" s="193"/>
      <c r="Z66" s="193"/>
      <c r="AA66" s="193"/>
      <c r="AB66" s="193"/>
    </row>
    <row r="67" spans="1:28">
      <c r="A67" s="73">
        <v>44747</v>
      </c>
      <c r="B67" s="45">
        <v>1725.05</v>
      </c>
      <c r="C67" s="105">
        <v>1120.3499999999999</v>
      </c>
      <c r="D67" s="5">
        <v>45.2</v>
      </c>
      <c r="E67" s="5">
        <v>530.70000000000005</v>
      </c>
      <c r="F67" s="5">
        <v>252.7</v>
      </c>
      <c r="G67" s="5">
        <v>15810.85</v>
      </c>
      <c r="H67" s="5">
        <f t="shared" si="8"/>
        <v>8.6961562989079695E-5</v>
      </c>
      <c r="I67" s="5">
        <f t="shared" si="8"/>
        <v>1.9227329636915251E-3</v>
      </c>
      <c r="J67" s="5">
        <f t="shared" si="8"/>
        <v>-1.0940919037199124E-2</v>
      </c>
      <c r="K67" s="5">
        <f t="shared" si="7"/>
        <v>1.0857142857142944E-2</v>
      </c>
      <c r="L67" s="5">
        <f t="shared" si="7"/>
        <v>-1.0184097140618969E-2</v>
      </c>
      <c r="M67" s="5">
        <f t="shared" si="7"/>
        <v>-1.5471713602793749E-3</v>
      </c>
      <c r="N67" s="5">
        <f t="shared" si="3"/>
        <v>-3.4579996320377466E-3</v>
      </c>
      <c r="O67" s="5">
        <f t="shared" si="1"/>
        <v>4.9539250754750764E-3</v>
      </c>
      <c r="P67" s="79">
        <f t="shared" si="2"/>
        <v>3.8433350852989062E-3</v>
      </c>
      <c r="V67" s="193"/>
      <c r="W67" s="193"/>
      <c r="X67" s="193"/>
      <c r="Y67" s="193"/>
      <c r="Z67" s="193"/>
      <c r="AA67" s="193"/>
      <c r="AB67" s="193"/>
    </row>
    <row r="68" spans="1:28">
      <c r="A68" s="73">
        <v>44748</v>
      </c>
      <c r="B68" s="45">
        <v>1783.8</v>
      </c>
      <c r="C68" s="105">
        <v>1172</v>
      </c>
      <c r="D68" s="5">
        <v>45.95</v>
      </c>
      <c r="E68" s="5">
        <v>542.95000000000005</v>
      </c>
      <c r="F68" s="5">
        <v>255.55</v>
      </c>
      <c r="G68" s="5">
        <v>15989.8</v>
      </c>
      <c r="H68" s="5">
        <f t="shared" si="8"/>
        <v>3.4056983855540422E-2</v>
      </c>
      <c r="I68" s="5">
        <f t="shared" si="8"/>
        <v>4.6101664658365772E-2</v>
      </c>
      <c r="J68" s="5">
        <f t="shared" si="8"/>
        <v>1.6592920353982299E-2</v>
      </c>
      <c r="K68" s="5">
        <f t="shared" si="7"/>
        <v>2.3082720934614658E-2</v>
      </c>
      <c r="L68" s="5">
        <f t="shared" si="7"/>
        <v>1.1278195488721896E-2</v>
      </c>
      <c r="M68" s="5">
        <f t="shared" si="7"/>
        <v>1.1318177074603763E-2</v>
      </c>
      <c r="N68" s="5">
        <f t="shared" si="3"/>
        <v>2.2117445446708777E-2</v>
      </c>
      <c r="O68" s="5">
        <f t="shared" ref="O68:O131" si="9">$V$86*H68 +$V$87*I68 + $V$88*J68 + $V$89*K68+ $V$90*L68</f>
        <v>2.8876477332892714E-2</v>
      </c>
      <c r="P68" s="79">
        <f t="shared" ref="P68:P131" si="10">$V$104*H68 +$V$105*I68 + $V$106*J68 + $V$107*K68+ $V$108*L68</f>
        <v>3.0370992367600061E-2</v>
      </c>
    </row>
    <row r="69" spans="1:28" ht="14.55" customHeight="1">
      <c r="A69" s="73">
        <v>44749</v>
      </c>
      <c r="B69" s="45">
        <v>1784.5</v>
      </c>
      <c r="C69" s="105">
        <v>1170.55</v>
      </c>
      <c r="D69" s="5">
        <v>47</v>
      </c>
      <c r="E69" s="5">
        <v>543.54999999999995</v>
      </c>
      <c r="F69" s="5">
        <v>260.60000000000002</v>
      </c>
      <c r="G69" s="5">
        <v>16132.9</v>
      </c>
      <c r="H69" s="5">
        <f t="shared" si="8"/>
        <v>3.9242067496358642E-4</v>
      </c>
      <c r="I69" s="5">
        <f t="shared" si="8"/>
        <v>-1.2372013651877521E-3</v>
      </c>
      <c r="J69" s="5">
        <f t="shared" si="8"/>
        <v>2.2850924918389491E-2</v>
      </c>
      <c r="K69" s="5">
        <f t="shared" si="7"/>
        <v>1.1050741320561912E-3</v>
      </c>
      <c r="L69" s="5">
        <f t="shared" si="7"/>
        <v>1.9761299158677408E-2</v>
      </c>
      <c r="M69" s="5">
        <f t="shared" si="7"/>
        <v>8.9494552777395816E-3</v>
      </c>
      <c r="N69" s="5">
        <f t="shared" ref="N69:N132" si="11">((H69 *0.3 ) + (I69 * 0.064462757 ) + (J69 * 0.026806099 ) + (K69 * 0.137093997) + (L69 * 0.471637147))</f>
        <v>1.0122178733085825E-2</v>
      </c>
      <c r="O69" s="5">
        <f t="shared" si="9"/>
        <v>1.6352147539371305E-3</v>
      </c>
      <c r="P69" s="79">
        <f t="shared" si="10"/>
        <v>1.9013578778824391E-3</v>
      </c>
      <c r="R69" s="188" t="s">
        <v>352</v>
      </c>
    </row>
    <row r="70" spans="1:28" ht="16.8" customHeight="1">
      <c r="A70" s="73">
        <v>44750</v>
      </c>
      <c r="B70" s="45">
        <v>1791.85</v>
      </c>
      <c r="C70" s="105">
        <v>1204.25</v>
      </c>
      <c r="D70" s="5">
        <v>47.05</v>
      </c>
      <c r="E70" s="5">
        <v>543.9</v>
      </c>
      <c r="F70" s="5">
        <v>263.35000000000002</v>
      </c>
      <c r="G70" s="5">
        <v>16220.6</v>
      </c>
      <c r="H70" s="5">
        <f t="shared" si="8"/>
        <v>4.1188007845334319E-3</v>
      </c>
      <c r="I70" s="5">
        <f t="shared" si="8"/>
        <v>2.8789885096749433E-2</v>
      </c>
      <c r="J70" s="5">
        <f t="shared" si="8"/>
        <v>1.0638297872339821E-3</v>
      </c>
      <c r="K70" s="5">
        <f t="shared" si="7"/>
        <v>6.4391500321961685E-4</v>
      </c>
      <c r="L70" s="5">
        <f t="shared" si="7"/>
        <v>1.0552570990023023E-2</v>
      </c>
      <c r="M70" s="5">
        <f t="shared" si="7"/>
        <v>5.4360964240775514E-3</v>
      </c>
      <c r="N70" s="5">
        <f t="shared" si="11"/>
        <v>8.1852940857745204E-3</v>
      </c>
      <c r="O70" s="5">
        <f t="shared" si="9"/>
        <v>4.8156183024553947E-3</v>
      </c>
      <c r="P70" s="79">
        <f t="shared" si="10"/>
        <v>6.337892272899848E-3</v>
      </c>
      <c r="R70" s="185"/>
    </row>
    <row r="71" spans="1:28" ht="19.8" customHeight="1">
      <c r="A71" s="73">
        <v>44753</v>
      </c>
      <c r="B71" s="45">
        <v>1836.35</v>
      </c>
      <c r="C71" s="105">
        <v>1207.4000000000001</v>
      </c>
      <c r="D71" s="5">
        <v>48.05</v>
      </c>
      <c r="E71" s="5">
        <v>545.4</v>
      </c>
      <c r="F71" s="5">
        <v>263.10000000000002</v>
      </c>
      <c r="G71" s="5">
        <v>16216</v>
      </c>
      <c r="H71" s="5">
        <f t="shared" si="8"/>
        <v>2.4834668080475488E-2</v>
      </c>
      <c r="I71" s="5">
        <f t="shared" si="8"/>
        <v>2.6157359352294712E-3</v>
      </c>
      <c r="J71" s="5">
        <f t="shared" si="8"/>
        <v>2.1253985122210415E-2</v>
      </c>
      <c r="K71" s="5">
        <f t="shared" si="7"/>
        <v>2.7578599007170436E-3</v>
      </c>
      <c r="L71" s="5">
        <f t="shared" si="7"/>
        <v>-9.4930700588570331E-4</v>
      </c>
      <c r="M71" s="5">
        <f t="shared" si="7"/>
        <v>-2.8359000283592243E-4</v>
      </c>
      <c r="N71" s="5">
        <f t="shared" si="11"/>
        <v>8.1191119925142878E-3</v>
      </c>
      <c r="O71" s="5">
        <f t="shared" si="9"/>
        <v>1.1353907056917354E-2</v>
      </c>
      <c r="P71" s="79">
        <f t="shared" si="10"/>
        <v>1.2454500101739673E-2</v>
      </c>
      <c r="R71" s="185"/>
    </row>
    <row r="72" spans="1:28">
      <c r="A72" s="73">
        <v>44754</v>
      </c>
      <c r="B72" s="45">
        <v>1801.85</v>
      </c>
      <c r="C72" s="105">
        <v>1195.95</v>
      </c>
      <c r="D72" s="5">
        <v>48.5</v>
      </c>
      <c r="E72" s="5">
        <v>543.45000000000005</v>
      </c>
      <c r="F72" s="5">
        <v>260.35000000000002</v>
      </c>
      <c r="G72" s="5">
        <v>16058.3</v>
      </c>
      <c r="H72" s="5">
        <f t="shared" si="8"/>
        <v>-1.878726822228878E-2</v>
      </c>
      <c r="I72" s="5">
        <f t="shared" si="8"/>
        <v>-9.4831870134172973E-3</v>
      </c>
      <c r="J72" s="5">
        <f t="shared" si="8"/>
        <v>9.3652445369407471E-3</v>
      </c>
      <c r="K72" s="5">
        <f t="shared" si="7"/>
        <v>-3.5753575357534506E-3</v>
      </c>
      <c r="L72" s="5">
        <f t="shared" si="7"/>
        <v>-1.0452299505891296E-2</v>
      </c>
      <c r="M72" s="5">
        <f t="shared" si="7"/>
        <v>-9.724962999506705E-3</v>
      </c>
      <c r="N72" s="5">
        <f t="shared" si="11"/>
        <v>-1.1416299948330256E-2</v>
      </c>
      <c r="O72" s="5">
        <f t="shared" si="9"/>
        <v>-9.5676788846358746E-3</v>
      </c>
      <c r="P72" s="79">
        <f t="shared" si="10"/>
        <v>-9.7140763700681344E-3</v>
      </c>
    </row>
    <row r="73" spans="1:28">
      <c r="A73" s="73">
        <v>44755</v>
      </c>
      <c r="B73" s="45">
        <v>1784.3</v>
      </c>
      <c r="C73" s="105">
        <v>1205.55</v>
      </c>
      <c r="D73" s="5">
        <v>48.35</v>
      </c>
      <c r="E73" s="5">
        <v>545.29999999999995</v>
      </c>
      <c r="F73" s="5">
        <v>260.5</v>
      </c>
      <c r="G73" s="5">
        <v>15966.65</v>
      </c>
      <c r="H73" s="5">
        <f t="shared" si="8"/>
        <v>-9.7399894552820457E-3</v>
      </c>
      <c r="I73" s="5">
        <f t="shared" si="8"/>
        <v>8.0270914335882852E-3</v>
      </c>
      <c r="J73" s="5">
        <f t="shared" si="8"/>
        <v>-3.09278350515461E-3</v>
      </c>
      <c r="K73" s="5">
        <f t="shared" si="7"/>
        <v>3.4041770172047272E-3</v>
      </c>
      <c r="L73" s="5">
        <f t="shared" si="7"/>
        <v>5.7614749375831478E-4</v>
      </c>
      <c r="M73" s="5">
        <f t="shared" si="7"/>
        <v>-5.7073289202468278E-3</v>
      </c>
      <c r="N73" s="5">
        <f t="shared" si="11"/>
        <v>-1.7490290589176661E-3</v>
      </c>
      <c r="O73" s="5">
        <f t="shared" si="9"/>
        <v>-1.2744404964599174E-3</v>
      </c>
      <c r="P73" s="79">
        <f t="shared" si="10"/>
        <v>-1.4585077086173188E-3</v>
      </c>
    </row>
    <row r="74" spans="1:28">
      <c r="A74" s="73">
        <v>44756</v>
      </c>
      <c r="B74" s="45">
        <v>1785.05</v>
      </c>
      <c r="C74" s="105">
        <v>1179.3</v>
      </c>
      <c r="D74" s="5">
        <v>49.25</v>
      </c>
      <c r="E74" s="5">
        <v>549.25</v>
      </c>
      <c r="F74" s="5">
        <v>257.64999999999998</v>
      </c>
      <c r="G74" s="5">
        <v>15938.65</v>
      </c>
      <c r="H74" s="5">
        <f t="shared" si="8"/>
        <v>4.2033290365969849E-4</v>
      </c>
      <c r="I74" s="5">
        <f t="shared" si="8"/>
        <v>-2.1774293890755258E-2</v>
      </c>
      <c r="J74" s="5">
        <f t="shared" si="8"/>
        <v>1.8614270941054778E-2</v>
      </c>
      <c r="K74" s="5">
        <f t="shared" si="7"/>
        <v>7.2437190537319746E-3</v>
      </c>
      <c r="L74" s="5">
        <f t="shared" si="7"/>
        <v>-1.0940499040307189E-2</v>
      </c>
      <c r="M74" s="5">
        <f t="shared" si="7"/>
        <v>-1.7536552752142748E-3</v>
      </c>
      <c r="N74" s="5">
        <f t="shared" si="11"/>
        <v>-4.9454305110752401E-3</v>
      </c>
      <c r="O74" s="5">
        <f t="shared" si="9"/>
        <v>1.8884888834757242E-3</v>
      </c>
      <c r="P74" s="79">
        <f t="shared" si="10"/>
        <v>7.3950128281545285E-4</v>
      </c>
    </row>
    <row r="75" spans="1:28">
      <c r="A75" s="73">
        <v>44757</v>
      </c>
      <c r="B75" s="45">
        <v>1812.5</v>
      </c>
      <c r="C75" s="105">
        <v>1210.7</v>
      </c>
      <c r="D75" s="5">
        <v>49.55</v>
      </c>
      <c r="E75" s="5">
        <v>548.35</v>
      </c>
      <c r="F75" s="5">
        <v>259.75</v>
      </c>
      <c r="G75" s="5">
        <v>16049.2</v>
      </c>
      <c r="H75" s="5">
        <f t="shared" si="8"/>
        <v>1.5377720512030501E-2</v>
      </c>
      <c r="I75" s="5">
        <f t="shared" si="8"/>
        <v>2.6625964555244713E-2</v>
      </c>
      <c r="J75" s="5">
        <f t="shared" si="8"/>
        <v>6.0913705583755771E-3</v>
      </c>
      <c r="K75" s="5">
        <f t="shared" si="7"/>
        <v>-1.6385980883021889E-3</v>
      </c>
      <c r="L75" s="5">
        <f t="shared" si="7"/>
        <v>8.1505918882205427E-3</v>
      </c>
      <c r="M75" s="5">
        <f t="shared" si="7"/>
        <v>6.9359701103921031E-3</v>
      </c>
      <c r="N75" s="5">
        <f t="shared" si="11"/>
        <v>1.0112465061977776E-2</v>
      </c>
      <c r="O75" s="5">
        <f t="shared" si="9"/>
        <v>7.762148181669511E-3</v>
      </c>
      <c r="P75" s="79">
        <f t="shared" si="10"/>
        <v>9.8120759963835572E-3</v>
      </c>
      <c r="R75" s="187" t="s">
        <v>321</v>
      </c>
      <c r="S75" s="187"/>
      <c r="T75" s="187"/>
      <c r="U75" s="187"/>
      <c r="V75" s="187"/>
      <c r="W75" s="187"/>
    </row>
    <row r="76" spans="1:28">
      <c r="A76" s="73">
        <v>44760</v>
      </c>
      <c r="B76" s="45">
        <v>1810.6</v>
      </c>
      <c r="C76" s="105">
        <v>1208.55</v>
      </c>
      <c r="D76" s="5">
        <v>50.45</v>
      </c>
      <c r="E76" s="5">
        <v>550.1</v>
      </c>
      <c r="F76" s="5">
        <v>263.89999999999998</v>
      </c>
      <c r="G76" s="5">
        <v>16278.5</v>
      </c>
      <c r="H76" s="5">
        <f t="shared" si="8"/>
        <v>-1.0482758620690158E-3</v>
      </c>
      <c r="I76" s="5">
        <f t="shared" si="8"/>
        <v>-1.7758321632114404E-3</v>
      </c>
      <c r="J76" s="5">
        <f t="shared" si="8"/>
        <v>1.816347124117065E-2</v>
      </c>
      <c r="K76" s="5">
        <f t="shared" si="7"/>
        <v>3.1913923588948664E-3</v>
      </c>
      <c r="L76" s="5">
        <f t="shared" si="7"/>
        <v>1.597690086621743E-2</v>
      </c>
      <c r="M76" s="5">
        <f t="shared" si="7"/>
        <v>1.428731650175705E-2</v>
      </c>
      <c r="N76" s="5">
        <f t="shared" si="11"/>
        <v>8.0307546893646584E-3</v>
      </c>
      <c r="O76" s="5">
        <f t="shared" si="9"/>
        <v>1.8494886580645558E-3</v>
      </c>
      <c r="P76" s="79">
        <f t="shared" si="10"/>
        <v>1.7653829146476734E-3</v>
      </c>
      <c r="R76" s="121" t="s">
        <v>237</v>
      </c>
      <c r="S76" s="139" t="s">
        <v>258</v>
      </c>
      <c r="T76" s="122" t="s">
        <v>349</v>
      </c>
      <c r="U76" s="122" t="s">
        <v>279</v>
      </c>
      <c r="V76" s="126" t="s">
        <v>319</v>
      </c>
      <c r="W76" s="140" t="s">
        <v>322</v>
      </c>
    </row>
    <row r="77" spans="1:28">
      <c r="A77" s="73">
        <v>44761</v>
      </c>
      <c r="B77" s="45">
        <v>1824.1</v>
      </c>
      <c r="C77" s="105">
        <v>1202.25</v>
      </c>
      <c r="D77" s="5">
        <v>51.2</v>
      </c>
      <c r="E77" s="5">
        <v>549.45000000000005</v>
      </c>
      <c r="F77" s="5">
        <v>263.25</v>
      </c>
      <c r="G77" s="5">
        <v>16340.55</v>
      </c>
      <c r="H77" s="5">
        <f t="shared" si="8"/>
        <v>7.4560919032364966E-3</v>
      </c>
      <c r="I77" s="5">
        <f t="shared" si="8"/>
        <v>-5.2128583840138631E-3</v>
      </c>
      <c r="J77" s="5">
        <f t="shared" si="8"/>
        <v>1.4866204162537165E-2</v>
      </c>
      <c r="K77" s="5">
        <f t="shared" si="7"/>
        <v>-1.1816033448463501E-3</v>
      </c>
      <c r="L77" s="5">
        <f t="shared" si="7"/>
        <v>-2.4630541871920324E-3</v>
      </c>
      <c r="M77" s="5">
        <f t="shared" si="7"/>
        <v>3.8117762693122385E-3</v>
      </c>
      <c r="N77" s="5">
        <f t="shared" si="11"/>
        <v>9.7563871305482398E-4</v>
      </c>
      <c r="O77" s="5">
        <f t="shared" si="9"/>
        <v>2.0534769347741689E-3</v>
      </c>
      <c r="P77" s="79">
        <f t="shared" si="10"/>
        <v>2.5365389321289587E-3</v>
      </c>
      <c r="R77" s="141" t="s">
        <v>258</v>
      </c>
      <c r="S77" s="127">
        <f>CORREL(H4:H746,H4:H746)</f>
        <v>1.0000000000000002</v>
      </c>
      <c r="T77" s="127">
        <f>CORREL(I4:I746,H4:H746)</f>
        <v>0.28597065797163967</v>
      </c>
      <c r="U77" s="127">
        <f>CORREL(J4:J746,H4:H746)</f>
        <v>0.2776757153360801</v>
      </c>
      <c r="V77" s="127">
        <f>CORREL(K4:K746,H4:H746)</f>
        <v>0.28432084503148608</v>
      </c>
      <c r="W77" s="127">
        <f>CORREL(L4:L746,H4:H746)</f>
        <v>0.14947812744037053</v>
      </c>
    </row>
    <row r="78" spans="1:28">
      <c r="A78" s="73">
        <v>44762</v>
      </c>
      <c r="B78" s="45">
        <v>1818.75</v>
      </c>
      <c r="C78" s="105">
        <v>1209.5</v>
      </c>
      <c r="D78" s="5">
        <v>50.75</v>
      </c>
      <c r="E78" s="5">
        <v>558.25</v>
      </c>
      <c r="F78" s="5">
        <v>265.75</v>
      </c>
      <c r="G78" s="5">
        <v>16520.849999999999</v>
      </c>
      <c r="H78" s="5">
        <f t="shared" si="8"/>
        <v>-2.9329532372128226E-3</v>
      </c>
      <c r="I78" s="5">
        <f t="shared" si="8"/>
        <v>6.0303597421501355E-3</v>
      </c>
      <c r="J78" s="5">
        <f t="shared" si="8"/>
        <v>-8.7890625000000555E-3</v>
      </c>
      <c r="K78" s="5">
        <f t="shared" si="7"/>
        <v>1.6016016016015933E-2</v>
      </c>
      <c r="L78" s="5">
        <f t="shared" si="7"/>
        <v>9.4966761633428296E-3</v>
      </c>
      <c r="M78" s="5">
        <f t="shared" si="7"/>
        <v>1.1033900327712303E-2</v>
      </c>
      <c r="N78" s="5">
        <f t="shared" si="11"/>
        <v>5.9479320673383289E-3</v>
      </c>
      <c r="O78" s="5">
        <f t="shared" si="9"/>
        <v>7.2235615464766537E-3</v>
      </c>
      <c r="P78" s="79">
        <f t="shared" si="10"/>
        <v>5.5717868877386287E-3</v>
      </c>
      <c r="R78" s="141" t="s">
        <v>349</v>
      </c>
      <c r="S78" s="23">
        <f>CORREL(H4:H746,I4:I746)</f>
        <v>0.28597065797163967</v>
      </c>
      <c r="T78" s="23">
        <f>CORREL(I4:I746,I4:I746)</f>
        <v>1</v>
      </c>
      <c r="U78" s="23">
        <f>CORREL(J4:J746,I4:I746)</f>
        <v>0.26420750750314576</v>
      </c>
      <c r="V78" s="23">
        <f>CORREL(K4:K746,I4:I746)</f>
        <v>0.20184706611444353</v>
      </c>
      <c r="W78" s="23">
        <f>CORREL(L4:L746,I4:I746)</f>
        <v>0.1811001338774422</v>
      </c>
    </row>
    <row r="79" spans="1:28">
      <c r="A79" s="73">
        <v>44763</v>
      </c>
      <c r="B79" s="45">
        <v>1827.15</v>
      </c>
      <c r="C79" s="105">
        <v>1220.55</v>
      </c>
      <c r="D79" s="5">
        <v>53.45</v>
      </c>
      <c r="E79" s="5">
        <v>571.95000000000005</v>
      </c>
      <c r="F79" s="5">
        <v>271.25</v>
      </c>
      <c r="G79" s="5">
        <v>16605.25</v>
      </c>
      <c r="H79" s="5">
        <f t="shared" si="8"/>
        <v>4.6185567010309774E-3</v>
      </c>
      <c r="I79" s="5">
        <f t="shared" si="8"/>
        <v>9.1360066143033932E-3</v>
      </c>
      <c r="J79" s="5">
        <f t="shared" si="8"/>
        <v>5.3201970443349809E-2</v>
      </c>
      <c r="K79" s="5">
        <f t="shared" si="7"/>
        <v>2.4540976265114277E-2</v>
      </c>
      <c r="L79" s="5">
        <f t="shared" si="7"/>
        <v>2.0696142991533398E-2</v>
      </c>
      <c r="M79" s="5">
        <f t="shared" si="7"/>
        <v>5.1086959811390735E-3</v>
      </c>
      <c r="N79" s="5">
        <f t="shared" si="11"/>
        <v>1.652612683223454E-2</v>
      </c>
      <c r="O79" s="5">
        <f t="shared" si="9"/>
        <v>1.6408466129670989E-2</v>
      </c>
      <c r="P79" s="79">
        <f t="shared" si="10"/>
        <v>1.6080268697502034E-2</v>
      </c>
      <c r="R79" s="141" t="s">
        <v>279</v>
      </c>
      <c r="S79" s="127">
        <f>CORREL(H4:H746,J4:J746)</f>
        <v>0.2776757153360801</v>
      </c>
      <c r="T79" s="127">
        <v>0.24575</v>
      </c>
      <c r="U79" s="127">
        <f>CORREL(J4:J746,J4:J746)</f>
        <v>1</v>
      </c>
      <c r="V79" s="127">
        <f>CORREL(K4:K746,J4:J746)</f>
        <v>0.1544181193358872</v>
      </c>
      <c r="W79" s="127">
        <f>CORREL(L4:L746,J4:J746)</f>
        <v>0.35719822274237129</v>
      </c>
    </row>
    <row r="80" spans="1:28">
      <c r="A80" s="73">
        <v>44764</v>
      </c>
      <c r="B80" s="45">
        <v>1825.9</v>
      </c>
      <c r="C80" s="105">
        <v>1243.75</v>
      </c>
      <c r="D80" s="5">
        <v>53.05</v>
      </c>
      <c r="E80" s="5">
        <v>576.29999999999995</v>
      </c>
      <c r="F80" s="5">
        <v>275</v>
      </c>
      <c r="G80" s="5">
        <v>16719.45</v>
      </c>
      <c r="H80" s="5">
        <f t="shared" si="8"/>
        <v>-6.841255507210683E-4</v>
      </c>
      <c r="I80" s="5">
        <f t="shared" si="8"/>
        <v>1.9007824341485433E-2</v>
      </c>
      <c r="J80" s="5">
        <f t="shared" si="8"/>
        <v>-7.4836295603368692E-3</v>
      </c>
      <c r="K80" s="5">
        <f t="shared" si="7"/>
        <v>7.605559926566848E-3</v>
      </c>
      <c r="L80" s="5">
        <f t="shared" si="7"/>
        <v>1.3824884792626729E-2</v>
      </c>
      <c r="M80" s="5">
        <f t="shared" si="7"/>
        <v>6.8773430089881654E-3</v>
      </c>
      <c r="N80" s="5">
        <f t="shared" si="11"/>
        <v>8.3824580124880563E-3</v>
      </c>
      <c r="O80" s="5">
        <f t="shared" si="9"/>
        <v>5.3303202241840137E-3</v>
      </c>
      <c r="P80" s="79">
        <f t="shared" si="10"/>
        <v>5.2263717164141759E-3</v>
      </c>
      <c r="R80" s="141" t="s">
        <v>319</v>
      </c>
      <c r="S80" s="23">
        <f>CORREL(H4:H746,K4:K746)</f>
        <v>0.28432084503148608</v>
      </c>
      <c r="T80" s="23">
        <v>0.21567900000000001</v>
      </c>
      <c r="U80" s="23">
        <f>CORREL(J4:J746,K4:K746)</f>
        <v>0.1544181193358872</v>
      </c>
      <c r="V80" s="23">
        <f>CORREL(K4:K746,K4:K746)</f>
        <v>1</v>
      </c>
      <c r="W80" s="23">
        <f>CORREL(L4:L746,K4:K746)</f>
        <v>5.5493173184506757E-2</v>
      </c>
    </row>
    <row r="81" spans="1:26">
      <c r="A81" s="73">
        <v>44767</v>
      </c>
      <c r="B81" s="45">
        <v>1835.8</v>
      </c>
      <c r="C81" s="105">
        <v>1232.55</v>
      </c>
      <c r="D81" s="5">
        <v>53.85</v>
      </c>
      <c r="E81" s="5">
        <v>567.9</v>
      </c>
      <c r="F81" s="5">
        <v>270.95</v>
      </c>
      <c r="G81" s="5">
        <v>16631</v>
      </c>
      <c r="H81" s="5">
        <f t="shared" si="8"/>
        <v>5.4219836792813751E-3</v>
      </c>
      <c r="I81" s="5">
        <f t="shared" si="8"/>
        <v>-9.0050251256281778E-3</v>
      </c>
      <c r="J81" s="5">
        <f t="shared" si="8"/>
        <v>1.5080113100848338E-2</v>
      </c>
      <c r="K81" s="5">
        <f t="shared" si="7"/>
        <v>-1.4575741801145198E-2</v>
      </c>
      <c r="L81" s="5">
        <f t="shared" si="7"/>
        <v>-1.4727272727272769E-2</v>
      </c>
      <c r="M81" s="5">
        <f t="shared" si="7"/>
        <v>-5.2902457915781154E-3</v>
      </c>
      <c r="N81" s="5">
        <f t="shared" si="11"/>
        <v>-7.4938302328961259E-3</v>
      </c>
      <c r="O81" s="5">
        <f t="shared" si="9"/>
        <v>-5.8257681931851678E-3</v>
      </c>
      <c r="P81" s="79">
        <f t="shared" si="10"/>
        <v>-4.1485651160465811E-3</v>
      </c>
      <c r="R81" s="142" t="s">
        <v>322</v>
      </c>
      <c r="S81" s="127">
        <f>CORREL(H4:H746,L4:L746)</f>
        <v>0.14947812744037053</v>
      </c>
      <c r="T81" s="127">
        <v>0.26910299999999998</v>
      </c>
      <c r="U81" s="127">
        <f>CORREL(J4:J746,L4:L746)</f>
        <v>0.35719822274237129</v>
      </c>
      <c r="V81" s="127">
        <f>CORREL(K4:K746,L4:L746)</f>
        <v>5.5493173184506757E-2</v>
      </c>
      <c r="W81" s="127">
        <f>CORREL(L4:L746,L4:L746)</f>
        <v>1</v>
      </c>
    </row>
    <row r="82" spans="1:26">
      <c r="A82" s="73">
        <v>44768</v>
      </c>
      <c r="B82" s="45">
        <v>1808.3</v>
      </c>
      <c r="C82" s="105">
        <v>1231.5</v>
      </c>
      <c r="D82" s="5">
        <v>52</v>
      </c>
      <c r="E82" s="5">
        <v>558.25</v>
      </c>
      <c r="F82" s="5">
        <v>269.2</v>
      </c>
      <c r="G82" s="5">
        <v>16483.849999999999</v>
      </c>
      <c r="H82" s="5">
        <f t="shared" si="8"/>
        <v>-1.4979845299052184E-2</v>
      </c>
      <c r="I82" s="5">
        <f t="shared" si="8"/>
        <v>-8.5189241815744154E-4</v>
      </c>
      <c r="J82" s="5">
        <f t="shared" si="8"/>
        <v>-3.4354688950789254E-2</v>
      </c>
      <c r="K82" s="5">
        <f t="shared" si="7"/>
        <v>-1.6992428244409188E-2</v>
      </c>
      <c r="L82" s="5">
        <f t="shared" si="7"/>
        <v>-6.4587562280863627E-3</v>
      </c>
      <c r="M82" s="5">
        <f t="shared" si="7"/>
        <v>-8.8479345800012901E-3</v>
      </c>
      <c r="N82" s="5">
        <f t="shared" si="11"/>
        <v>-1.0845533384131426E-2</v>
      </c>
      <c r="O82" s="5">
        <f t="shared" si="9"/>
        <v>-1.4968947130432125E-2</v>
      </c>
      <c r="P82" s="79">
        <f t="shared" si="10"/>
        <v>-1.4722417322998367E-2</v>
      </c>
    </row>
    <row r="83" spans="1:26">
      <c r="A83" s="73">
        <v>44769</v>
      </c>
      <c r="B83" s="45">
        <v>1828.9</v>
      </c>
      <c r="C83" s="105">
        <v>1254.4000000000001</v>
      </c>
      <c r="D83" s="5">
        <v>52.7</v>
      </c>
      <c r="E83" s="5">
        <v>567.75</v>
      </c>
      <c r="F83" s="5">
        <v>278.8</v>
      </c>
      <c r="G83" s="5">
        <v>16641.8</v>
      </c>
      <c r="H83" s="5">
        <f t="shared" si="8"/>
        <v>1.1391915058342165E-2</v>
      </c>
      <c r="I83" s="5">
        <f t="shared" si="8"/>
        <v>1.8595209094600156E-2</v>
      </c>
      <c r="J83" s="5">
        <f t="shared" si="8"/>
        <v>1.3461538461538516E-2</v>
      </c>
      <c r="K83" s="5">
        <f t="shared" si="7"/>
        <v>1.7017465293327361E-2</v>
      </c>
      <c r="L83" s="5">
        <f t="shared" si="7"/>
        <v>3.5661218424962941E-2</v>
      </c>
      <c r="M83" s="5">
        <f t="shared" si="7"/>
        <v>9.5821061220528417E-3</v>
      </c>
      <c r="N83" s="5">
        <f t="shared" si="11"/>
        <v>2.4129271947788737E-2</v>
      </c>
      <c r="O83" s="5">
        <f t="shared" si="9"/>
        <v>1.5399136434365713E-2</v>
      </c>
      <c r="P83" s="79">
        <f t="shared" si="10"/>
        <v>1.4982170677310431E-2</v>
      </c>
    </row>
    <row r="84" spans="1:26">
      <c r="A84" s="73">
        <v>44770</v>
      </c>
      <c r="B84" s="45">
        <v>1881.45</v>
      </c>
      <c r="C84" s="105">
        <v>1258.8</v>
      </c>
      <c r="D84" s="5">
        <v>53.25</v>
      </c>
      <c r="E84" s="5">
        <v>572.70000000000005</v>
      </c>
      <c r="F84" s="5">
        <v>277.85000000000002</v>
      </c>
      <c r="G84" s="5">
        <v>16929.599999999999</v>
      </c>
      <c r="H84" s="5">
        <f t="shared" si="8"/>
        <v>2.8733118267811227E-2</v>
      </c>
      <c r="I84" s="5">
        <f t="shared" si="8"/>
        <v>3.5076530612243809E-3</v>
      </c>
      <c r="J84" s="5">
        <f t="shared" si="8"/>
        <v>1.0436432637571103E-2</v>
      </c>
      <c r="K84" s="5">
        <f t="shared" si="7"/>
        <v>8.7186261558785481E-3</v>
      </c>
      <c r="L84" s="5">
        <f t="shared" si="7"/>
        <v>-3.4074605451936465E-3</v>
      </c>
      <c r="M84" s="5">
        <f t="shared" si="7"/>
        <v>1.7293802353110798E-2</v>
      </c>
      <c r="N84" s="5">
        <f t="shared" si="11"/>
        <v>8.7139948517668837E-3</v>
      </c>
      <c r="O84" s="5">
        <f t="shared" si="9"/>
        <v>1.5423139109096795E-2</v>
      </c>
      <c r="P84" s="79">
        <f t="shared" si="10"/>
        <v>1.578901813359871E-2</v>
      </c>
      <c r="R84" s="194" t="s">
        <v>323</v>
      </c>
      <c r="S84" s="194" t="s">
        <v>324</v>
      </c>
      <c r="T84" s="194" t="s">
        <v>326</v>
      </c>
      <c r="U84" s="196" t="s">
        <v>327</v>
      </c>
      <c r="V84" s="198" t="s">
        <v>325</v>
      </c>
      <c r="Y84" s="186" t="s">
        <v>344</v>
      </c>
      <c r="Z84" s="186"/>
    </row>
    <row r="85" spans="1:26">
      <c r="A85" s="73">
        <v>44771</v>
      </c>
      <c r="B85" s="45">
        <v>1961.65</v>
      </c>
      <c r="C85" s="105">
        <v>1268.5999999999999</v>
      </c>
      <c r="D85" s="5">
        <v>53.85</v>
      </c>
      <c r="E85" s="5">
        <v>584.1</v>
      </c>
      <c r="F85" s="5">
        <v>278.3</v>
      </c>
      <c r="G85" s="5">
        <v>17158.25</v>
      </c>
      <c r="H85" s="5">
        <f t="shared" si="8"/>
        <v>4.2626697493954153E-2</v>
      </c>
      <c r="I85" s="5">
        <f t="shared" si="8"/>
        <v>7.7851922465840126E-3</v>
      </c>
      <c r="J85" s="5">
        <f t="shared" si="8"/>
        <v>1.1267605633802844E-2</v>
      </c>
      <c r="K85" s="5">
        <f t="shared" si="7"/>
        <v>1.9905709795704517E-2</v>
      </c>
      <c r="L85" s="5">
        <f t="shared" si="7"/>
        <v>1.6195789094834933E-3</v>
      </c>
      <c r="M85" s="5">
        <f t="shared" si="7"/>
        <v>1.3505930441357237E-2</v>
      </c>
      <c r="N85" s="5">
        <f t="shared" si="11"/>
        <v>1.7084711651514102E-2</v>
      </c>
      <c r="O85" s="5">
        <f t="shared" si="9"/>
        <v>2.6540135372977176E-2</v>
      </c>
      <c r="P85" s="79">
        <f t="shared" si="10"/>
        <v>2.6339153371873449E-2</v>
      </c>
      <c r="R85" s="195"/>
      <c r="S85" s="195"/>
      <c r="T85" s="195"/>
      <c r="U85" s="197"/>
      <c r="V85" s="199"/>
      <c r="Y85" s="186"/>
      <c r="Z85" s="186"/>
    </row>
    <row r="86" spans="1:26" ht="18">
      <c r="A86" s="73">
        <v>44774</v>
      </c>
      <c r="B86" s="45">
        <v>1980.85</v>
      </c>
      <c r="C86" s="105">
        <v>1301</v>
      </c>
      <c r="D86" s="5">
        <v>54.7</v>
      </c>
      <c r="E86" s="5">
        <v>580.79999999999995</v>
      </c>
      <c r="F86" s="5">
        <v>282.14999999999998</v>
      </c>
      <c r="G86" s="5">
        <v>17340.05</v>
      </c>
      <c r="H86" s="5">
        <f t="shared" si="8"/>
        <v>9.7876787398362697E-3</v>
      </c>
      <c r="I86" s="5">
        <f t="shared" si="8"/>
        <v>2.5539965316096556E-2</v>
      </c>
      <c r="J86" s="5">
        <f t="shared" si="8"/>
        <v>1.578458681522751E-2</v>
      </c>
      <c r="K86" s="5">
        <f t="shared" si="7"/>
        <v>-5.64971751412441E-3</v>
      </c>
      <c r="L86" s="5">
        <f t="shared" si="7"/>
        <v>1.3833992094861537E-2</v>
      </c>
      <c r="M86" s="5">
        <f t="shared" si="7"/>
        <v>1.0595486136406642E-2</v>
      </c>
      <c r="N86" s="5">
        <f t="shared" si="11"/>
        <v>1.0755885604062754E-2</v>
      </c>
      <c r="O86" s="5">
        <f t="shared" si="9"/>
        <v>4.0348391182132293E-3</v>
      </c>
      <c r="P86" s="79">
        <f t="shared" si="10"/>
        <v>6.5057957246302993E-3</v>
      </c>
      <c r="R86" s="39" t="s">
        <v>258</v>
      </c>
      <c r="S86" s="5">
        <v>0.3</v>
      </c>
      <c r="T86" s="127">
        <f>CORREL(I13:I755,I13:I755)</f>
        <v>1</v>
      </c>
      <c r="U86" s="48">
        <v>2</v>
      </c>
      <c r="V86" s="143">
        <v>0.37066623728610371</v>
      </c>
      <c r="Y86" s="10" t="s">
        <v>340</v>
      </c>
      <c r="Z86" s="10" t="s">
        <v>339</v>
      </c>
    </row>
    <row r="87" spans="1:26" ht="15.6">
      <c r="A87" s="73">
        <v>44775</v>
      </c>
      <c r="B87" s="45">
        <v>1999.55</v>
      </c>
      <c r="C87" s="105">
        <v>1308.6500000000001</v>
      </c>
      <c r="D87" s="5">
        <v>54.55</v>
      </c>
      <c r="E87" s="5">
        <v>578.25</v>
      </c>
      <c r="F87" s="5">
        <v>280.10000000000002</v>
      </c>
      <c r="G87" s="5">
        <v>17345.45</v>
      </c>
      <c r="H87" s="5">
        <f t="shared" si="8"/>
        <v>9.4403917510160022E-3</v>
      </c>
      <c r="I87" s="5">
        <f t="shared" si="8"/>
        <v>5.8800922367410382E-3</v>
      </c>
      <c r="J87" s="5">
        <f t="shared" si="8"/>
        <v>-2.7422303473492813E-3</v>
      </c>
      <c r="K87" s="5">
        <f t="shared" si="7"/>
        <v>-4.3904958677685171E-3</v>
      </c>
      <c r="L87" s="5">
        <f t="shared" si="7"/>
        <v>-7.2656388445860526E-3</v>
      </c>
      <c r="M87" s="5">
        <f t="shared" si="7"/>
        <v>3.114177871460264E-4</v>
      </c>
      <c r="N87" s="5">
        <f t="shared" si="11"/>
        <v>-8.9099981898973623E-4</v>
      </c>
      <c r="O87" s="5">
        <f t="shared" si="9"/>
        <v>1.6846823106312463E-3</v>
      </c>
      <c r="P87" s="79">
        <f t="shared" si="10"/>
        <v>2.6501979642592341E-3</v>
      </c>
      <c r="R87" s="144" t="s">
        <v>349</v>
      </c>
      <c r="S87" s="81">
        <v>0.185799802086761</v>
      </c>
      <c r="T87" s="23">
        <f>CORREL(H4:H746,I4:I746)</f>
        <v>0.28597065797163967</v>
      </c>
      <c r="U87" s="145">
        <v>3</v>
      </c>
      <c r="V87" s="146">
        <v>9.4186040760571937E-2</v>
      </c>
      <c r="Y87" s="21" t="s">
        <v>341</v>
      </c>
      <c r="Z87" s="2">
        <f>V86*T24 + V87*U24 + V88*V24 +V89*W24 + V90*X24</f>
        <v>3.3348710156310524E-2</v>
      </c>
    </row>
    <row r="88" spans="1:26" ht="15.6">
      <c r="A88" s="73">
        <v>44776</v>
      </c>
      <c r="B88" s="45">
        <v>1977.55</v>
      </c>
      <c r="C88" s="105">
        <v>1308.75</v>
      </c>
      <c r="D88" s="5">
        <v>53.2</v>
      </c>
      <c r="E88" s="5">
        <v>569.79999999999995</v>
      </c>
      <c r="F88" s="5">
        <v>273.5</v>
      </c>
      <c r="G88" s="5">
        <v>17388.150000000001</v>
      </c>
      <c r="H88" s="5">
        <f t="shared" si="8"/>
        <v>-1.1002475557000325E-2</v>
      </c>
      <c r="I88" s="5">
        <f t="shared" si="8"/>
        <v>7.6414625759300839E-5</v>
      </c>
      <c r="J88" s="5">
        <f t="shared" si="8"/>
        <v>-2.4747937671860575E-2</v>
      </c>
      <c r="K88" s="5">
        <f t="shared" si="7"/>
        <v>-1.4613056636403018E-2</v>
      </c>
      <c r="L88" s="5">
        <f t="shared" si="7"/>
        <v>-2.3563013209568089E-2</v>
      </c>
      <c r="M88" s="5">
        <f t="shared" si="7"/>
        <v>2.461740687039006E-3</v>
      </c>
      <c r="N88" s="5">
        <f t="shared" si="11"/>
        <v>-1.7075767104482126E-2</v>
      </c>
      <c r="O88" s="5">
        <f t="shared" si="9"/>
        <v>-1.2369893288138858E-2</v>
      </c>
      <c r="P88" s="79">
        <f t="shared" si="10"/>
        <v>-1.1656865794138285E-2</v>
      </c>
      <c r="R88" s="39" t="s">
        <v>279</v>
      </c>
      <c r="S88" s="5">
        <v>7.7262718356910703E-2</v>
      </c>
      <c r="T88" s="127">
        <f>CORREL(H4:H746,J4:J746)</f>
        <v>0.2776757153360801</v>
      </c>
      <c r="U88" s="47">
        <v>4</v>
      </c>
      <c r="V88" s="143">
        <v>2.7522067703985641E-2</v>
      </c>
      <c r="Y88" s="21" t="s">
        <v>338</v>
      </c>
      <c r="Z88" s="2">
        <f>_xlfn.STDEV.S(O:O)</f>
        <v>1.042201918845052E-2</v>
      </c>
    </row>
    <row r="89" spans="1:26" ht="15.6">
      <c r="A89" s="73">
        <v>44777</v>
      </c>
      <c r="B89" s="45">
        <v>1913.85</v>
      </c>
      <c r="C89" s="105">
        <v>1316.75</v>
      </c>
      <c r="D89" s="5">
        <v>52.65</v>
      </c>
      <c r="E89" s="5">
        <v>573.9</v>
      </c>
      <c r="F89" s="5">
        <v>274</v>
      </c>
      <c r="G89" s="5">
        <v>17382</v>
      </c>
      <c r="H89" s="5">
        <f t="shared" si="8"/>
        <v>-3.221157492857326E-2</v>
      </c>
      <c r="I89" s="5">
        <f t="shared" si="8"/>
        <v>6.1127029608404968E-3</v>
      </c>
      <c r="J89" s="5">
        <f t="shared" si="8"/>
        <v>-1.0338345864661733E-2</v>
      </c>
      <c r="K89" s="5">
        <f t="shared" si="7"/>
        <v>7.1955071955072357E-3</v>
      </c>
      <c r="L89" s="5">
        <f t="shared" si="7"/>
        <v>1.8281535648994515E-3</v>
      </c>
      <c r="M89" s="5">
        <f t="shared" si="7"/>
        <v>-3.5368915036973193E-4</v>
      </c>
      <c r="N89" s="5">
        <f t="shared" si="11"/>
        <v>-7.6978755422370945E-3</v>
      </c>
      <c r="O89" s="5">
        <f t="shared" si="9"/>
        <v>-8.1157225531149658E-3</v>
      </c>
      <c r="P89" s="79">
        <f t="shared" si="10"/>
        <v>-9.4908090003067453E-3</v>
      </c>
      <c r="R89" s="144" t="s">
        <v>319</v>
      </c>
      <c r="S89" s="81">
        <v>0.39514347341237799</v>
      </c>
      <c r="T89" s="23">
        <f>CORREL(H4:H746,K4:K746)</f>
        <v>0.28432084503148608</v>
      </c>
      <c r="U89" s="145">
        <v>1</v>
      </c>
      <c r="V89" s="146">
        <v>0.48530516473177182</v>
      </c>
      <c r="Y89" s="36" t="s">
        <v>337</v>
      </c>
      <c r="Z89" s="37">
        <f>(Z87-AE1)/Z88</f>
        <v>-3.0369633054182845</v>
      </c>
    </row>
    <row r="90" spans="1:26" ht="15.6">
      <c r="A90" s="73">
        <v>44778</v>
      </c>
      <c r="B90" s="45">
        <v>1901.5</v>
      </c>
      <c r="C90" s="105">
        <v>1315.9</v>
      </c>
      <c r="D90" s="5">
        <v>51.65</v>
      </c>
      <c r="E90" s="5">
        <v>579.15</v>
      </c>
      <c r="F90" s="5">
        <v>277.55</v>
      </c>
      <c r="G90" s="5">
        <v>17397.5</v>
      </c>
      <c r="H90" s="5">
        <f t="shared" si="8"/>
        <v>-6.4529613083574517E-3</v>
      </c>
      <c r="I90" s="5">
        <f t="shared" si="8"/>
        <v>-6.4552876400220929E-4</v>
      </c>
      <c r="J90" s="5">
        <f t="shared" si="8"/>
        <v>-1.8993352326685659E-2</v>
      </c>
      <c r="K90" s="5">
        <f t="shared" si="7"/>
        <v>9.1479351803450074E-3</v>
      </c>
      <c r="L90" s="5">
        <f t="shared" si="7"/>
        <v>1.2956204379562086E-2</v>
      </c>
      <c r="M90" s="5">
        <f t="shared" si="7"/>
        <v>8.9172707398458174E-4</v>
      </c>
      <c r="N90" s="5">
        <f t="shared" si="11"/>
        <v>4.8781156285273436E-3</v>
      </c>
      <c r="O90" s="5">
        <f t="shared" si="9"/>
        <v>1.7532979990335712E-3</v>
      </c>
      <c r="P90" s="79">
        <f t="shared" si="10"/>
        <v>-7.3157095080396387E-5</v>
      </c>
      <c r="R90" s="40" t="s">
        <v>322</v>
      </c>
      <c r="S90" s="5">
        <v>4.1794006143949597E-2</v>
      </c>
      <c r="T90" s="127">
        <f>CORREL(H4:H746,L4:L746)</f>
        <v>0.14947812744037053</v>
      </c>
      <c r="U90" s="47">
        <v>5</v>
      </c>
      <c r="V90" s="143">
        <v>2.2320489517566558E-2</v>
      </c>
      <c r="Y90" s="21" t="s">
        <v>336</v>
      </c>
      <c r="Z90" s="2">
        <f>Z88*Z88</f>
        <v>1.0861848396443084E-4</v>
      </c>
    </row>
    <row r="91" spans="1:26" ht="14.55" customHeight="1">
      <c r="A91" s="73">
        <v>44781</v>
      </c>
      <c r="B91" s="45">
        <v>1902.2</v>
      </c>
      <c r="C91" s="105">
        <v>1318.65</v>
      </c>
      <c r="D91" s="5">
        <v>51.85</v>
      </c>
      <c r="E91" s="5">
        <v>586.5</v>
      </c>
      <c r="F91" s="5">
        <v>282.3</v>
      </c>
      <c r="G91" s="5">
        <v>17525.099999999999</v>
      </c>
      <c r="H91" s="5">
        <f t="shared" si="8"/>
        <v>3.6813042335001074E-4</v>
      </c>
      <c r="I91" s="5">
        <f t="shared" si="8"/>
        <v>2.089824454745801E-3</v>
      </c>
      <c r="J91" s="5">
        <f t="shared" si="8"/>
        <v>3.8722168441433272E-3</v>
      </c>
      <c r="K91" s="5">
        <f t="shared" si="7"/>
        <v>1.2691012691012731E-2</v>
      </c>
      <c r="L91" s="5">
        <f t="shared" si="7"/>
        <v>1.7114033507476131E-2</v>
      </c>
      <c r="M91" s="5">
        <f t="shared" si="7"/>
        <v>7.3343871245867822E-3</v>
      </c>
      <c r="N91" s="5">
        <f t="shared" si="11"/>
        <v>1.0160429593994619E-2</v>
      </c>
      <c r="O91" s="5">
        <f t="shared" si="9"/>
        <v>6.9808648344116871E-3</v>
      </c>
      <c r="P91" s="79">
        <f t="shared" si="10"/>
        <v>5.7798489002439018E-3</v>
      </c>
      <c r="R91" s="138" t="s">
        <v>293</v>
      </c>
      <c r="S91" s="147">
        <v>1</v>
      </c>
      <c r="T91" s="148" t="s">
        <v>237</v>
      </c>
      <c r="U91" s="149" t="s">
        <v>237</v>
      </c>
      <c r="V91" s="150">
        <f>SUM(V86:V90)</f>
        <v>0.99999999999999967</v>
      </c>
    </row>
    <row r="92" spans="1:26">
      <c r="A92" s="73">
        <v>44783</v>
      </c>
      <c r="B92" s="45">
        <v>1881.2</v>
      </c>
      <c r="C92" s="105">
        <v>1311.25</v>
      </c>
      <c r="D92" s="5">
        <v>52.65</v>
      </c>
      <c r="E92" s="5">
        <v>584.95000000000005</v>
      </c>
      <c r="F92" s="5">
        <v>283.2</v>
      </c>
      <c r="G92" s="5">
        <v>17534.75</v>
      </c>
      <c r="H92" s="5">
        <f t="shared" si="8"/>
        <v>-1.1039848596362107E-2</v>
      </c>
      <c r="I92" s="5">
        <f t="shared" si="8"/>
        <v>-5.6117999469154746E-3</v>
      </c>
      <c r="J92" s="5">
        <f t="shared" si="8"/>
        <v>1.542912246865954E-2</v>
      </c>
      <c r="K92" s="5">
        <f t="shared" si="7"/>
        <v>-2.6427962489342788E-3</v>
      </c>
      <c r="L92" s="5">
        <f t="shared" si="7"/>
        <v>3.1880977683314813E-3</v>
      </c>
      <c r="M92" s="5">
        <f t="shared" si="7"/>
        <v>5.5063879806685587E-4</v>
      </c>
      <c r="N92" s="5">
        <f t="shared" si="11"/>
        <v>-2.1187982560513258E-3</v>
      </c>
      <c r="O92" s="5">
        <f t="shared" si="9"/>
        <v>-5.4074137708891761E-3</v>
      </c>
      <c r="P92" s="79">
        <f t="shared" si="10"/>
        <v>-5.2680286787572059E-3</v>
      </c>
    </row>
    <row r="93" spans="1:26">
      <c r="A93" s="73">
        <v>44784</v>
      </c>
      <c r="B93" s="45">
        <v>1914</v>
      </c>
      <c r="C93" s="105">
        <v>1340.15</v>
      </c>
      <c r="D93" s="5">
        <v>52.9</v>
      </c>
      <c r="E93" s="5">
        <v>582.70000000000005</v>
      </c>
      <c r="F93" s="5">
        <v>297.45</v>
      </c>
      <c r="G93" s="5">
        <v>17659</v>
      </c>
      <c r="H93" s="5">
        <f t="shared" si="8"/>
        <v>1.7435679353604058E-2</v>
      </c>
      <c r="I93" s="5">
        <f t="shared" si="8"/>
        <v>2.2040038131553929E-2</v>
      </c>
      <c r="J93" s="5">
        <f t="shared" si="8"/>
        <v>4.7483380816714148E-3</v>
      </c>
      <c r="K93" s="5">
        <f t="shared" si="7"/>
        <v>-3.8464826053508845E-3</v>
      </c>
      <c r="L93" s="5">
        <f t="shared" si="7"/>
        <v>5.0317796610169496E-2</v>
      </c>
      <c r="M93" s="5">
        <f t="shared" si="7"/>
        <v>7.0859293688247619E-3</v>
      </c>
      <c r="N93" s="5">
        <f t="shared" si="11"/>
        <v>2.9983162210917149E-2</v>
      </c>
      <c r="O93" s="5">
        <f t="shared" si="9"/>
        <v>7.9257656498723222E-3</v>
      </c>
      <c r="P93" s="79">
        <f t="shared" si="10"/>
        <v>9.3094848962717858E-3</v>
      </c>
      <c r="R93" s="151" t="s">
        <v>328</v>
      </c>
      <c r="S93" s="123" t="s">
        <v>329</v>
      </c>
      <c r="T93" s="123" t="s">
        <v>330</v>
      </c>
    </row>
    <row r="94" spans="1:26" ht="14.55" customHeight="1">
      <c r="A94" s="73">
        <v>44785</v>
      </c>
      <c r="B94" s="45">
        <v>1911.7</v>
      </c>
      <c r="C94" s="105">
        <v>1382.75</v>
      </c>
      <c r="D94" s="5">
        <v>52.9</v>
      </c>
      <c r="E94" s="5">
        <v>581.6</v>
      </c>
      <c r="F94" s="5">
        <v>311.64999999999998</v>
      </c>
      <c r="G94" s="5">
        <v>17698.150000000001</v>
      </c>
      <c r="H94" s="5">
        <f t="shared" si="8"/>
        <v>-1.20167189132704E-3</v>
      </c>
      <c r="I94" s="5">
        <f t="shared" si="8"/>
        <v>3.1787486475394477E-2</v>
      </c>
      <c r="J94" s="5">
        <f t="shared" si="8"/>
        <v>0</v>
      </c>
      <c r="K94" s="5">
        <f t="shared" si="7"/>
        <v>-1.887763857902905E-3</v>
      </c>
      <c r="L94" s="5">
        <f t="shared" si="7"/>
        <v>4.7739115817784464E-2</v>
      </c>
      <c r="M94" s="5">
        <f t="shared" si="7"/>
        <v>2.2169998301150378E-3</v>
      </c>
      <c r="N94" s="5">
        <f t="shared" si="11"/>
        <v>2.3945346740836412E-2</v>
      </c>
      <c r="O94" s="5">
        <f t="shared" si="9"/>
        <v>2.6979371825914633E-3</v>
      </c>
      <c r="P94" s="79">
        <f t="shared" si="10"/>
        <v>3.9350306930021322E-3</v>
      </c>
      <c r="R94" s="38" t="s">
        <v>300</v>
      </c>
      <c r="S94" s="22">
        <f>V86*T24 + V87*U24 + V88*V24 +V89*W24 + V90*X24</f>
        <v>3.3348710156310524E-2</v>
      </c>
      <c r="T94" s="25">
        <v>0.154818816785951</v>
      </c>
      <c r="W94" s="184" t="s">
        <v>354</v>
      </c>
      <c r="X94" s="184"/>
    </row>
    <row r="95" spans="1:26">
      <c r="A95" s="73">
        <v>44789</v>
      </c>
      <c r="B95" s="45">
        <v>1971.25</v>
      </c>
      <c r="C95" s="105">
        <v>1409.95</v>
      </c>
      <c r="D95" s="5">
        <v>53.9</v>
      </c>
      <c r="E95" s="5">
        <v>579.6</v>
      </c>
      <c r="F95" s="5">
        <v>320.14999999999998</v>
      </c>
      <c r="G95" s="5">
        <v>17825.25</v>
      </c>
      <c r="H95" s="5">
        <f t="shared" si="8"/>
        <v>3.1150285086572135E-2</v>
      </c>
      <c r="I95" s="5">
        <f t="shared" si="8"/>
        <v>1.9670945579461252E-2</v>
      </c>
      <c r="J95" s="5">
        <f t="shared" si="8"/>
        <v>1.890359168241966E-2</v>
      </c>
      <c r="K95" s="5">
        <f t="shared" si="7"/>
        <v>-3.4387895460797797E-3</v>
      </c>
      <c r="L95" s="5">
        <f t="shared" si="7"/>
        <v>2.7274185785336115E-2</v>
      </c>
      <c r="M95" s="5">
        <f t="shared" si="7"/>
        <v>7.181541573554215E-3</v>
      </c>
      <c r="N95" s="5">
        <f t="shared" si="11"/>
        <v>2.3511942227745181E-2</v>
      </c>
      <c r="O95" s="5">
        <f t="shared" si="9"/>
        <v>1.2859264226490922E-2</v>
      </c>
      <c r="P95" s="79">
        <f t="shared" si="10"/>
        <v>1.5148509937450691E-2</v>
      </c>
      <c r="R95" s="95" t="s">
        <v>301</v>
      </c>
      <c r="S95" s="127">
        <f>_xlfn.STDEV.S(O4:O746) * SQRT(252)</f>
        <v>0.16544442559069972</v>
      </c>
      <c r="T95" s="152">
        <v>0.33768379396883758</v>
      </c>
      <c r="W95" s="184"/>
      <c r="X95" s="184"/>
    </row>
    <row r="96" spans="1:26">
      <c r="A96" s="73">
        <v>44790</v>
      </c>
      <c r="B96" s="45">
        <v>1936.45</v>
      </c>
      <c r="C96" s="105">
        <v>1474.7</v>
      </c>
      <c r="D96" s="5">
        <v>53.75</v>
      </c>
      <c r="E96" s="5">
        <v>584.95000000000005</v>
      </c>
      <c r="F96" s="5">
        <v>319.85000000000002</v>
      </c>
      <c r="G96" s="5">
        <v>17944.25</v>
      </c>
      <c r="H96" s="5">
        <f t="shared" si="8"/>
        <v>-1.7653772986683552E-2</v>
      </c>
      <c r="I96" s="5">
        <f t="shared" si="8"/>
        <v>4.5923614312564275E-2</v>
      </c>
      <c r="J96" s="5">
        <f t="shared" si="8"/>
        <v>-2.7829313543598997E-3</v>
      </c>
      <c r="K96" s="5">
        <f t="shared" si="7"/>
        <v>9.230503795721226E-3</v>
      </c>
      <c r="L96" s="5">
        <f t="shared" si="7"/>
        <v>-9.3706075277199608E-4</v>
      </c>
      <c r="M96" s="5">
        <f t="shared" si="7"/>
        <v>6.675923198833116E-3</v>
      </c>
      <c r="N96" s="5">
        <f t="shared" si="11"/>
        <v>-1.5868746397316505E-3</v>
      </c>
      <c r="O96" s="5">
        <f t="shared" si="9"/>
        <v>2.1638092879188368E-3</v>
      </c>
      <c r="P96" s="79">
        <f t="shared" si="10"/>
        <v>3.4211989491663864E-3</v>
      </c>
      <c r="R96" s="38" t="s">
        <v>302</v>
      </c>
      <c r="S96" s="23">
        <f>SLOPE((O4:O746),(M4:M746))</f>
        <v>0.70191375725783944</v>
      </c>
      <c r="T96" s="24">
        <v>1.096503305612365</v>
      </c>
    </row>
    <row r="97" spans="1:26">
      <c r="A97" s="73">
        <v>44791</v>
      </c>
      <c r="B97" s="45">
        <v>1922.05</v>
      </c>
      <c r="C97" s="105">
        <v>1455.5</v>
      </c>
      <c r="D97" s="5">
        <v>56.2</v>
      </c>
      <c r="E97" s="5">
        <v>594.6</v>
      </c>
      <c r="F97" s="5">
        <v>323.3</v>
      </c>
      <c r="G97" s="5">
        <v>17956.5</v>
      </c>
      <c r="H97" s="5">
        <f t="shared" si="8"/>
        <v>-7.4362880528803174E-3</v>
      </c>
      <c r="I97" s="5">
        <f t="shared" si="8"/>
        <v>-1.3019597206211464E-2</v>
      </c>
      <c r="J97" s="5">
        <f t="shared" si="8"/>
        <v>4.5581395348837261E-2</v>
      </c>
      <c r="K97" s="5">
        <f t="shared" si="7"/>
        <v>1.6497136507393755E-2</v>
      </c>
      <c r="L97" s="5">
        <f t="shared" si="7"/>
        <v>1.0786306080975422E-2</v>
      </c>
      <c r="M97" s="5">
        <f t="shared" si="7"/>
        <v>6.8266993605193866E-4</v>
      </c>
      <c r="N97" s="5">
        <f t="shared" si="11"/>
        <v>5.5005748590263165E-3</v>
      </c>
      <c r="O97" s="5">
        <f t="shared" si="9"/>
        <v>5.5187502058825499E-3</v>
      </c>
      <c r="P97" s="79">
        <f t="shared" si="10"/>
        <v>4.3534958243763707E-3</v>
      </c>
      <c r="R97" s="95" t="s">
        <v>303</v>
      </c>
      <c r="S97" s="127">
        <f>(S94-AE1)/S95</f>
        <v>-0.19131070588013044</v>
      </c>
      <c r="T97" s="153">
        <v>0.26598497881790478</v>
      </c>
      <c r="W97" s="185" t="s">
        <v>356</v>
      </c>
      <c r="X97" s="185"/>
      <c r="Y97" s="185"/>
    </row>
    <row r="98" spans="1:26">
      <c r="A98" s="73">
        <v>44792</v>
      </c>
      <c r="B98" s="45">
        <v>1916.85</v>
      </c>
      <c r="C98" s="105">
        <v>1398.15</v>
      </c>
      <c r="D98" s="5">
        <v>54.1</v>
      </c>
      <c r="E98" s="5">
        <v>587.20000000000005</v>
      </c>
      <c r="F98" s="5">
        <v>306.25</v>
      </c>
      <c r="G98" s="5">
        <v>17758.45</v>
      </c>
      <c r="H98" s="5">
        <f t="shared" si="8"/>
        <v>-2.7054447074738148E-3</v>
      </c>
      <c r="I98" s="5">
        <f t="shared" si="8"/>
        <v>-3.9402267262109179E-2</v>
      </c>
      <c r="J98" s="5">
        <f t="shared" si="8"/>
        <v>-3.7366548042704652E-2</v>
      </c>
      <c r="K98" s="5">
        <f t="shared" si="7"/>
        <v>-1.244534140598718E-2</v>
      </c>
      <c r="L98" s="5">
        <f t="shared" si="7"/>
        <v>-5.2737395607794654E-2</v>
      </c>
      <c r="M98" s="5">
        <f t="shared" si="7"/>
        <v>-1.102943223902204E-2</v>
      </c>
      <c r="N98" s="5">
        <f t="shared" si="11"/>
        <v>-3.0932359980176523E-2</v>
      </c>
      <c r="O98" s="5">
        <f t="shared" si="9"/>
        <v>-1.2959278172431726E-2</v>
      </c>
      <c r="P98" s="79">
        <f t="shared" si="10"/>
        <v>-1.4461086014382249E-2</v>
      </c>
      <c r="R98" s="41" t="s">
        <v>304</v>
      </c>
      <c r="S98" s="23">
        <f>(S94-AE1)/S96</f>
        <v>-4.5092847257106494E-2</v>
      </c>
      <c r="T98" s="24">
        <v>8.1913858650694907E-2</v>
      </c>
    </row>
    <row r="99" spans="1:26">
      <c r="A99" s="73">
        <v>44795</v>
      </c>
      <c r="B99" s="45">
        <v>1856.1</v>
      </c>
      <c r="C99" s="105">
        <v>1314.1</v>
      </c>
      <c r="D99" s="5">
        <v>52.3</v>
      </c>
      <c r="E99" s="5">
        <v>584.20000000000005</v>
      </c>
      <c r="F99" s="5">
        <v>304.10000000000002</v>
      </c>
      <c r="G99" s="5">
        <v>17490.7</v>
      </c>
      <c r="H99" s="5">
        <f t="shared" si="8"/>
        <v>-3.1692620705845533E-2</v>
      </c>
      <c r="I99" s="5">
        <f t="shared" si="8"/>
        <v>-6.0115152165361493E-2</v>
      </c>
      <c r="J99" s="5">
        <f t="shared" si="8"/>
        <v>-3.3271719038817087E-2</v>
      </c>
      <c r="K99" s="5">
        <f t="shared" si="7"/>
        <v>-5.108991825613079E-3</v>
      </c>
      <c r="L99" s="5">
        <f t="shared" si="7"/>
        <v>-7.0204081632652317E-3</v>
      </c>
      <c r="M99" s="5">
        <f t="shared" si="7"/>
        <v>-1.507732938403971E-2</v>
      </c>
      <c r="N99" s="5">
        <f t="shared" si="11"/>
        <v>-1.8286357039173643E-2</v>
      </c>
      <c r="O99" s="5">
        <f t="shared" si="9"/>
        <v>-2.0961218209320089E-2</v>
      </c>
      <c r="P99" s="79">
        <f t="shared" si="10"/>
        <v>-2.5477005474690975E-2</v>
      </c>
      <c r="R99" s="95" t="s">
        <v>305</v>
      </c>
      <c r="S99" s="127">
        <f>S95/S94</f>
        <v>4.96104421476082</v>
      </c>
      <c r="T99" s="153">
        <v>2.1811547264032614</v>
      </c>
    </row>
    <row r="100" spans="1:26">
      <c r="A100" s="73">
        <v>44796</v>
      </c>
      <c r="B100" s="45">
        <v>1880.4</v>
      </c>
      <c r="C100" s="105">
        <v>1346.8</v>
      </c>
      <c r="D100" s="5">
        <v>53.05</v>
      </c>
      <c r="E100" s="5">
        <v>588.1</v>
      </c>
      <c r="F100" s="5">
        <v>306.7</v>
      </c>
      <c r="G100" s="5">
        <v>17577.5</v>
      </c>
      <c r="H100" s="5">
        <f t="shared" si="8"/>
        <v>1.3091967027638696E-2</v>
      </c>
      <c r="I100" s="5">
        <f t="shared" si="8"/>
        <v>2.4883950993075145E-2</v>
      </c>
      <c r="J100" s="5">
        <f t="shared" si="8"/>
        <v>1.4340344168260039E-2</v>
      </c>
      <c r="K100" s="5">
        <f t="shared" si="7"/>
        <v>6.6757959602875335E-3</v>
      </c>
      <c r="L100" s="5">
        <f t="shared" si="7"/>
        <v>8.5498191384411892E-3</v>
      </c>
      <c r="M100" s="5">
        <f t="shared" si="7"/>
        <v>4.9626372872440365E-3</v>
      </c>
      <c r="N100" s="5">
        <f t="shared" si="11"/>
        <v>1.0863710736999243E-2</v>
      </c>
      <c r="O100" s="5">
        <f t="shared" si="9"/>
        <v>1.1021781309103433E-2</v>
      </c>
      <c r="P100" s="79">
        <f t="shared" si="10"/>
        <v>1.2395277817159127E-2</v>
      </c>
    </row>
    <row r="101" spans="1:26">
      <c r="A101" s="73">
        <v>44797</v>
      </c>
      <c r="B101" s="45">
        <v>1859.1</v>
      </c>
      <c r="C101" s="105">
        <v>1344.9</v>
      </c>
      <c r="D101" s="5">
        <v>53.25</v>
      </c>
      <c r="E101" s="5">
        <v>587.1</v>
      </c>
      <c r="F101" s="5">
        <v>313.05</v>
      </c>
      <c r="G101" s="5">
        <v>17604.95</v>
      </c>
      <c r="H101" s="5">
        <f t="shared" si="8"/>
        <v>-1.132737715379716E-2</v>
      </c>
      <c r="I101" s="5">
        <f t="shared" si="8"/>
        <v>-1.4107514107513095E-3</v>
      </c>
      <c r="J101" s="5">
        <f t="shared" si="8"/>
        <v>3.7700282752121178E-3</v>
      </c>
      <c r="K101" s="5">
        <f t="shared" si="7"/>
        <v>-1.7003910899506885E-3</v>
      </c>
      <c r="L101" s="5">
        <f t="shared" si="7"/>
        <v>2.0704271274861501E-2</v>
      </c>
      <c r="M101" s="5">
        <f t="shared" si="7"/>
        <v>1.5616555255298381E-3</v>
      </c>
      <c r="N101" s="5">
        <f t="shared" si="11"/>
        <v>6.143695703465523E-3</v>
      </c>
      <c r="O101" s="5">
        <f t="shared" si="9"/>
        <v>-4.5908694924158529E-3</v>
      </c>
      <c r="P101" s="79">
        <f t="shared" si="10"/>
        <v>-4.9356209590117588E-3</v>
      </c>
    </row>
    <row r="102" spans="1:26">
      <c r="A102" s="73">
        <v>44798</v>
      </c>
      <c r="B102" s="45">
        <v>1868.35</v>
      </c>
      <c r="C102" s="105">
        <v>1359.4</v>
      </c>
      <c r="D102" s="5">
        <v>57.45</v>
      </c>
      <c r="E102" s="5">
        <v>579.70000000000005</v>
      </c>
      <c r="F102" s="5">
        <v>314.05</v>
      </c>
      <c r="G102" s="5">
        <v>17522.45</v>
      </c>
      <c r="H102" s="5">
        <f t="shared" si="8"/>
        <v>4.9755257920499167E-3</v>
      </c>
      <c r="I102" s="5">
        <f t="shared" si="8"/>
        <v>1.0781470741319056E-2</v>
      </c>
      <c r="J102" s="5">
        <f t="shared" si="8"/>
        <v>7.8873239436619766E-2</v>
      </c>
      <c r="K102" s="5">
        <f t="shared" si="7"/>
        <v>-1.2604326349855182E-2</v>
      </c>
      <c r="L102" s="5">
        <f t="shared" si="7"/>
        <v>3.194377894904967E-3</v>
      </c>
      <c r="M102" s="5">
        <f t="shared" si="7"/>
        <v>-4.6861820113093195E-3</v>
      </c>
      <c r="N102" s="5">
        <f t="shared" si="11"/>
        <v>4.0805547289027456E-3</v>
      </c>
      <c r="O102" s="5">
        <f t="shared" si="9"/>
        <v>-1.0151664948638949E-3</v>
      </c>
      <c r="P102" s="79">
        <f t="shared" si="10"/>
        <v>3.3284470844644576E-3</v>
      </c>
      <c r="R102" s="194" t="s">
        <v>323</v>
      </c>
      <c r="S102" s="194" t="s">
        <v>324</v>
      </c>
      <c r="T102" s="194" t="s">
        <v>326</v>
      </c>
      <c r="U102" s="196" t="s">
        <v>327</v>
      </c>
      <c r="V102" s="200" t="s">
        <v>325</v>
      </c>
      <c r="Y102" s="186" t="s">
        <v>344</v>
      </c>
      <c r="Z102" s="186"/>
    </row>
    <row r="103" spans="1:26">
      <c r="A103" s="73">
        <v>44799</v>
      </c>
      <c r="B103" s="45">
        <v>1870.4</v>
      </c>
      <c r="C103" s="105">
        <v>1390.6</v>
      </c>
      <c r="D103" s="5">
        <v>57.85</v>
      </c>
      <c r="E103" s="5">
        <v>572</v>
      </c>
      <c r="F103" s="5">
        <v>354.15</v>
      </c>
      <c r="G103" s="5">
        <v>17558.900000000001</v>
      </c>
      <c r="H103" s="5">
        <f t="shared" si="8"/>
        <v>1.0972248240427019E-3</v>
      </c>
      <c r="I103" s="5">
        <f t="shared" si="8"/>
        <v>2.2951302045019727E-2</v>
      </c>
      <c r="J103" s="5">
        <f t="shared" si="8"/>
        <v>6.96257615317665E-3</v>
      </c>
      <c r="K103" s="5">
        <f t="shared" si="7"/>
        <v>-1.3282732447817915E-2</v>
      </c>
      <c r="L103" s="5">
        <f t="shared" si="7"/>
        <v>0.12768667409648135</v>
      </c>
      <c r="M103" s="5">
        <f t="shared" si="7"/>
        <v>2.0801885581069272E-3</v>
      </c>
      <c r="N103" s="5">
        <f t="shared" si="11"/>
        <v>6.0396106957861927E-2</v>
      </c>
      <c r="O103" s="5">
        <f t="shared" si="9"/>
        <v>-8.3612862878574938E-4</v>
      </c>
      <c r="P103" s="79">
        <f t="shared" si="10"/>
        <v>7.6117794015796367E-5</v>
      </c>
      <c r="R103" s="195"/>
      <c r="S103" s="195"/>
      <c r="T103" s="195"/>
      <c r="U103" s="197"/>
      <c r="V103" s="200"/>
      <c r="Y103" s="186"/>
      <c r="Z103" s="186"/>
    </row>
    <row r="104" spans="1:26" ht="15.6">
      <c r="A104" s="73">
        <v>44802</v>
      </c>
      <c r="B104" s="45">
        <v>1882.65</v>
      </c>
      <c r="C104" s="105">
        <v>1360.65</v>
      </c>
      <c r="D104" s="5">
        <v>59.2</v>
      </c>
      <c r="E104" s="5">
        <v>573.04999999999995</v>
      </c>
      <c r="F104" s="5">
        <v>394.5</v>
      </c>
      <c r="G104" s="5">
        <v>17312.900000000001</v>
      </c>
      <c r="H104" s="5">
        <f t="shared" si="8"/>
        <v>6.54940119760479E-3</v>
      </c>
      <c r="I104" s="5">
        <f t="shared" si="8"/>
        <v>-2.1537465842082423E-2</v>
      </c>
      <c r="J104" s="5">
        <f t="shared" si="8"/>
        <v>2.3336214347450326E-2</v>
      </c>
      <c r="K104" s="5">
        <f t="shared" si="7"/>
        <v>1.8356643356642562E-3</v>
      </c>
      <c r="L104" s="5">
        <f t="shared" si="7"/>
        <v>0.11393477340110129</v>
      </c>
      <c r="M104" s="5">
        <f t="shared" si="7"/>
        <v>-1.4009989236227781E-2</v>
      </c>
      <c r="N104" s="5">
        <f t="shared" si="11"/>
        <v>5.5189538836303911E-2</v>
      </c>
      <c r="O104" s="5">
        <f t="shared" si="9"/>
        <v>4.4753114321341003E-3</v>
      </c>
      <c r="P104" s="79">
        <f t="shared" si="10"/>
        <v>2.2979199048880116E-3</v>
      </c>
      <c r="R104" s="39" t="s">
        <v>258</v>
      </c>
      <c r="S104" s="5">
        <v>0.3</v>
      </c>
      <c r="T104" s="127">
        <f>CORREL(I31:I773,I31:I773)</f>
        <v>1</v>
      </c>
      <c r="U104" s="48">
        <v>1</v>
      </c>
      <c r="V104" s="5">
        <v>0.39196961141473591</v>
      </c>
      <c r="Y104" s="42" t="s">
        <v>340</v>
      </c>
      <c r="Z104" s="4" t="s">
        <v>342</v>
      </c>
    </row>
    <row r="105" spans="1:26" ht="15.45" customHeight="1">
      <c r="A105" s="73">
        <v>44803</v>
      </c>
      <c r="B105" s="45">
        <v>1941.25</v>
      </c>
      <c r="C105" s="105">
        <v>1407.25</v>
      </c>
      <c r="D105" s="5">
        <v>58.8</v>
      </c>
      <c r="E105" s="5">
        <v>583.6</v>
      </c>
      <c r="F105" s="5">
        <v>391.6</v>
      </c>
      <c r="G105" s="5">
        <v>17759.3</v>
      </c>
      <c r="H105" s="5">
        <f t="shared" si="8"/>
        <v>3.1126337874804084E-2</v>
      </c>
      <c r="I105" s="5">
        <f t="shared" si="8"/>
        <v>3.4248337191783267E-2</v>
      </c>
      <c r="J105" s="5">
        <f t="shared" si="8"/>
        <v>-6.7567567567568525E-3</v>
      </c>
      <c r="K105" s="5">
        <f t="shared" si="7"/>
        <v>1.8410260884739672E-2</v>
      </c>
      <c r="L105" s="5">
        <f t="shared" si="7"/>
        <v>-7.3510773130544419E-3</v>
      </c>
      <c r="M105" s="5">
        <f t="shared" si="7"/>
        <v>2.5784241808131381E-2</v>
      </c>
      <c r="N105" s="5">
        <f t="shared" si="11"/>
        <v>1.0421416429144962E-2</v>
      </c>
      <c r="O105" s="5">
        <f t="shared" si="9"/>
        <v>2.3347752953672481E-2</v>
      </c>
      <c r="P105" s="79">
        <f t="shared" si="10"/>
        <v>2.4091291970950793E-2</v>
      </c>
      <c r="R105" s="144" t="s">
        <v>349</v>
      </c>
      <c r="S105" s="81">
        <v>0.185799802086761</v>
      </c>
      <c r="T105" s="23">
        <f>CORREL(H4:H746,I4:I746)</f>
        <v>0.28597065797163967</v>
      </c>
      <c r="U105" s="145">
        <v>3</v>
      </c>
      <c r="V105" s="81">
        <v>0.15033351889820162</v>
      </c>
      <c r="Y105" s="42" t="s">
        <v>341</v>
      </c>
      <c r="Z105" s="5">
        <f>V104*T24 + V105*U24 + V106*V24 +V107*W24 + V108*X24</f>
        <v>6.7834807357923868E-2</v>
      </c>
    </row>
    <row r="106" spans="1:26" ht="13.2" customHeight="1">
      <c r="A106" s="73">
        <v>44805</v>
      </c>
      <c r="B106" s="45">
        <v>1917.2</v>
      </c>
      <c r="C106" s="105">
        <v>1414</v>
      </c>
      <c r="D106" s="5">
        <v>60.15</v>
      </c>
      <c r="E106" s="5">
        <v>569.6</v>
      </c>
      <c r="F106" s="5">
        <v>402.5</v>
      </c>
      <c r="G106" s="5">
        <v>17542.8</v>
      </c>
      <c r="H106" s="5">
        <f t="shared" si="8"/>
        <v>-1.2388924661944601E-2</v>
      </c>
      <c r="I106" s="5">
        <f t="shared" si="8"/>
        <v>4.7965890922011013E-3</v>
      </c>
      <c r="J106" s="5">
        <f t="shared" si="8"/>
        <v>2.2959183673469413E-2</v>
      </c>
      <c r="K106" s="5">
        <f t="shared" si="7"/>
        <v>-2.3989033584647018E-2</v>
      </c>
      <c r="L106" s="5">
        <f t="shared" si="7"/>
        <v>2.78345250255362E-2</v>
      </c>
      <c r="M106" s="5">
        <f t="shared" si="7"/>
        <v>-1.219079580839335E-2</v>
      </c>
      <c r="N106" s="5">
        <f t="shared" si="11"/>
        <v>7.0470135818637321E-3</v>
      </c>
      <c r="O106" s="5">
        <f t="shared" si="9"/>
        <v>-1.4529221816718988E-2</v>
      </c>
      <c r="P106" s="79">
        <f t="shared" si="10"/>
        <v>-1.1943908579770419E-2</v>
      </c>
      <c r="R106" s="39" t="s">
        <v>279</v>
      </c>
      <c r="S106" s="5">
        <v>7.7262718356910703E-2</v>
      </c>
      <c r="T106" s="127">
        <f>CORREL(H4:H746,J4:J746)</f>
        <v>0.2776757153360801</v>
      </c>
      <c r="U106" s="47">
        <v>4</v>
      </c>
      <c r="V106" s="5">
        <v>5.9090194765230419E-2</v>
      </c>
      <c r="Y106" s="42" t="s">
        <v>338</v>
      </c>
      <c r="Z106" s="5">
        <f>_xlfn.STDEV.S(P4:P746)</f>
        <v>1.0577819593151702E-2</v>
      </c>
    </row>
    <row r="107" spans="1:26" ht="15" customHeight="1">
      <c r="A107" s="73">
        <v>44806</v>
      </c>
      <c r="B107" s="45">
        <v>1908.45</v>
      </c>
      <c r="C107" s="105">
        <v>1391.1</v>
      </c>
      <c r="D107" s="5">
        <v>59.3</v>
      </c>
      <c r="E107" s="5">
        <v>570.70000000000005</v>
      </c>
      <c r="F107" s="5">
        <v>397.5</v>
      </c>
      <c r="G107" s="5">
        <v>17539.45</v>
      </c>
      <c r="H107" s="5">
        <f t="shared" si="8"/>
        <v>-4.5639474233256832E-3</v>
      </c>
      <c r="I107" s="5">
        <f t="shared" si="8"/>
        <v>-1.619519094766626E-2</v>
      </c>
      <c r="J107" s="5">
        <f t="shared" si="8"/>
        <v>-1.413133832086453E-2</v>
      </c>
      <c r="K107" s="5">
        <f t="shared" si="7"/>
        <v>1.9311797752809387E-3</v>
      </c>
      <c r="L107" s="5">
        <f t="shared" si="7"/>
        <v>-1.2422360248447204E-2</v>
      </c>
      <c r="M107" s="5">
        <f t="shared" si="7"/>
        <v>-1.909615340765753E-4</v>
      </c>
      <c r="N107" s="5">
        <f t="shared" si="11"/>
        <v>-8.3860703319223288E-3</v>
      </c>
      <c r="O107" s="5">
        <f t="shared" si="9"/>
        <v>-2.9460474260521586E-3</v>
      </c>
      <c r="P107" s="79">
        <f t="shared" si="10"/>
        <v>-4.398700395279757E-3</v>
      </c>
      <c r="R107" s="144" t="s">
        <v>319</v>
      </c>
      <c r="S107" s="81">
        <v>0.39514347341237799</v>
      </c>
      <c r="T107" s="23">
        <f>CORREL(H4:H746,K4:K746)</f>
        <v>0.28432084503148608</v>
      </c>
      <c r="U107" s="145">
        <v>2</v>
      </c>
      <c r="V107" s="81">
        <v>0.39095356162039452</v>
      </c>
      <c r="Y107" s="42" t="s">
        <v>337</v>
      </c>
      <c r="Z107" s="5">
        <f>(Z105-0.065)/Z106</f>
        <v>0.26799543449948593</v>
      </c>
    </row>
    <row r="108" spans="1:26" ht="15.6">
      <c r="A108" s="73">
        <v>44809</v>
      </c>
      <c r="B108" s="45">
        <v>1885</v>
      </c>
      <c r="C108" s="105">
        <v>1398.25</v>
      </c>
      <c r="D108" s="5">
        <v>60.5</v>
      </c>
      <c r="E108" s="5">
        <v>570.1</v>
      </c>
      <c r="F108" s="5">
        <v>392.1</v>
      </c>
      <c r="G108" s="5">
        <v>17665.8</v>
      </c>
      <c r="H108" s="5">
        <f t="shared" si="8"/>
        <v>-1.2287458408656263E-2</v>
      </c>
      <c r="I108" s="5">
        <f t="shared" si="8"/>
        <v>5.1398174106822596E-3</v>
      </c>
      <c r="J108" s="5">
        <f t="shared" si="8"/>
        <v>2.023608768971337E-2</v>
      </c>
      <c r="K108" s="5">
        <f t="shared" si="7"/>
        <v>-1.0513404590853737E-3</v>
      </c>
      <c r="L108" s="5">
        <f t="shared" si="7"/>
        <v>-1.3584905660377301E-2</v>
      </c>
      <c r="M108" s="5">
        <f t="shared" si="7"/>
        <v>7.2037606652431254E-3</v>
      </c>
      <c r="N108" s="5">
        <f t="shared" si="11"/>
        <v>-9.3637387655128908E-3</v>
      </c>
      <c r="O108" s="5">
        <f t="shared" si="9"/>
        <v>-4.3269506456168009E-3</v>
      </c>
      <c r="P108" s="79">
        <f t="shared" si="10"/>
        <v>-3.362861216165428E-3</v>
      </c>
      <c r="R108" s="40" t="s">
        <v>322</v>
      </c>
      <c r="S108" s="5">
        <v>4.1794006143949597E-2</v>
      </c>
      <c r="T108" s="127">
        <f>CORREL(H4:H746,L4:L746)</f>
        <v>0.14947812744037053</v>
      </c>
      <c r="U108" s="47">
        <v>5</v>
      </c>
      <c r="V108" s="5">
        <v>7.6531133014375863E-3</v>
      </c>
      <c r="Y108" s="42" t="s">
        <v>336</v>
      </c>
      <c r="Z108" s="5">
        <f>Z106*Z106</f>
        <v>1.1189026734526404E-4</v>
      </c>
    </row>
    <row r="109" spans="1:26">
      <c r="A109" s="73">
        <v>44810</v>
      </c>
      <c r="B109" s="45">
        <v>1881.75</v>
      </c>
      <c r="C109" s="105">
        <v>1389.95</v>
      </c>
      <c r="D109" s="5">
        <v>60.8</v>
      </c>
      <c r="E109" s="5">
        <v>571</v>
      </c>
      <c r="F109" s="5">
        <v>380</v>
      </c>
      <c r="G109" s="5">
        <v>17655.599999999999</v>
      </c>
      <c r="H109" s="5">
        <f t="shared" si="8"/>
        <v>-1.7241379310344827E-3</v>
      </c>
      <c r="I109" s="5">
        <f t="shared" si="8"/>
        <v>-5.9359914178437004E-3</v>
      </c>
      <c r="J109" s="5">
        <f t="shared" si="8"/>
        <v>4.9586776859503658E-3</v>
      </c>
      <c r="K109" s="5">
        <f t="shared" si="7"/>
        <v>1.5786704087001882E-3</v>
      </c>
      <c r="L109" s="5">
        <f t="shared" si="7"/>
        <v>-3.085947462382051E-2</v>
      </c>
      <c r="M109" s="5">
        <f t="shared" si="7"/>
        <v>-5.7738681520229645E-4</v>
      </c>
      <c r="N109" s="5">
        <f t="shared" si="11"/>
        <v>-1.5105017279897484E-2</v>
      </c>
      <c r="O109" s="5">
        <f t="shared" si="9"/>
        <v>-9.8435586320644091E-4</v>
      </c>
      <c r="P109" s="79">
        <f t="shared" si="10"/>
        <v>-8.9416315941902628E-4</v>
      </c>
      <c r="R109" s="138" t="s">
        <v>293</v>
      </c>
      <c r="S109" s="147">
        <v>1</v>
      </c>
      <c r="T109" s="148" t="s">
        <v>237</v>
      </c>
      <c r="U109" s="149" t="s">
        <v>237</v>
      </c>
      <c r="V109" s="150">
        <f>SUM(V104:V108)</f>
        <v>1</v>
      </c>
    </row>
    <row r="110" spans="1:26">
      <c r="A110" s="73">
        <v>44811</v>
      </c>
      <c r="B110" s="45">
        <v>1927.25</v>
      </c>
      <c r="C110" s="105">
        <v>1413.2</v>
      </c>
      <c r="D110" s="5">
        <v>62.1</v>
      </c>
      <c r="E110" s="5">
        <v>572.35</v>
      </c>
      <c r="F110" s="5">
        <v>408.6</v>
      </c>
      <c r="G110" s="5">
        <v>17624.400000000001</v>
      </c>
      <c r="H110" s="5">
        <f t="shared" si="8"/>
        <v>2.4179620034542316E-2</v>
      </c>
      <c r="I110" s="5">
        <f t="shared" si="8"/>
        <v>1.6727220403611642E-2</v>
      </c>
      <c r="J110" s="5">
        <f t="shared" si="8"/>
        <v>2.1381578947368491E-2</v>
      </c>
      <c r="K110" s="5">
        <f t="shared" si="7"/>
        <v>2.3642732049037178E-3</v>
      </c>
      <c r="L110" s="5">
        <f t="shared" si="7"/>
        <v>7.5263157894736907E-2</v>
      </c>
      <c r="M110" s="5">
        <f t="shared" si="7"/>
        <v>-1.7671447019640845E-3</v>
      </c>
      <c r="N110" s="5">
        <f t="shared" si="11"/>
        <v>4.4726354203910121E-2</v>
      </c>
      <c r="O110" s="5">
        <f t="shared" si="9"/>
        <v>1.3953809227389858E-2</v>
      </c>
      <c r="P110" s="79">
        <f t="shared" si="10"/>
        <v>1.4756098343037585E-2</v>
      </c>
    </row>
    <row r="111" spans="1:26">
      <c r="A111" s="73">
        <v>44812</v>
      </c>
      <c r="B111" s="45">
        <v>1913.15</v>
      </c>
      <c r="C111" s="105">
        <v>1407.05</v>
      </c>
      <c r="D111" s="5">
        <v>63.05</v>
      </c>
      <c r="E111" s="5">
        <v>570.4</v>
      </c>
      <c r="F111" s="5">
        <v>432.6</v>
      </c>
      <c r="G111" s="5">
        <v>17798.75</v>
      </c>
      <c r="H111" s="5">
        <f t="shared" si="8"/>
        <v>-7.3161240108963075E-3</v>
      </c>
      <c r="I111" s="5">
        <f t="shared" si="8"/>
        <v>-4.3518256439287369E-3</v>
      </c>
      <c r="J111" s="5">
        <f t="shared" si="8"/>
        <v>1.5297906602254359E-2</v>
      </c>
      <c r="K111" s="5">
        <f t="shared" si="7"/>
        <v>-3.4070062024985507E-3</v>
      </c>
      <c r="L111" s="5">
        <f t="shared" si="7"/>
        <v>5.8737151248164463E-2</v>
      </c>
      <c r="M111" s="5">
        <f t="shared" si="7"/>
        <v>9.8925353487210078E-3</v>
      </c>
      <c r="N111" s="5">
        <f t="shared" si="11"/>
        <v>2.5170251656100404E-2</v>
      </c>
      <c r="O111" s="5">
        <f t="shared" si="9"/>
        <v>-3.0430871025022826E-3</v>
      </c>
      <c r="P111" s="79">
        <f t="shared" si="10"/>
        <v>-3.5004264034924743E-3</v>
      </c>
      <c r="R111" s="151" t="s">
        <v>328</v>
      </c>
      <c r="S111" s="123" t="s">
        <v>329</v>
      </c>
      <c r="T111" s="123" t="s">
        <v>330</v>
      </c>
    </row>
    <row r="112" spans="1:26">
      <c r="A112" s="73">
        <v>44813</v>
      </c>
      <c r="B112" s="45">
        <v>1899.2</v>
      </c>
      <c r="C112" s="105">
        <v>1379.35</v>
      </c>
      <c r="D112" s="5">
        <v>64.2</v>
      </c>
      <c r="E112" s="5">
        <v>574.9</v>
      </c>
      <c r="F112" s="5">
        <v>421.5</v>
      </c>
      <c r="G112" s="5">
        <v>17833.349999999999</v>
      </c>
      <c r="H112" s="5">
        <f t="shared" si="8"/>
        <v>-7.2916394428037762E-3</v>
      </c>
      <c r="I112" s="5">
        <f t="shared" si="8"/>
        <v>-1.9686578302121494E-2</v>
      </c>
      <c r="J112" s="5">
        <f t="shared" si="8"/>
        <v>1.8239492466296681E-2</v>
      </c>
      <c r="K112" s="5">
        <f t="shared" si="7"/>
        <v>7.8892005610098175E-3</v>
      </c>
      <c r="L112" s="5">
        <f t="shared" si="7"/>
        <v>-2.5658807212205322E-2</v>
      </c>
      <c r="M112" s="5">
        <f t="shared" si="7"/>
        <v>1.9439567385349278E-3</v>
      </c>
      <c r="N112" s="5">
        <f t="shared" si="11"/>
        <v>-1.3987697896275023E-2</v>
      </c>
      <c r="O112" s="5">
        <f t="shared" si="9"/>
        <v>-7.9902423531750502E-4</v>
      </c>
      <c r="P112" s="79">
        <f t="shared" si="10"/>
        <v>-1.8519372090529901E-3</v>
      </c>
      <c r="R112" s="38" t="s">
        <v>300</v>
      </c>
      <c r="S112" s="22">
        <f>Z105</f>
        <v>6.7834807357923868E-2</v>
      </c>
      <c r="T112" s="25">
        <v>0.154818816785951</v>
      </c>
    </row>
    <row r="113" spans="1:26">
      <c r="A113" s="73">
        <v>44816</v>
      </c>
      <c r="B113" s="45">
        <v>1912.3</v>
      </c>
      <c r="C113" s="105">
        <v>1400.3</v>
      </c>
      <c r="D113" s="5">
        <v>63.8</v>
      </c>
      <c r="E113" s="5">
        <v>570.4</v>
      </c>
      <c r="F113" s="5">
        <v>428.9</v>
      </c>
      <c r="G113" s="5">
        <v>17936.349999999999</v>
      </c>
      <c r="H113" s="5">
        <f t="shared" si="8"/>
        <v>6.8976411120471297E-3</v>
      </c>
      <c r="I113" s="5">
        <f t="shared" si="8"/>
        <v>1.5188313335991624E-2</v>
      </c>
      <c r="J113" s="5">
        <f t="shared" si="8"/>
        <v>-6.2305295950156646E-3</v>
      </c>
      <c r="K113" s="5">
        <f t="shared" si="7"/>
        <v>-7.8274482518698903E-3</v>
      </c>
      <c r="L113" s="5">
        <f t="shared" si="7"/>
        <v>1.7556346381969103E-2</v>
      </c>
      <c r="M113" s="5">
        <f t="shared" si="7"/>
        <v>5.775695536733144E-3</v>
      </c>
      <c r="N113" s="5">
        <f t="shared" si="11"/>
        <v>1.0088485644461779E-2</v>
      </c>
      <c r="O113" s="5">
        <f t="shared" si="9"/>
        <v>4.0893790083715634E-4</v>
      </c>
      <c r="P113" s="79">
        <f t="shared" si="10"/>
        <v>1.6930070245881456E-3</v>
      </c>
      <c r="R113" s="95" t="s">
        <v>301</v>
      </c>
      <c r="S113" s="127">
        <f>_xlfn.STDEV.S(O24:O766) * SQRT(252)</f>
        <v>0.16415827642882536</v>
      </c>
      <c r="T113" s="152">
        <v>0.33768379396883758</v>
      </c>
      <c r="V113" s="59"/>
      <c r="W113" s="184" t="s">
        <v>355</v>
      </c>
      <c r="X113" s="185"/>
    </row>
    <row r="114" spans="1:26">
      <c r="A114" s="73">
        <v>44817</v>
      </c>
      <c r="B114" s="45">
        <v>1941.8</v>
      </c>
      <c r="C114" s="105">
        <v>1460.35</v>
      </c>
      <c r="D114" s="5">
        <v>63.3</v>
      </c>
      <c r="E114" s="5">
        <v>571</v>
      </c>
      <c r="F114" s="5">
        <v>424.75</v>
      </c>
      <c r="G114" s="5">
        <v>18070.05</v>
      </c>
      <c r="H114" s="5">
        <f t="shared" si="8"/>
        <v>1.5426449824818281E-2</v>
      </c>
      <c r="I114" s="5">
        <f t="shared" si="8"/>
        <v>4.2883667785474512E-2</v>
      </c>
      <c r="J114" s="5">
        <f t="shared" si="8"/>
        <v>-7.8369905956112863E-3</v>
      </c>
      <c r="K114" s="5">
        <f t="shared" si="7"/>
        <v>1.0518934081346822E-3</v>
      </c>
      <c r="L114" s="5">
        <f t="shared" si="7"/>
        <v>-9.6759151317322867E-3</v>
      </c>
      <c r="M114" s="5">
        <f t="shared" si="7"/>
        <v>7.4541364324403094E-3</v>
      </c>
      <c r="N114" s="5">
        <f t="shared" si="11"/>
        <v>2.7629425217960213E-3</v>
      </c>
      <c r="O114" s="5">
        <f t="shared" si="9"/>
        <v>9.8359349489302531E-3</v>
      </c>
      <c r="P114" s="79">
        <f t="shared" si="10"/>
        <v>1.2367653523683853E-2</v>
      </c>
      <c r="R114" s="38" t="s">
        <v>302</v>
      </c>
      <c r="S114" s="23">
        <f>SLOPE((O24:O766),(M24:M766))</f>
        <v>0.69498713734054873</v>
      </c>
      <c r="T114" s="24">
        <v>1.096503305612365</v>
      </c>
      <c r="W114" s="185"/>
      <c r="X114" s="185"/>
    </row>
    <row r="115" spans="1:26">
      <c r="A115" s="73">
        <v>44818</v>
      </c>
      <c r="B115" s="45">
        <v>1900.4</v>
      </c>
      <c r="C115" s="105">
        <v>1430.6</v>
      </c>
      <c r="D115" s="5">
        <v>63.1</v>
      </c>
      <c r="E115" s="5">
        <v>567</v>
      </c>
      <c r="F115" s="5">
        <v>420.75</v>
      </c>
      <c r="G115" s="5">
        <v>18003.75</v>
      </c>
      <c r="H115" s="5">
        <f t="shared" si="8"/>
        <v>-2.1320424348542519E-2</v>
      </c>
      <c r="I115" s="5">
        <f t="shared" si="8"/>
        <v>-2.0371828671208958E-2</v>
      </c>
      <c r="J115" s="5">
        <f t="shared" si="8"/>
        <v>-3.1595576619272629E-3</v>
      </c>
      <c r="K115" s="5">
        <f t="shared" si="7"/>
        <v>-7.0052539404553416E-3</v>
      </c>
      <c r="L115" s="5">
        <f t="shared" si="7"/>
        <v>-9.4173042966450848E-3</v>
      </c>
      <c r="M115" s="5">
        <f t="shared" si="7"/>
        <v>-3.6690545958643875E-3</v>
      </c>
      <c r="N115" s="5">
        <f t="shared" si="11"/>
        <v>-1.3195975754919915E-2</v>
      </c>
      <c r="O115" s="5">
        <f t="shared" si="9"/>
        <v>-1.3518345675494942E-2</v>
      </c>
      <c r="P115" s="79">
        <f t="shared" si="10"/>
        <v>-1.4417026690097519E-2</v>
      </c>
      <c r="R115" s="95" t="s">
        <v>303</v>
      </c>
      <c r="S115" s="127">
        <f>(S112-AE27)/S113</f>
        <v>0.4132280676529595</v>
      </c>
      <c r="T115" s="153">
        <v>0.26598497881790478</v>
      </c>
    </row>
    <row r="116" spans="1:26">
      <c r="A116" s="73">
        <v>44819</v>
      </c>
      <c r="B116" s="45">
        <v>1888.9</v>
      </c>
      <c r="C116" s="105">
        <v>1435.2</v>
      </c>
      <c r="D116" s="5">
        <v>61.7</v>
      </c>
      <c r="E116" s="5">
        <v>563.45000000000005</v>
      </c>
      <c r="F116" s="5">
        <v>418.4</v>
      </c>
      <c r="G116" s="5">
        <v>17877.400000000001</v>
      </c>
      <c r="H116" s="5">
        <f t="shared" si="8"/>
        <v>-6.0513576089244363E-3</v>
      </c>
      <c r="I116" s="5">
        <f t="shared" si="8"/>
        <v>3.2154340836013815E-3</v>
      </c>
      <c r="J116" s="5">
        <f t="shared" si="8"/>
        <v>-2.2187004754358138E-2</v>
      </c>
      <c r="K116" s="5">
        <f t="shared" si="7"/>
        <v>-6.2610229276895144E-3</v>
      </c>
      <c r="L116" s="5">
        <f t="shared" si="7"/>
        <v>-5.585264408793875E-3</v>
      </c>
      <c r="M116" s="5">
        <f t="shared" si="7"/>
        <v>-7.0179823647850336E-3</v>
      </c>
      <c r="N116" s="5">
        <f t="shared" si="11"/>
        <v>-5.6954454121251955E-3</v>
      </c>
      <c r="O116" s="5">
        <f t="shared" si="9"/>
        <v>-5.7139897957108193E-3</v>
      </c>
      <c r="P116" s="79">
        <f t="shared" si="10"/>
        <v>-5.6901090764269746E-3</v>
      </c>
      <c r="R116" s="41" t="s">
        <v>304</v>
      </c>
      <c r="S116" s="23">
        <f>(S112-AE27)/S114</f>
        <v>9.7605845796660151E-2</v>
      </c>
      <c r="T116" s="24">
        <v>8.1913858650694907E-2</v>
      </c>
      <c r="W116" s="185" t="s">
        <v>357</v>
      </c>
      <c r="X116" s="185"/>
      <c r="Y116" s="185"/>
      <c r="Z116" s="185"/>
    </row>
    <row r="117" spans="1:26">
      <c r="A117" s="73">
        <v>44820</v>
      </c>
      <c r="B117" s="45">
        <v>1840.2</v>
      </c>
      <c r="C117" s="105">
        <v>1432.7</v>
      </c>
      <c r="D117" s="5">
        <v>59.4</v>
      </c>
      <c r="E117" s="5">
        <v>546.4</v>
      </c>
      <c r="F117" s="5">
        <v>430.45</v>
      </c>
      <c r="G117" s="5">
        <v>17530.849999999999</v>
      </c>
      <c r="H117" s="5">
        <f t="shared" si="8"/>
        <v>-2.5782201281168957E-2</v>
      </c>
      <c r="I117" s="5">
        <f t="shared" si="8"/>
        <v>-1.741917502787068E-3</v>
      </c>
      <c r="J117" s="5">
        <f t="shared" si="8"/>
        <v>-3.7277147487844477E-2</v>
      </c>
      <c r="K117" s="5">
        <f t="shared" si="7"/>
        <v>-3.026000532434123E-2</v>
      </c>
      <c r="L117" s="5">
        <f t="shared" si="7"/>
        <v>2.8800191204588939E-2</v>
      </c>
      <c r="M117" s="5">
        <f t="shared" si="7"/>
        <v>-1.9384809871681726E-2</v>
      </c>
      <c r="N117" s="5">
        <f t="shared" si="11"/>
        <v>5.8857083858794221E-4</v>
      </c>
      <c r="O117" s="5">
        <f t="shared" si="9"/>
        <v>-2.4789102530562601E-2</v>
      </c>
      <c r="P117" s="79">
        <f t="shared" si="10"/>
        <v>-2.4180267640581121E-2</v>
      </c>
      <c r="R117" s="95" t="s">
        <v>305</v>
      </c>
      <c r="S117" s="127">
        <f>S113/S112</f>
        <v>2.4199711449412677</v>
      </c>
      <c r="T117" s="153">
        <v>2.1811547264032614</v>
      </c>
    </row>
    <row r="118" spans="1:26">
      <c r="A118" s="73">
        <v>44823</v>
      </c>
      <c r="B118" s="45">
        <v>1850</v>
      </c>
      <c r="C118" s="105">
        <v>1421.8</v>
      </c>
      <c r="D118" s="5">
        <v>59.2</v>
      </c>
      <c r="E118" s="5">
        <v>548.15</v>
      </c>
      <c r="F118" s="5">
        <v>459.85</v>
      </c>
      <c r="G118" s="5">
        <v>17622.25</v>
      </c>
      <c r="H118" s="5">
        <f t="shared" si="8"/>
        <v>5.3255080969459596E-3</v>
      </c>
      <c r="I118" s="5">
        <f t="shared" si="8"/>
        <v>-7.6080128428841279E-3</v>
      </c>
      <c r="J118" s="5">
        <f t="shared" si="8"/>
        <v>-3.3670033670032953E-3</v>
      </c>
      <c r="K118" s="5">
        <f t="shared" si="7"/>
        <v>3.2027818448023427E-3</v>
      </c>
      <c r="L118" s="5">
        <f t="shared" si="7"/>
        <v>6.8300615634800874E-2</v>
      </c>
      <c r="M118" s="5">
        <f t="shared" si="7"/>
        <v>5.2136661941663675E-3</v>
      </c>
      <c r="N118" s="5">
        <f t="shared" si="11"/>
        <v>3.3669152381314911E-2</v>
      </c>
      <c r="O118" s="5">
        <f t="shared" si="9"/>
        <v>4.2435802916902304E-3</v>
      </c>
      <c r="P118" s="79">
        <f t="shared" si="10"/>
        <v>2.5195924314507286E-3</v>
      </c>
    </row>
    <row r="119" spans="1:26">
      <c r="A119" s="73">
        <v>44824</v>
      </c>
      <c r="B119" s="45">
        <v>1854.25</v>
      </c>
      <c r="C119" s="105">
        <v>1445.55</v>
      </c>
      <c r="D119" s="5">
        <v>60.1</v>
      </c>
      <c r="E119" s="5">
        <v>556.79999999999995</v>
      </c>
      <c r="F119" s="5">
        <v>455.5</v>
      </c>
      <c r="G119" s="5">
        <v>17816.25</v>
      </c>
      <c r="H119" s="5">
        <f t="shared" si="8"/>
        <v>2.2972972972972973E-3</v>
      </c>
      <c r="I119" s="5">
        <f t="shared" si="8"/>
        <v>1.6704177802785204E-2</v>
      </c>
      <c r="J119" s="5">
        <f t="shared" si="8"/>
        <v>1.5202702702702678E-2</v>
      </c>
      <c r="K119" s="5">
        <f t="shared" si="7"/>
        <v>1.5780352093405049E-2</v>
      </c>
      <c r="L119" s="5">
        <f t="shared" si="7"/>
        <v>-9.4596063933891968E-3</v>
      </c>
      <c r="M119" s="5">
        <f t="shared" si="7"/>
        <v>1.1008809885230319E-2</v>
      </c>
      <c r="N119" s="5">
        <f t="shared" si="11"/>
        <v>-1.2459853107768364E-4</v>
      </c>
      <c r="O119" s="5">
        <f t="shared" si="9"/>
        <v>1.029038405646039E-2</v>
      </c>
      <c r="P119" s="79">
        <f t="shared" si="10"/>
        <v>1.0406988637005211E-2</v>
      </c>
    </row>
    <row r="120" spans="1:26">
      <c r="A120" s="73">
        <v>44825</v>
      </c>
      <c r="B120" s="45">
        <v>1877.35</v>
      </c>
      <c r="C120" s="105">
        <v>1461.95</v>
      </c>
      <c r="D120" s="5">
        <v>59.1</v>
      </c>
      <c r="E120" s="5">
        <v>561.5</v>
      </c>
      <c r="F120" s="5">
        <v>452.85</v>
      </c>
      <c r="G120" s="5">
        <v>17718.349999999999</v>
      </c>
      <c r="H120" s="5">
        <f t="shared" si="8"/>
        <v>1.2457867062154461E-2</v>
      </c>
      <c r="I120" s="5">
        <f t="shared" si="8"/>
        <v>1.1345162740825355E-2</v>
      </c>
      <c r="J120" s="5">
        <f t="shared" si="8"/>
        <v>-1.6638935108153077E-2</v>
      </c>
      <c r="K120" s="5">
        <f t="shared" si="7"/>
        <v>8.4410919540230701E-3</v>
      </c>
      <c r="L120" s="5">
        <f t="shared" si="7"/>
        <v>-5.8177826564214646E-3</v>
      </c>
      <c r="M120" s="5">
        <f t="shared" si="7"/>
        <v>-5.4949835122431179E-3</v>
      </c>
      <c r="N120" s="5">
        <f t="shared" si="11"/>
        <v>2.4360162668507516E-3</v>
      </c>
      <c r="O120" s="5">
        <f t="shared" si="9"/>
        <v>9.1949785347782316E-3</v>
      </c>
      <c r="P120" s="79">
        <f t="shared" si="10"/>
        <v>8.861016446041212E-3</v>
      </c>
    </row>
    <row r="121" spans="1:26">
      <c r="A121" s="73">
        <v>44826</v>
      </c>
      <c r="B121" s="45">
        <v>1906.1</v>
      </c>
      <c r="C121" s="105">
        <v>1486.75</v>
      </c>
      <c r="D121" s="5">
        <v>59.4</v>
      </c>
      <c r="E121" s="5">
        <v>575.65</v>
      </c>
      <c r="F121" s="5">
        <v>460.15</v>
      </c>
      <c r="G121" s="5">
        <v>17629.8</v>
      </c>
      <c r="H121" s="5">
        <f t="shared" si="8"/>
        <v>1.5314139611686687E-2</v>
      </c>
      <c r="I121" s="5">
        <f t="shared" si="8"/>
        <v>1.6963644447484494E-2</v>
      </c>
      <c r="J121" s="5">
        <f t="shared" si="8"/>
        <v>5.0761421319796473E-3</v>
      </c>
      <c r="K121" s="5">
        <f t="shared" si="7"/>
        <v>2.5200356188780013E-2</v>
      </c>
      <c r="L121" s="5">
        <f t="shared" si="7"/>
        <v>1.612012807772983E-2</v>
      </c>
      <c r="M121" s="5">
        <f t="shared" si="7"/>
        <v>-4.997643685783342E-3</v>
      </c>
      <c r="N121" s="5">
        <f t="shared" si="11"/>
        <v>1.6881505513485145E-2</v>
      </c>
      <c r="O121" s="5">
        <f t="shared" si="9"/>
        <v>2.0003551103224007E-2</v>
      </c>
      <c r="P121" s="79">
        <f t="shared" si="10"/>
        <v>1.8828370115825447E-2</v>
      </c>
    </row>
    <row r="122" spans="1:26">
      <c r="A122" s="73">
        <v>44827</v>
      </c>
      <c r="B122" s="45">
        <v>1854.35</v>
      </c>
      <c r="C122" s="105">
        <v>1433.65</v>
      </c>
      <c r="D122" s="5">
        <v>58</v>
      </c>
      <c r="E122" s="5">
        <v>568.54999999999995</v>
      </c>
      <c r="F122" s="5">
        <v>447.5</v>
      </c>
      <c r="G122" s="5">
        <v>17327.349999999999</v>
      </c>
      <c r="H122" s="5">
        <f t="shared" si="8"/>
        <v>-2.7149677351660458E-2</v>
      </c>
      <c r="I122" s="5">
        <f t="shared" si="8"/>
        <v>-3.5715486800067198E-2</v>
      </c>
      <c r="J122" s="5">
        <f t="shared" si="8"/>
        <v>-2.3569023569023545E-2</v>
      </c>
      <c r="K122" s="5">
        <f t="shared" si="7"/>
        <v>-1.2333883436115736E-2</v>
      </c>
      <c r="L122" s="5">
        <f t="shared" si="7"/>
        <v>-2.7491035531891726E-2</v>
      </c>
      <c r="M122" s="5">
        <f t="shared" si="7"/>
        <v>-1.7155611521401305E-2</v>
      </c>
      <c r="N122" s="5">
        <f t="shared" si="11"/>
        <v>-2.5735710476478397E-2</v>
      </c>
      <c r="O122" s="5">
        <f t="shared" si="9"/>
        <v>-2.0675348008553286E-2</v>
      </c>
      <c r="P122" s="79">
        <f t="shared" si="10"/>
        <v>-2.2436149152161737E-2</v>
      </c>
    </row>
    <row r="123" spans="1:26">
      <c r="A123" s="73">
        <v>44830</v>
      </c>
      <c r="B123" s="45">
        <v>1811.75</v>
      </c>
      <c r="C123" s="105">
        <v>1408.95</v>
      </c>
      <c r="D123" s="5">
        <v>55.35</v>
      </c>
      <c r="E123" s="5">
        <v>556.20000000000005</v>
      </c>
      <c r="F123" s="5">
        <v>419.6</v>
      </c>
      <c r="G123" s="5">
        <v>17016.3</v>
      </c>
      <c r="H123" s="5">
        <f t="shared" si="8"/>
        <v>-2.2973009410305448E-2</v>
      </c>
      <c r="I123" s="5">
        <f t="shared" si="8"/>
        <v>-1.722875178739584E-2</v>
      </c>
      <c r="J123" s="5">
        <f t="shared" si="8"/>
        <v>-4.5689655172413766E-2</v>
      </c>
      <c r="K123" s="5">
        <f t="shared" si="7"/>
        <v>-2.1721924193122698E-2</v>
      </c>
      <c r="L123" s="5">
        <f t="shared" si="7"/>
        <v>-6.2346368715083748E-2</v>
      </c>
      <c r="M123" s="5">
        <f t="shared" si="7"/>
        <v>-1.7951388989083692E-2</v>
      </c>
      <c r="N123" s="5">
        <f t="shared" si="11"/>
        <v>-4.1610085959561775E-2</v>
      </c>
      <c r="O123" s="5">
        <f t="shared" si="9"/>
        <v>-2.3328864126582381E-2</v>
      </c>
      <c r="P123" s="79">
        <f t="shared" si="10"/>
        <v>-2.3263998529160813E-2</v>
      </c>
    </row>
    <row r="124" spans="1:26">
      <c r="A124" s="73">
        <v>44831</v>
      </c>
      <c r="B124" s="45">
        <v>1796.65</v>
      </c>
      <c r="C124" s="105">
        <v>1396.05</v>
      </c>
      <c r="D124" s="5">
        <v>55.95</v>
      </c>
      <c r="E124" s="5">
        <v>560.5</v>
      </c>
      <c r="F124" s="5">
        <v>439</v>
      </c>
      <c r="G124" s="5">
        <v>17007.400000000001</v>
      </c>
      <c r="H124" s="5">
        <f t="shared" si="8"/>
        <v>-8.3344832344417873E-3</v>
      </c>
      <c r="I124" s="5">
        <f t="shared" si="8"/>
        <v>-9.1557542851059947E-3</v>
      </c>
      <c r="J124" s="5">
        <f t="shared" si="8"/>
        <v>1.0840108401084037E-2</v>
      </c>
      <c r="K124" s="5">
        <f t="shared" si="7"/>
        <v>7.7310320028765806E-3</v>
      </c>
      <c r="L124" s="5">
        <f t="shared" si="7"/>
        <v>4.6234509056243989E-2</v>
      </c>
      <c r="M124" s="5">
        <f t="shared" si="7"/>
        <v>-5.2302792028806604E-4</v>
      </c>
      <c r="N124" s="5">
        <f t="shared" si="11"/>
        <v>2.0065820907446998E-2</v>
      </c>
      <c r="O124" s="5">
        <f t="shared" si="9"/>
        <v>1.1305730452501009E-3</v>
      </c>
      <c r="P124" s="79">
        <f t="shared" si="10"/>
        <v>-6.26424365128156E-4</v>
      </c>
    </row>
    <row r="125" spans="1:26">
      <c r="A125" s="73">
        <v>44832</v>
      </c>
      <c r="B125" s="45">
        <v>1780.45</v>
      </c>
      <c r="C125" s="105">
        <v>1388.15</v>
      </c>
      <c r="D125" s="5">
        <v>57.05</v>
      </c>
      <c r="E125" s="5">
        <v>564.04999999999995</v>
      </c>
      <c r="F125" s="5">
        <v>428.75</v>
      </c>
      <c r="G125" s="5">
        <v>16858.599999999999</v>
      </c>
      <c r="H125" s="5">
        <f t="shared" si="8"/>
        <v>-9.016781231736869E-3</v>
      </c>
      <c r="I125" s="5">
        <f t="shared" si="8"/>
        <v>-5.6588231080547712E-3</v>
      </c>
      <c r="J125" s="5">
        <f t="shared" si="8"/>
        <v>1.9660411081322507E-2</v>
      </c>
      <c r="K125" s="5">
        <f t="shared" si="7"/>
        <v>6.3336306868866273E-3</v>
      </c>
      <c r="L125" s="5">
        <f t="shared" si="7"/>
        <v>-2.3348519362186789E-2</v>
      </c>
      <c r="M125" s="5">
        <f t="shared" si="7"/>
        <v>-8.7491327304586759E-3</v>
      </c>
      <c r="N125" s="5">
        <f t="shared" si="11"/>
        <v>-1.2686525094883844E-2</v>
      </c>
      <c r="O125" s="5">
        <f t="shared" si="9"/>
        <v>-7.8151004846830046E-4</v>
      </c>
      <c r="P125" s="79">
        <f t="shared" si="10"/>
        <v>-9.2581089538514689E-4</v>
      </c>
    </row>
    <row r="126" spans="1:26">
      <c r="A126" s="73">
        <v>44833</v>
      </c>
      <c r="B126" s="45">
        <v>1787.1</v>
      </c>
      <c r="C126" s="105">
        <v>1397.65</v>
      </c>
      <c r="D126" s="5">
        <v>58.5</v>
      </c>
      <c r="E126" s="5">
        <v>575.75</v>
      </c>
      <c r="F126" s="5">
        <v>461.85</v>
      </c>
      <c r="G126" s="5">
        <v>16818.099999999999</v>
      </c>
      <c r="H126" s="5">
        <f t="shared" si="8"/>
        <v>3.7350108118733259E-3</v>
      </c>
      <c r="I126" s="5">
        <f t="shared" si="8"/>
        <v>6.8436408169145983E-3</v>
      </c>
      <c r="J126" s="5">
        <f t="shared" si="8"/>
        <v>2.5416301489921172E-2</v>
      </c>
      <c r="K126" s="5">
        <f t="shared" si="8"/>
        <v>2.0742841946636018E-2</v>
      </c>
      <c r="L126" s="5">
        <f t="shared" si="8"/>
        <v>7.7201166180758077E-2</v>
      </c>
      <c r="M126" s="5">
        <f t="shared" si="8"/>
        <v>-2.4023347134400248E-3</v>
      </c>
      <c r="N126" s="5">
        <f t="shared" si="11"/>
        <v>4.149763196665994E-2</v>
      </c>
      <c r="O126" s="5">
        <f t="shared" si="9"/>
        <v>1.4518303155581978E-2</v>
      </c>
      <c r="P126" s="79">
        <f t="shared" si="10"/>
        <v>1.269501075684394E-2</v>
      </c>
    </row>
    <row r="127" spans="1:26">
      <c r="A127" s="73">
        <v>44834</v>
      </c>
      <c r="B127" s="45">
        <v>1821.5</v>
      </c>
      <c r="C127" s="105">
        <v>1420</v>
      </c>
      <c r="D127" s="5">
        <v>59.9</v>
      </c>
      <c r="E127" s="5">
        <v>572.95000000000005</v>
      </c>
      <c r="F127" s="5">
        <v>493.45</v>
      </c>
      <c r="G127" s="5">
        <v>17094.349999999999</v>
      </c>
      <c r="H127" s="5">
        <f t="shared" ref="H127:M169" si="12">(B127 - B126) / B126</f>
        <v>1.924906272732365E-2</v>
      </c>
      <c r="I127" s="5">
        <f t="shared" si="12"/>
        <v>1.5991127964797989E-2</v>
      </c>
      <c r="J127" s="5">
        <f t="shared" si="12"/>
        <v>2.3931623931623909E-2</v>
      </c>
      <c r="K127" s="5">
        <f t="shared" si="12"/>
        <v>-4.8632218844984016E-3</v>
      </c>
      <c r="L127" s="5">
        <f t="shared" si="12"/>
        <v>6.8420482840749086E-2</v>
      </c>
      <c r="M127" s="5">
        <f t="shared" si="12"/>
        <v>1.6425755584756899E-2</v>
      </c>
      <c r="N127" s="5">
        <f t="shared" si="11"/>
        <v>3.9049987291619244E-2</v>
      </c>
      <c r="O127" s="5">
        <f t="shared" si="9"/>
        <v>8.466798429083832E-3</v>
      </c>
      <c r="P127" s="79">
        <f t="shared" si="10"/>
        <v>9.9855102852187752E-3</v>
      </c>
    </row>
    <row r="128" spans="1:26">
      <c r="A128" s="73">
        <v>44837</v>
      </c>
      <c r="B128" s="45">
        <v>1783.25</v>
      </c>
      <c r="C128" s="105">
        <v>1389.8</v>
      </c>
      <c r="D128" s="5">
        <v>60.55</v>
      </c>
      <c r="E128" s="5">
        <v>557.15</v>
      </c>
      <c r="F128" s="5">
        <v>513.29999999999995</v>
      </c>
      <c r="G128" s="5">
        <v>16887.349999999999</v>
      </c>
      <c r="H128" s="5">
        <f t="shared" si="12"/>
        <v>-2.0999176502882241E-2</v>
      </c>
      <c r="I128" s="5">
        <f t="shared" si="12"/>
        <v>-2.1267605633802849E-2</v>
      </c>
      <c r="J128" s="5">
        <f t="shared" si="12"/>
        <v>1.0851419031719508E-2</v>
      </c>
      <c r="K128" s="5">
        <f t="shared" si="12"/>
        <v>-2.7576577362771738E-2</v>
      </c>
      <c r="L128" s="5">
        <f t="shared" si="12"/>
        <v>4.0226973350896679E-2</v>
      </c>
      <c r="M128" s="5">
        <f t="shared" si="12"/>
        <v>-1.2109264172080249E-2</v>
      </c>
      <c r="N128" s="5">
        <f t="shared" si="11"/>
        <v>7.8121144974662646E-3</v>
      </c>
      <c r="O128" s="5">
        <f t="shared" si="9"/>
        <v>-2.1973313505036215E-2</v>
      </c>
      <c r="P128" s="79">
        <f t="shared" si="10"/>
        <v>-2.1260360135717204E-2</v>
      </c>
    </row>
    <row r="129" spans="1:16">
      <c r="A129" s="73">
        <v>44838</v>
      </c>
      <c r="B129" s="45">
        <v>1817.55</v>
      </c>
      <c r="C129" s="105">
        <v>1431.45</v>
      </c>
      <c r="D129" s="5">
        <v>62</v>
      </c>
      <c r="E129" s="5">
        <v>553.79999999999995</v>
      </c>
      <c r="F129" s="5">
        <v>556.25</v>
      </c>
      <c r="G129" s="5">
        <v>17274.3</v>
      </c>
      <c r="H129" s="5">
        <f t="shared" si="12"/>
        <v>1.9234543670264941E-2</v>
      </c>
      <c r="I129" s="5">
        <f t="shared" si="12"/>
        <v>2.9968340768455958E-2</v>
      </c>
      <c r="J129" s="5">
        <f t="shared" si="12"/>
        <v>2.3947151114781219E-2</v>
      </c>
      <c r="K129" s="5">
        <f t="shared" si="12"/>
        <v>-6.0127434263663694E-3</v>
      </c>
      <c r="L129" s="5">
        <f t="shared" si="12"/>
        <v>8.3674264562634035E-2</v>
      </c>
      <c r="M129" s="5">
        <f t="shared" si="12"/>
        <v>2.2913601009039355E-2</v>
      </c>
      <c r="N129" s="5">
        <f t="shared" si="11"/>
        <v>4.6983715059668314E-2</v>
      </c>
      <c r="O129" s="5">
        <f t="shared" si="9"/>
        <v>9.5609055136531874E-3</v>
      </c>
      <c r="P129" s="79">
        <f t="shared" si="10"/>
        <v>1.1749309724345521E-2</v>
      </c>
    </row>
    <row r="130" spans="1:16">
      <c r="A130" s="73">
        <v>44840</v>
      </c>
      <c r="B130" s="45">
        <v>1800.8</v>
      </c>
      <c r="C130" s="105">
        <v>1447.4</v>
      </c>
      <c r="D130" s="5">
        <v>63.85</v>
      </c>
      <c r="E130" s="5">
        <v>546.4</v>
      </c>
      <c r="F130" s="5">
        <v>595.04999999999995</v>
      </c>
      <c r="G130" s="5">
        <v>17331.8</v>
      </c>
      <c r="H130" s="5">
        <f t="shared" si="12"/>
        <v>-9.2157024566036708E-3</v>
      </c>
      <c r="I130" s="5">
        <f t="shared" si="12"/>
        <v>1.1142547766251036E-2</v>
      </c>
      <c r="J130" s="5">
        <f t="shared" si="12"/>
        <v>2.9838709677419379E-2</v>
      </c>
      <c r="K130" s="5">
        <f t="shared" si="12"/>
        <v>-1.3362224629830223E-2</v>
      </c>
      <c r="L130" s="5">
        <f t="shared" si="12"/>
        <v>6.9752808988763959E-2</v>
      </c>
      <c r="M130" s="5">
        <f t="shared" si="12"/>
        <v>3.3286442865991675E-3</v>
      </c>
      <c r="N130" s="5">
        <f t="shared" si="11"/>
        <v>2.9819563061062114E-2</v>
      </c>
      <c r="O130" s="5">
        <f t="shared" si="9"/>
        <v>-6.473094090815504E-3</v>
      </c>
      <c r="P130" s="79">
        <f t="shared" si="10"/>
        <v>-4.8641848891744152E-3</v>
      </c>
    </row>
    <row r="131" spans="1:16">
      <c r="A131" s="73">
        <v>44841</v>
      </c>
      <c r="B131" s="45">
        <v>1784.65</v>
      </c>
      <c r="C131" s="105">
        <v>1450.75</v>
      </c>
      <c r="D131" s="5">
        <v>63.9</v>
      </c>
      <c r="E131" s="5">
        <v>540.15</v>
      </c>
      <c r="F131" s="5">
        <v>632.95000000000005</v>
      </c>
      <c r="G131" s="5">
        <v>17314.650000000001</v>
      </c>
      <c r="H131" s="5">
        <f t="shared" si="12"/>
        <v>-8.9682363394046338E-3</v>
      </c>
      <c r="I131" s="5">
        <f t="shared" si="12"/>
        <v>2.3144949564736141E-3</v>
      </c>
      <c r="J131" s="5">
        <f t="shared" si="12"/>
        <v>7.8308535630379256E-4</v>
      </c>
      <c r="K131" s="5">
        <f t="shared" si="12"/>
        <v>-1.1438506588579795E-2</v>
      </c>
      <c r="L131" s="5">
        <f t="shared" si="12"/>
        <v>6.3692126712041164E-2</v>
      </c>
      <c r="M131" s="5">
        <f t="shared" si="12"/>
        <v>-9.8951061055388466E-4</v>
      </c>
      <c r="N131" s="5">
        <f t="shared" si="11"/>
        <v>2.5951141628612368E-2</v>
      </c>
      <c r="O131" s="5">
        <f t="shared" si="9"/>
        <v>-7.2142040521433999E-3</v>
      </c>
      <c r="P131" s="79">
        <f t="shared" si="10"/>
        <v>-7.1055391038181877E-3</v>
      </c>
    </row>
    <row r="132" spans="1:16">
      <c r="A132" s="73">
        <v>44844</v>
      </c>
      <c r="B132" s="45">
        <v>1781.15</v>
      </c>
      <c r="C132" s="105">
        <v>1431.85</v>
      </c>
      <c r="D132" s="5">
        <v>63.2</v>
      </c>
      <c r="E132" s="5">
        <v>529.1</v>
      </c>
      <c r="F132" s="5">
        <v>625.35</v>
      </c>
      <c r="G132" s="5">
        <v>17241</v>
      </c>
      <c r="H132" s="5">
        <f t="shared" si="12"/>
        <v>-1.9611688566385566E-3</v>
      </c>
      <c r="I132" s="5">
        <f t="shared" si="12"/>
        <v>-1.3027744270205128E-2</v>
      </c>
      <c r="J132" s="5">
        <f t="shared" si="12"/>
        <v>-1.095461658841934E-2</v>
      </c>
      <c r="K132" s="5">
        <f t="shared" si="12"/>
        <v>-2.0457280385078137E-2</v>
      </c>
      <c r="L132" s="5">
        <f t="shared" si="12"/>
        <v>-1.2007267556679078E-2</v>
      </c>
      <c r="M132" s="5">
        <f t="shared" si="12"/>
        <v>-4.2536233767359695E-3</v>
      </c>
      <c r="N132" s="5">
        <f t="shared" si="11"/>
        <v>-1.0189449256353997E-2</v>
      </c>
      <c r="O132" s="5">
        <f t="shared" ref="O132:O195" si="13">$V$86*H132 +$V$87*I132 + $V$88*J132 + $V$89*K132+ $V$90*L132</f>
        <v>-1.2451496349920295E-2</v>
      </c>
      <c r="P132" s="79">
        <f t="shared" ref="P132:P195" si="14">$V$104*H132 +$V$105*I132 + $V$106*J132 + $V$107*K132+ $V$108*L132</f>
        <v>-1.1464275268554515E-2</v>
      </c>
    </row>
    <row r="133" spans="1:16">
      <c r="A133" s="73">
        <v>44845</v>
      </c>
      <c r="B133" s="45">
        <v>1810.3</v>
      </c>
      <c r="C133" s="105">
        <v>1423.05</v>
      </c>
      <c r="D133" s="5">
        <v>60.95</v>
      </c>
      <c r="E133" s="5">
        <v>518.95000000000005</v>
      </c>
      <c r="F133" s="5">
        <v>578.79999999999995</v>
      </c>
      <c r="G133" s="5">
        <v>16983.55</v>
      </c>
      <c r="H133" s="5">
        <f t="shared" si="12"/>
        <v>1.6365831064200018E-2</v>
      </c>
      <c r="I133" s="5">
        <f t="shared" si="12"/>
        <v>-6.1458951705834798E-3</v>
      </c>
      <c r="J133" s="5">
        <f t="shared" si="12"/>
        <v>-3.5601265822784806E-2</v>
      </c>
      <c r="K133" s="5">
        <f t="shared" si="12"/>
        <v>-1.918351918351914E-2</v>
      </c>
      <c r="L133" s="5">
        <f t="shared" si="12"/>
        <v>-7.4438314543855549E-2</v>
      </c>
      <c r="M133" s="5">
        <f t="shared" si="12"/>
        <v>-1.4932428513427338E-2</v>
      </c>
      <c r="N133" s="5">
        <f t="shared" ref="N133:N196" si="15">((H133 *0.3 ) + (I133 * 0.064462757 ) + (J133 * 0.026806099 ) + (K133 * 0.137093997) + (L133 * 0.471637147))</f>
        <v>-3.4178582704187131E-2</v>
      </c>
      <c r="O133" s="5">
        <f t="shared" si="13"/>
        <v>-6.4637775177163112E-3</v>
      </c>
      <c r="P133" s="79">
        <f t="shared" si="14"/>
        <v>-4.6822613407988241E-3</v>
      </c>
    </row>
    <row r="134" spans="1:16">
      <c r="A134" s="73">
        <v>44846</v>
      </c>
      <c r="B134" s="45">
        <v>1799.15</v>
      </c>
      <c r="C134" s="105">
        <v>1422.3</v>
      </c>
      <c r="D134" s="5">
        <v>61.6</v>
      </c>
      <c r="E134" s="5">
        <v>533.6</v>
      </c>
      <c r="F134" s="5">
        <v>616.85</v>
      </c>
      <c r="G134" s="5">
        <v>17123.599999999999</v>
      </c>
      <c r="H134" s="5">
        <f t="shared" si="12"/>
        <v>-6.1592001325746363E-3</v>
      </c>
      <c r="I134" s="5">
        <f t="shared" si="12"/>
        <v>-5.2703699799725942E-4</v>
      </c>
      <c r="J134" s="5">
        <f t="shared" si="12"/>
        <v>1.0664479081214087E-2</v>
      </c>
      <c r="K134" s="5">
        <f t="shared" si="12"/>
        <v>2.8230079969168466E-2</v>
      </c>
      <c r="L134" s="5">
        <f t="shared" si="12"/>
        <v>6.5739460953697426E-2</v>
      </c>
      <c r="M134" s="5">
        <f t="shared" si="12"/>
        <v>8.2462147195373914E-3</v>
      </c>
      <c r="N134" s="5">
        <f t="shared" si="15"/>
        <v>3.3279485092452848E-2</v>
      </c>
      <c r="O134" s="5">
        <f t="shared" si="13"/>
        <v>1.3128402008227576E-2</v>
      </c>
      <c r="P134" s="79">
        <f t="shared" si="14"/>
        <v>9.676477388718371E-3</v>
      </c>
    </row>
    <row r="135" spans="1:16">
      <c r="A135" s="73">
        <v>44847</v>
      </c>
      <c r="B135" s="45">
        <v>1822.25</v>
      </c>
      <c r="C135" s="105">
        <v>1401.65</v>
      </c>
      <c r="D135" s="5">
        <v>60.65</v>
      </c>
      <c r="E135" s="5">
        <v>530</v>
      </c>
      <c r="F135" s="5">
        <v>623.75</v>
      </c>
      <c r="G135" s="5">
        <v>17014.349999999999</v>
      </c>
      <c r="H135" s="5">
        <f t="shared" si="12"/>
        <v>1.2839396381624605E-2</v>
      </c>
      <c r="I135" s="5">
        <f t="shared" si="12"/>
        <v>-1.4518737256556186E-2</v>
      </c>
      <c r="J135" s="5">
        <f t="shared" si="12"/>
        <v>-1.5422077922077967E-2</v>
      </c>
      <c r="K135" s="5">
        <f t="shared" si="12"/>
        <v>-6.7466266866567136E-3</v>
      </c>
      <c r="L135" s="5">
        <f t="shared" si="12"/>
        <v>1.1185863662154457E-2</v>
      </c>
      <c r="M135" s="5">
        <f t="shared" si="12"/>
        <v>-6.3800836272746393E-3</v>
      </c>
      <c r="N135" s="5">
        <f t="shared" si="15"/>
        <v>6.8532421408150817E-3</v>
      </c>
      <c r="O135" s="5">
        <f t="shared" si="13"/>
        <v>-5.7277928879656624E-5</v>
      </c>
      <c r="P135" s="79">
        <f t="shared" si="14"/>
        <v>-6.1330428942223993E-4</v>
      </c>
    </row>
    <row r="136" spans="1:16">
      <c r="A136" s="73">
        <v>44848</v>
      </c>
      <c r="B136" s="45">
        <v>1785.35</v>
      </c>
      <c r="C136" s="105">
        <v>1379.6</v>
      </c>
      <c r="D136" s="5">
        <v>61.55</v>
      </c>
      <c r="E136" s="5">
        <v>531.35</v>
      </c>
      <c r="F136" s="5">
        <v>625.9</v>
      </c>
      <c r="G136" s="5">
        <v>17185.7</v>
      </c>
      <c r="H136" s="5">
        <f t="shared" si="12"/>
        <v>-2.0249691315681214E-2</v>
      </c>
      <c r="I136" s="5">
        <f t="shared" si="12"/>
        <v>-1.5731459351478742E-2</v>
      </c>
      <c r="J136" s="5">
        <f t="shared" si="12"/>
        <v>1.4839241549876316E-2</v>
      </c>
      <c r="K136" s="5">
        <f t="shared" si="12"/>
        <v>2.5471698113207976E-3</v>
      </c>
      <c r="L136" s="5">
        <f t="shared" si="12"/>
        <v>3.446893787575114E-3</v>
      </c>
      <c r="M136" s="5">
        <f t="shared" si="12"/>
        <v>1.0070910731235821E-2</v>
      </c>
      <c r="N136" s="5">
        <f t="shared" si="15"/>
        <v>-4.7163336156075637E-3</v>
      </c>
      <c r="O136" s="5">
        <f t="shared" si="13"/>
        <v>-7.266063125742241E-3</v>
      </c>
      <c r="P136" s="79">
        <f t="shared" si="14"/>
        <v>-8.4031710261550981E-3</v>
      </c>
    </row>
    <row r="137" spans="1:16">
      <c r="A137" s="73">
        <v>44851</v>
      </c>
      <c r="B137" s="45">
        <v>1840.1</v>
      </c>
      <c r="C137" s="105">
        <v>1378.25</v>
      </c>
      <c r="D137" s="5">
        <v>62.95</v>
      </c>
      <c r="E137" s="5">
        <v>529.95000000000005</v>
      </c>
      <c r="F137" s="5">
        <v>621.65</v>
      </c>
      <c r="G137" s="5">
        <v>17311.8</v>
      </c>
      <c r="H137" s="5">
        <f t="shared" si="12"/>
        <v>3.0666255916206909E-2</v>
      </c>
      <c r="I137" s="5">
        <f t="shared" si="12"/>
        <v>-9.7854450565374677E-4</v>
      </c>
      <c r="J137" s="5">
        <f t="shared" si="12"/>
        <v>2.2745735174654846E-2</v>
      </c>
      <c r="K137" s="5">
        <f t="shared" si="12"/>
        <v>-2.634798155641248E-3</v>
      </c>
      <c r="L137" s="5">
        <f t="shared" si="12"/>
        <v>-6.7902220802045056E-3</v>
      </c>
      <c r="M137" s="5">
        <f t="shared" si="12"/>
        <v>7.3374957086414019E-3</v>
      </c>
      <c r="N137" s="5">
        <f t="shared" si="15"/>
        <v>6.182785547250865E-3</v>
      </c>
      <c r="O137" s="5">
        <f t="shared" si="13"/>
        <v>1.0470547889149775E-2</v>
      </c>
      <c r="P137" s="79">
        <f t="shared" si="14"/>
        <v>1.2135132235615225E-2</v>
      </c>
    </row>
    <row r="138" spans="1:16">
      <c r="A138" s="73">
        <v>44852</v>
      </c>
      <c r="B138" s="45">
        <v>1867.5</v>
      </c>
      <c r="C138" s="105">
        <v>1428.9</v>
      </c>
      <c r="D138" s="5">
        <v>68.2</v>
      </c>
      <c r="E138" s="5">
        <v>531.35</v>
      </c>
      <c r="F138" s="5">
        <v>619.6</v>
      </c>
      <c r="G138" s="5">
        <v>17486.95</v>
      </c>
      <c r="H138" s="5">
        <f t="shared" si="12"/>
        <v>1.4890495081789083E-2</v>
      </c>
      <c r="I138" s="5">
        <f t="shared" si="12"/>
        <v>3.6749501179031446E-2</v>
      </c>
      <c r="J138" s="5">
        <f t="shared" si="12"/>
        <v>8.339952343129467E-2</v>
      </c>
      <c r="K138" s="5">
        <f t="shared" si="12"/>
        <v>2.6417586564769831E-3</v>
      </c>
      <c r="L138" s="5">
        <f t="shared" si="12"/>
        <v>-3.297675540899147E-3</v>
      </c>
      <c r="M138" s="5">
        <f t="shared" si="12"/>
        <v>1.0117376587067866E-2</v>
      </c>
      <c r="N138" s="5">
        <f t="shared" si="15"/>
        <v>7.8786015400483696E-3</v>
      </c>
      <c r="O138" s="5">
        <f t="shared" si="13"/>
        <v>1.2484474517249333E-2</v>
      </c>
      <c r="P138" s="79">
        <f t="shared" si="14"/>
        <v>1.7296964955007214E-2</v>
      </c>
    </row>
    <row r="139" spans="1:16">
      <c r="A139" s="73">
        <v>44853</v>
      </c>
      <c r="B139" s="45">
        <v>1838.55</v>
      </c>
      <c r="C139" s="105">
        <v>1424.15</v>
      </c>
      <c r="D139" s="5">
        <v>67.55</v>
      </c>
      <c r="E139" s="5">
        <v>526.1</v>
      </c>
      <c r="F139" s="5">
        <v>629.85</v>
      </c>
      <c r="G139" s="5">
        <v>17512.25</v>
      </c>
      <c r="H139" s="5">
        <f t="shared" si="12"/>
        <v>-1.5502008032128539E-2</v>
      </c>
      <c r="I139" s="5">
        <f t="shared" si="12"/>
        <v>-3.3242354258520537E-3</v>
      </c>
      <c r="J139" s="5">
        <f t="shared" si="12"/>
        <v>-9.5307917888563885E-3</v>
      </c>
      <c r="K139" s="5">
        <f t="shared" si="12"/>
        <v>-9.8804930836548406E-3</v>
      </c>
      <c r="L139" s="5">
        <f t="shared" si="12"/>
        <v>1.6542930923176241E-2</v>
      </c>
      <c r="M139" s="5">
        <f t="shared" si="12"/>
        <v>1.4467931800570867E-3</v>
      </c>
      <c r="N139" s="5">
        <f t="shared" si="15"/>
        <v>1.3273293161092962E-3</v>
      </c>
      <c r="O139" s="5">
        <f t="shared" si="13"/>
        <v>-1.074728266518424E-2</v>
      </c>
      <c r="P139" s="79">
        <f t="shared" si="14"/>
        <v>-1.0875445453713934E-2</v>
      </c>
    </row>
    <row r="140" spans="1:16">
      <c r="A140" s="73">
        <v>44854</v>
      </c>
      <c r="B140" s="45">
        <v>1817.35</v>
      </c>
      <c r="C140" s="105">
        <v>1425.5</v>
      </c>
      <c r="D140" s="5">
        <v>66.45</v>
      </c>
      <c r="E140" s="5">
        <v>535.95000000000005</v>
      </c>
      <c r="F140" s="5">
        <v>651.65</v>
      </c>
      <c r="G140" s="5">
        <v>17563.95</v>
      </c>
      <c r="H140" s="5">
        <f t="shared" si="12"/>
        <v>-1.1530825922602076E-2</v>
      </c>
      <c r="I140" s="5">
        <f t="shared" si="12"/>
        <v>9.4793385528203419E-4</v>
      </c>
      <c r="J140" s="5">
        <f t="shared" si="12"/>
        <v>-1.6284233900814127E-2</v>
      </c>
      <c r="K140" s="5">
        <f t="shared" si="12"/>
        <v>1.8722676297281929E-2</v>
      </c>
      <c r="L140" s="5">
        <f t="shared" si="12"/>
        <v>3.4611415416368904E-2</v>
      </c>
      <c r="M140" s="5">
        <f t="shared" si="12"/>
        <v>2.9522191608731445E-3</v>
      </c>
      <c r="N140" s="5">
        <f t="shared" si="15"/>
        <v>1.5056137615639703E-2</v>
      </c>
      <c r="O140" s="5">
        <f t="shared" si="13"/>
        <v>5.2257737309354471E-3</v>
      </c>
      <c r="P140" s="79">
        <f t="shared" si="14"/>
        <v>2.2451163883650174E-3</v>
      </c>
    </row>
    <row r="141" spans="1:16">
      <c r="A141" s="73">
        <v>44855</v>
      </c>
      <c r="B141" s="45">
        <v>1812.15</v>
      </c>
      <c r="C141" s="105">
        <v>1431</v>
      </c>
      <c r="D141" s="5">
        <v>65.3</v>
      </c>
      <c r="E141" s="5">
        <v>537.95000000000005</v>
      </c>
      <c r="F141" s="5">
        <v>640.29999999999995</v>
      </c>
      <c r="G141" s="5">
        <v>17576.3</v>
      </c>
      <c r="H141" s="5">
        <f t="shared" si="12"/>
        <v>-2.861309048889767E-3</v>
      </c>
      <c r="I141" s="5">
        <f t="shared" si="12"/>
        <v>3.858295334970186E-3</v>
      </c>
      <c r="J141" s="5">
        <f t="shared" si="12"/>
        <v>-1.7306245297216038E-2</v>
      </c>
      <c r="K141" s="5">
        <f t="shared" si="12"/>
        <v>3.7316913891221192E-3</v>
      </c>
      <c r="L141" s="5">
        <f t="shared" si="12"/>
        <v>-1.7417325251285233E-2</v>
      </c>
      <c r="M141" s="5">
        <f t="shared" si="12"/>
        <v>7.0314479373936639E-4</v>
      </c>
      <c r="N141" s="5">
        <f t="shared" si="15"/>
        <v>-8.7766543865919616E-3</v>
      </c>
      <c r="O141" s="5">
        <f t="shared" si="13"/>
        <v>2.4874912668009869E-4</v>
      </c>
      <c r="P141" s="79">
        <f t="shared" si="14"/>
        <v>-2.3852321075418063E-4</v>
      </c>
    </row>
    <row r="142" spans="1:16">
      <c r="A142" s="73">
        <v>44858</v>
      </c>
      <c r="B142" s="45">
        <v>1814.55</v>
      </c>
      <c r="C142" s="105">
        <v>1429.25</v>
      </c>
      <c r="D142" s="5">
        <v>66.25</v>
      </c>
      <c r="E142" s="5">
        <v>536.85</v>
      </c>
      <c r="F142" s="5">
        <v>639.5</v>
      </c>
      <c r="G142" s="5">
        <v>17730.75</v>
      </c>
      <c r="H142" s="5">
        <f t="shared" si="12"/>
        <v>1.3243936760201217E-3</v>
      </c>
      <c r="I142" s="5">
        <f t="shared" si="12"/>
        <v>-1.222921034241789E-3</v>
      </c>
      <c r="J142" s="5">
        <f t="shared" si="12"/>
        <v>1.4548238897396676E-2</v>
      </c>
      <c r="K142" s="5">
        <f t="shared" si="12"/>
        <v>-2.0447997025746308E-3</v>
      </c>
      <c r="L142" s="5">
        <f t="shared" si="12"/>
        <v>-1.2494143370294466E-3</v>
      </c>
      <c r="M142" s="5">
        <f t="shared" si="12"/>
        <v>8.7874012164107767E-3</v>
      </c>
      <c r="N142" s="5">
        <f t="shared" si="15"/>
        <v>-1.6113320412304647E-4</v>
      </c>
      <c r="O142" s="5">
        <f t="shared" si="13"/>
        <v>-2.4411585000848197E-4</v>
      </c>
      <c r="P142" s="79">
        <f t="shared" si="14"/>
        <v>3.8595068607221296E-4</v>
      </c>
    </row>
    <row r="143" spans="1:16">
      <c r="A143" s="73">
        <v>44859</v>
      </c>
      <c r="B143" s="45">
        <v>1804.2</v>
      </c>
      <c r="C143" s="105">
        <v>1433.95</v>
      </c>
      <c r="D143" s="5">
        <v>71.099999999999994</v>
      </c>
      <c r="E143" s="5">
        <v>532.15</v>
      </c>
      <c r="F143" s="5">
        <v>624.75</v>
      </c>
      <c r="G143" s="5">
        <v>17656.349999999999</v>
      </c>
      <c r="H143" s="5">
        <f t="shared" si="12"/>
        <v>-5.7038935273207737E-3</v>
      </c>
      <c r="I143" s="5">
        <f t="shared" si="12"/>
        <v>3.2884379919538537E-3</v>
      </c>
      <c r="J143" s="5">
        <f t="shared" si="12"/>
        <v>7.3207547169811232E-2</v>
      </c>
      <c r="K143" s="5">
        <f t="shared" si="12"/>
        <v>-8.7547732141194847E-3</v>
      </c>
      <c r="L143" s="5">
        <f t="shared" si="12"/>
        <v>-2.3064894448788117E-2</v>
      </c>
      <c r="M143" s="5">
        <f t="shared" si="12"/>
        <v>-4.1960999957701426E-3</v>
      </c>
      <c r="N143" s="5">
        <f t="shared" si="15"/>
        <v>-1.1615265388464954E-2</v>
      </c>
      <c r="O143" s="5">
        <f t="shared" si="13"/>
        <v>-4.5532491188890207E-3</v>
      </c>
      <c r="P143" s="79">
        <f t="shared" si="14"/>
        <v>-1.0147702736381693E-3</v>
      </c>
    </row>
    <row r="144" spans="1:16">
      <c r="A144" s="73">
        <v>44861</v>
      </c>
      <c r="B144" s="45">
        <v>1808.35</v>
      </c>
      <c r="C144" s="105">
        <v>1463.1</v>
      </c>
      <c r="D144" s="5">
        <v>72.900000000000006</v>
      </c>
      <c r="E144" s="5">
        <v>549.04999999999995</v>
      </c>
      <c r="F144" s="5">
        <v>628.75</v>
      </c>
      <c r="G144" s="5">
        <v>17736.95</v>
      </c>
      <c r="H144" s="5">
        <f t="shared" si="12"/>
        <v>2.3001884491740737E-3</v>
      </c>
      <c r="I144" s="5">
        <f t="shared" si="12"/>
        <v>2.0328463335541589E-2</v>
      </c>
      <c r="J144" s="5">
        <f t="shared" si="12"/>
        <v>2.5316455696202694E-2</v>
      </c>
      <c r="K144" s="5">
        <f t="shared" si="12"/>
        <v>3.1757962980362639E-2</v>
      </c>
      <c r="L144" s="5">
        <f t="shared" si="12"/>
        <v>6.4025610244097643E-3</v>
      </c>
      <c r="M144" s="5">
        <f t="shared" si="12"/>
        <v>4.564929897742296E-3</v>
      </c>
      <c r="N144" s="5">
        <f t="shared" si="15"/>
        <v>1.0052632441258137E-2</v>
      </c>
      <c r="O144" s="5">
        <f t="shared" si="13"/>
        <v>1.901923263348259E-2</v>
      </c>
      <c r="P144" s="79">
        <f t="shared" si="14"/>
        <v>1.7918495959403001E-2</v>
      </c>
    </row>
    <row r="145" spans="1:16">
      <c r="A145" s="73">
        <v>44862</v>
      </c>
      <c r="B145" s="45">
        <v>1813.35</v>
      </c>
      <c r="C145" s="105">
        <v>1458.95</v>
      </c>
      <c r="D145" s="5">
        <v>73.45</v>
      </c>
      <c r="E145" s="5">
        <v>551.04999999999995</v>
      </c>
      <c r="F145" s="5">
        <v>640.9</v>
      </c>
      <c r="G145" s="5">
        <v>17786.8</v>
      </c>
      <c r="H145" s="5">
        <f t="shared" si="12"/>
        <v>2.764951475101612E-3</v>
      </c>
      <c r="I145" s="5">
        <f t="shared" si="12"/>
        <v>-2.8364431686144923E-3</v>
      </c>
      <c r="J145" s="5">
        <f t="shared" si="12"/>
        <v>7.5445816186556535E-3</v>
      </c>
      <c r="K145" s="5">
        <f t="shared" si="12"/>
        <v>3.6426554958564799E-3</v>
      </c>
      <c r="L145" s="5">
        <f t="shared" si="12"/>
        <v>1.9324055666003939E-2</v>
      </c>
      <c r="M145" s="5">
        <f t="shared" si="12"/>
        <v>2.8105170280120621E-3</v>
      </c>
      <c r="N145" s="5">
        <f t="shared" si="15"/>
        <v>1.0462209981995305E-2</v>
      </c>
      <c r="O145" s="5">
        <f t="shared" si="13"/>
        <v>3.164485201174929E-3</v>
      </c>
      <c r="P145" s="79">
        <f t="shared" si="14"/>
        <v>2.675173597168548E-3</v>
      </c>
    </row>
    <row r="146" spans="1:16">
      <c r="A146" s="73">
        <v>44865</v>
      </c>
      <c r="B146" s="45">
        <v>1828.35</v>
      </c>
      <c r="C146" s="105">
        <v>1527.9</v>
      </c>
      <c r="D146" s="5">
        <v>74.05</v>
      </c>
      <c r="E146" s="5">
        <v>554.70000000000005</v>
      </c>
      <c r="F146" s="5">
        <v>636.35</v>
      </c>
      <c r="G146" s="5">
        <v>18012.2</v>
      </c>
      <c r="H146" s="5">
        <f t="shared" si="12"/>
        <v>8.2719827942757881E-3</v>
      </c>
      <c r="I146" s="5">
        <f t="shared" si="12"/>
        <v>4.726001576476236E-2</v>
      </c>
      <c r="J146" s="5">
        <f t="shared" si="12"/>
        <v>8.1688223281142867E-3</v>
      </c>
      <c r="K146" s="5">
        <f t="shared" si="12"/>
        <v>6.623718355866239E-3</v>
      </c>
      <c r="L146" s="5">
        <f t="shared" si="12"/>
        <v>-7.0993914807301528E-3</v>
      </c>
      <c r="M146" s="5">
        <f t="shared" si="12"/>
        <v>1.2672318798209991E-2</v>
      </c>
      <c r="N146" s="5">
        <f t="shared" si="15"/>
        <v>3.3068152913839194E-3</v>
      </c>
      <c r="O146" s="5">
        <f t="shared" si="13"/>
        <v>1.0798264224294755E-2</v>
      </c>
      <c r="P146" s="79">
        <f t="shared" si="14"/>
        <v>1.3365061491996708E-2</v>
      </c>
    </row>
    <row r="147" spans="1:16">
      <c r="A147" s="73">
        <v>44866</v>
      </c>
      <c r="B147" s="45">
        <v>1837.75</v>
      </c>
      <c r="C147" s="105">
        <v>1557.55</v>
      </c>
      <c r="D147" s="5">
        <v>76.05</v>
      </c>
      <c r="E147" s="5">
        <v>563.79999999999995</v>
      </c>
      <c r="F147" s="5">
        <v>638.1</v>
      </c>
      <c r="G147" s="5">
        <v>18145.400000000001</v>
      </c>
      <c r="H147" s="5">
        <f t="shared" si="12"/>
        <v>5.141247572948337E-3</v>
      </c>
      <c r="I147" s="5">
        <f t="shared" si="12"/>
        <v>1.9405720269651063E-2</v>
      </c>
      <c r="J147" s="5">
        <f t="shared" si="12"/>
        <v>2.7008777852802163E-2</v>
      </c>
      <c r="K147" s="5">
        <f t="shared" si="12"/>
        <v>1.6405264106724191E-2</v>
      </c>
      <c r="L147" s="5">
        <f t="shared" si="12"/>
        <v>2.7500589298342106E-3</v>
      </c>
      <c r="M147" s="5">
        <f t="shared" si="12"/>
        <v>7.3949878415740843E-3</v>
      </c>
      <c r="N147" s="5">
        <f t="shared" si="15"/>
        <v>7.0634136510085484E-3</v>
      </c>
      <c r="O147" s="5">
        <f t="shared" si="13"/>
        <v>1.2499714327091476E-2</v>
      </c>
      <c r="P147" s="79">
        <f t="shared" si="14"/>
        <v>1.296323991636193E-2</v>
      </c>
    </row>
    <row r="148" spans="1:16">
      <c r="A148" s="73">
        <v>44867</v>
      </c>
      <c r="B148" s="45">
        <v>1860.65</v>
      </c>
      <c r="C148" s="105">
        <v>1530.25</v>
      </c>
      <c r="D148" s="5">
        <v>74.650000000000006</v>
      </c>
      <c r="E148" s="5">
        <v>562.25</v>
      </c>
      <c r="F148" s="5">
        <v>724.6</v>
      </c>
      <c r="G148" s="5">
        <v>18082.849999999999</v>
      </c>
      <c r="H148" s="5">
        <f t="shared" si="12"/>
        <v>1.2460889674874217E-2</v>
      </c>
      <c r="I148" s="5">
        <f t="shared" si="12"/>
        <v>-1.7527527206189178E-2</v>
      </c>
      <c r="J148" s="5">
        <f t="shared" si="12"/>
        <v>-1.8408941485864451E-2</v>
      </c>
      <c r="K148" s="5">
        <f t="shared" si="12"/>
        <v>-2.7492018446256734E-3</v>
      </c>
      <c r="L148" s="5">
        <f t="shared" si="12"/>
        <v>0.13555868986052341</v>
      </c>
      <c r="M148" s="5">
        <f t="shared" si="12"/>
        <v>-3.4471546507656432E-3</v>
      </c>
      <c r="N148" s="5">
        <f t="shared" si="15"/>
        <v>6.5672536934839099E-2</v>
      </c>
      <c r="O148" s="5">
        <f t="shared" si="13"/>
        <v>4.1528650251759624E-3</v>
      </c>
      <c r="P148" s="79">
        <f t="shared" si="14"/>
        <v>1.1241630631577558E-3</v>
      </c>
    </row>
    <row r="149" spans="1:16">
      <c r="A149" s="73">
        <v>44868</v>
      </c>
      <c r="B149" s="45">
        <v>1832.1</v>
      </c>
      <c r="C149" s="105">
        <v>1545.5</v>
      </c>
      <c r="D149" s="5">
        <v>75.349999999999994</v>
      </c>
      <c r="E149" s="5">
        <v>555.9</v>
      </c>
      <c r="F149" s="5">
        <v>754</v>
      </c>
      <c r="G149" s="5">
        <v>18052.7</v>
      </c>
      <c r="H149" s="5">
        <f t="shared" si="12"/>
        <v>-1.5344100180044704E-2</v>
      </c>
      <c r="I149" s="5">
        <f t="shared" si="12"/>
        <v>9.9656918804116972E-3</v>
      </c>
      <c r="J149" s="5">
        <f t="shared" si="12"/>
        <v>9.3770931011384947E-3</v>
      </c>
      <c r="K149" s="5">
        <f t="shared" si="12"/>
        <v>-1.1293908403735033E-2</v>
      </c>
      <c r="L149" s="5">
        <f t="shared" si="12"/>
        <v>4.0574109853712362E-2</v>
      </c>
      <c r="M149" s="5">
        <f t="shared" si="12"/>
        <v>-1.6673256704555874E-3</v>
      </c>
      <c r="N149" s="5">
        <f t="shared" si="15"/>
        <v>1.3878479574661337E-2</v>
      </c>
      <c r="O149" s="5">
        <f t="shared" si="13"/>
        <v>-9.0661919100921227E-3</v>
      </c>
      <c r="P149" s="79">
        <f t="shared" si="14"/>
        <v>-8.0670246540046828E-3</v>
      </c>
    </row>
    <row r="150" spans="1:16">
      <c r="A150" s="73">
        <v>44869</v>
      </c>
      <c r="B150" s="45">
        <v>1811.6</v>
      </c>
      <c r="C150" s="105">
        <v>1506</v>
      </c>
      <c r="D150" s="5">
        <v>76.05</v>
      </c>
      <c r="E150" s="5">
        <v>557.5</v>
      </c>
      <c r="F150" s="5">
        <v>780.8</v>
      </c>
      <c r="G150" s="5">
        <v>18117.150000000001</v>
      </c>
      <c r="H150" s="5">
        <f t="shared" si="12"/>
        <v>-1.118934555974019E-2</v>
      </c>
      <c r="I150" s="5">
        <f t="shared" si="12"/>
        <v>-2.5558071821417016E-2</v>
      </c>
      <c r="J150" s="5">
        <f t="shared" si="12"/>
        <v>9.2899800928998386E-3</v>
      </c>
      <c r="K150" s="5">
        <f t="shared" si="12"/>
        <v>2.8782155063860819E-3</v>
      </c>
      <c r="L150" s="5">
        <f t="shared" si="12"/>
        <v>3.5543766578249279E-2</v>
      </c>
      <c r="M150" s="5">
        <f t="shared" si="12"/>
        <v>3.5701030870728878E-3</v>
      </c>
      <c r="N150" s="5">
        <f t="shared" si="15"/>
        <v>1.2403027415540984E-2</v>
      </c>
      <c r="O150" s="5">
        <f t="shared" si="13"/>
        <v>-4.1088796297861253E-3</v>
      </c>
      <c r="P150" s="79">
        <f t="shared" si="14"/>
        <v>-6.2819024950327082E-3</v>
      </c>
    </row>
    <row r="151" spans="1:16">
      <c r="A151" s="73">
        <v>44872</v>
      </c>
      <c r="B151" s="45">
        <v>1808</v>
      </c>
      <c r="C151" s="105">
        <v>1507.9</v>
      </c>
      <c r="D151" s="5">
        <v>75.849999999999994</v>
      </c>
      <c r="E151" s="5">
        <v>553.6</v>
      </c>
      <c r="F151" s="5">
        <v>810.15</v>
      </c>
      <c r="G151" s="5">
        <v>18202.8</v>
      </c>
      <c r="H151" s="5">
        <f t="shared" si="12"/>
        <v>-1.9871936409802987E-3</v>
      </c>
      <c r="I151" s="5">
        <f t="shared" si="12"/>
        <v>1.2616201859230352E-3</v>
      </c>
      <c r="J151" s="5">
        <f t="shared" si="12"/>
        <v>-2.629848783694975E-3</v>
      </c>
      <c r="K151" s="5">
        <f t="shared" si="12"/>
        <v>-6.9955156950672242E-3</v>
      </c>
      <c r="L151" s="5">
        <f t="shared" si="12"/>
        <v>3.7589651639344294E-2</v>
      </c>
      <c r="M151" s="5">
        <f t="shared" si="12"/>
        <v>4.7275647659812837E-3</v>
      </c>
      <c r="N151" s="5">
        <f t="shared" si="15"/>
        <v>1.6184306284517821E-2</v>
      </c>
      <c r="O151" s="5">
        <f t="shared" si="13"/>
        <v>-3.2460779270747611E-3</v>
      </c>
      <c r="P151" s="79">
        <f t="shared" si="14"/>
        <v>-3.1918979074301388E-3</v>
      </c>
    </row>
    <row r="152" spans="1:16">
      <c r="A152" s="73">
        <v>44874</v>
      </c>
      <c r="B152" s="45">
        <v>1811.6</v>
      </c>
      <c r="C152" s="105">
        <v>1501.75</v>
      </c>
      <c r="D152" s="5">
        <v>74.8</v>
      </c>
      <c r="E152" s="5">
        <v>554.15</v>
      </c>
      <c r="F152" s="5">
        <v>808.9</v>
      </c>
      <c r="G152" s="5">
        <v>18157</v>
      </c>
      <c r="H152" s="5">
        <f t="shared" si="12"/>
        <v>1.9911504424778258E-3</v>
      </c>
      <c r="I152" s="5">
        <f t="shared" si="12"/>
        <v>-4.0785197957424833E-3</v>
      </c>
      <c r="J152" s="5">
        <f t="shared" si="12"/>
        <v>-1.3843111404086977E-2</v>
      </c>
      <c r="K152" s="5">
        <f t="shared" si="12"/>
        <v>9.9349710982650735E-4</v>
      </c>
      <c r="L152" s="5">
        <f t="shared" si="12"/>
        <v>-1.5429241498487935E-3</v>
      </c>
      <c r="M152" s="5">
        <f t="shared" si="12"/>
        <v>-2.5160964247258263E-3</v>
      </c>
      <c r="N152" s="5">
        <f t="shared" si="15"/>
        <v>-6.2814516681329569E-4</v>
      </c>
      <c r="O152" s="5">
        <f t="shared" si="13"/>
        <v>4.2063201759390967E-4</v>
      </c>
      <c r="P152" s="79">
        <f t="shared" si="14"/>
        <v>-2.7405685639598685E-4</v>
      </c>
    </row>
    <row r="153" spans="1:16">
      <c r="A153" s="73">
        <v>44875</v>
      </c>
      <c r="B153" s="45">
        <v>1780.7</v>
      </c>
      <c r="C153" s="105">
        <v>1470.9</v>
      </c>
      <c r="D153" s="5">
        <v>75.55</v>
      </c>
      <c r="E153" s="5">
        <v>553.9</v>
      </c>
      <c r="F153" s="5">
        <v>773</v>
      </c>
      <c r="G153" s="5">
        <v>18028.2</v>
      </c>
      <c r="H153" s="5">
        <f t="shared" si="12"/>
        <v>-1.7056745418414586E-2</v>
      </c>
      <c r="I153" s="5">
        <f t="shared" si="12"/>
        <v>-2.0542700183119635E-2</v>
      </c>
      <c r="J153" s="5">
        <f t="shared" si="12"/>
        <v>1.0026737967914439E-2</v>
      </c>
      <c r="K153" s="5">
        <f t="shared" si="12"/>
        <v>-4.5114138771090863E-4</v>
      </c>
      <c r="L153" s="5">
        <f t="shared" si="12"/>
        <v>-4.4381258499196413E-2</v>
      </c>
      <c r="M153" s="5">
        <f t="shared" si="12"/>
        <v>-7.0936828771272385E-3</v>
      </c>
      <c r="N153" s="5">
        <f t="shared" si="15"/>
        <v>-2.716618389982161E-2</v>
      </c>
      <c r="O153" s="5">
        <f t="shared" si="13"/>
        <v>-9.1907913407552611E-3</v>
      </c>
      <c r="P153" s="79">
        <f t="shared" si="14"/>
        <v>-9.6975305125458402E-3</v>
      </c>
    </row>
    <row r="154" spans="1:16">
      <c r="A154" s="73">
        <v>44876</v>
      </c>
      <c r="B154" s="45">
        <v>1749.85</v>
      </c>
      <c r="C154" s="105">
        <v>1419.05</v>
      </c>
      <c r="D154" s="5">
        <v>74.5</v>
      </c>
      <c r="E154" s="5">
        <v>553.1</v>
      </c>
      <c r="F154" s="5">
        <v>791.65</v>
      </c>
      <c r="G154" s="5">
        <v>18349.7</v>
      </c>
      <c r="H154" s="5">
        <f t="shared" si="12"/>
        <v>-1.7324647610490334E-2</v>
      </c>
      <c r="I154" s="5">
        <f t="shared" si="12"/>
        <v>-3.5250526888299771E-2</v>
      </c>
      <c r="J154" s="5">
        <f t="shared" si="12"/>
        <v>-1.3898080741230936E-2</v>
      </c>
      <c r="K154" s="5">
        <f t="shared" si="12"/>
        <v>-1.4443040259973904E-3</v>
      </c>
      <c r="L154" s="5">
        <f t="shared" si="12"/>
        <v>2.4126778783958573E-2</v>
      </c>
      <c r="M154" s="5">
        <f t="shared" si="12"/>
        <v>1.7833172474234809E-2</v>
      </c>
      <c r="N154" s="5">
        <f t="shared" si="15"/>
        <v>3.3387859398302123E-3</v>
      </c>
      <c r="O154" s="5">
        <f t="shared" si="13"/>
        <v>-1.0286680113856226E-2</v>
      </c>
      <c r="P154" s="79">
        <f t="shared" si="14"/>
        <v>-1.3291322271171141E-2</v>
      </c>
    </row>
    <row r="155" spans="1:16">
      <c r="A155" s="73">
        <v>44879</v>
      </c>
      <c r="B155" s="45">
        <v>1739.35</v>
      </c>
      <c r="C155" s="105">
        <v>1427.05</v>
      </c>
      <c r="D155" s="5">
        <v>71.400000000000006</v>
      </c>
      <c r="E155" s="5">
        <v>553.20000000000005</v>
      </c>
      <c r="F155" s="5">
        <v>800.15</v>
      </c>
      <c r="G155" s="5">
        <v>18329.150000000001</v>
      </c>
      <c r="H155" s="5">
        <f t="shared" si="12"/>
        <v>-6.0005143297996973E-3</v>
      </c>
      <c r="I155" s="5">
        <f t="shared" si="12"/>
        <v>5.6375744335999435E-3</v>
      </c>
      <c r="J155" s="5">
        <f t="shared" si="12"/>
        <v>-4.1610738255033482E-2</v>
      </c>
      <c r="K155" s="5">
        <f t="shared" si="12"/>
        <v>1.807991321642067E-4</v>
      </c>
      <c r="L155" s="5">
        <f t="shared" si="12"/>
        <v>1.0737068148803134E-2</v>
      </c>
      <c r="M155" s="5">
        <f t="shared" si="12"/>
        <v>-1.1199093173184995E-3</v>
      </c>
      <c r="N155" s="5">
        <f t="shared" si="15"/>
        <v>2.5366243872437452E-3</v>
      </c>
      <c r="O155" s="5">
        <f t="shared" si="13"/>
        <v>-2.5110214387991845E-3</v>
      </c>
      <c r="P155" s="79">
        <f t="shared" si="14"/>
        <v>-3.8104334315759584E-3</v>
      </c>
    </row>
    <row r="156" spans="1:16">
      <c r="A156" s="73">
        <v>44880</v>
      </c>
      <c r="B156" s="45">
        <v>1704.55</v>
      </c>
      <c r="C156" s="105">
        <v>1416.15</v>
      </c>
      <c r="D156" s="5">
        <v>70.349999999999994</v>
      </c>
      <c r="E156" s="5">
        <v>550.75</v>
      </c>
      <c r="F156" s="5">
        <v>839.1</v>
      </c>
      <c r="G156" s="5">
        <v>18403.400000000001</v>
      </c>
      <c r="H156" s="5">
        <f t="shared" si="12"/>
        <v>-2.0007474056400354E-2</v>
      </c>
      <c r="I156" s="5">
        <f t="shared" si="12"/>
        <v>-7.6381346133631367E-3</v>
      </c>
      <c r="J156" s="5">
        <f t="shared" si="12"/>
        <v>-1.4705882352941334E-2</v>
      </c>
      <c r="K156" s="5">
        <f t="shared" si="12"/>
        <v>-4.4287780187997929E-3</v>
      </c>
      <c r="L156" s="5">
        <f t="shared" si="12"/>
        <v>4.8678372805099103E-2</v>
      </c>
      <c r="M156" s="5">
        <f t="shared" si="12"/>
        <v>4.0509243472828796E-3</v>
      </c>
      <c r="N156" s="5">
        <f t="shared" si="15"/>
        <v>1.5462545219306404E-2</v>
      </c>
      <c r="O156" s="5">
        <f t="shared" si="13"/>
        <v>-9.6030208099243848E-3</v>
      </c>
      <c r="P156" s="79">
        <f t="shared" si="14"/>
        <v>-1.1218468375621411E-2</v>
      </c>
    </row>
    <row r="157" spans="1:16">
      <c r="A157" s="73">
        <v>44881</v>
      </c>
      <c r="B157" s="45">
        <v>1699.35</v>
      </c>
      <c r="C157" s="105">
        <v>1394.85</v>
      </c>
      <c r="D157" s="5">
        <v>70.599999999999994</v>
      </c>
      <c r="E157" s="5">
        <v>550.04999999999995</v>
      </c>
      <c r="F157" s="5">
        <v>868.3</v>
      </c>
      <c r="G157" s="5">
        <v>18409.650000000001</v>
      </c>
      <c r="H157" s="5">
        <f t="shared" si="12"/>
        <v>-3.050658531577276E-3</v>
      </c>
      <c r="I157" s="5">
        <f t="shared" si="12"/>
        <v>-1.5040779578434615E-2</v>
      </c>
      <c r="J157" s="5">
        <f t="shared" si="12"/>
        <v>3.5536602700781809E-3</v>
      </c>
      <c r="K157" s="5">
        <f t="shared" si="12"/>
        <v>-1.2709940989560518E-3</v>
      </c>
      <c r="L157" s="5">
        <f t="shared" si="12"/>
        <v>3.4799189607913159E-2</v>
      </c>
      <c r="M157" s="5">
        <f t="shared" si="12"/>
        <v>3.3961115880761162E-4</v>
      </c>
      <c r="N157" s="5">
        <f t="shared" si="15"/>
        <v>1.4448836933882617E-2</v>
      </c>
      <c r="O157" s="5">
        <f t="shared" si="13"/>
        <v>-2.2896885727434046E-3</v>
      </c>
      <c r="P157" s="79">
        <f t="shared" si="14"/>
        <v>-3.4774898116091014E-3</v>
      </c>
    </row>
    <row r="158" spans="1:16">
      <c r="A158" s="73">
        <v>44882</v>
      </c>
      <c r="B158" s="45">
        <v>1683.25</v>
      </c>
      <c r="C158" s="105">
        <v>1396.7</v>
      </c>
      <c r="D158" s="5">
        <v>70.349999999999994</v>
      </c>
      <c r="E158" s="5">
        <v>551.9</v>
      </c>
      <c r="F158" s="5">
        <v>871.95</v>
      </c>
      <c r="G158" s="5">
        <v>18343.900000000001</v>
      </c>
      <c r="H158" s="5">
        <f t="shared" si="12"/>
        <v>-9.4742107276310997E-3</v>
      </c>
      <c r="I158" s="5">
        <f t="shared" si="12"/>
        <v>1.3263074882604842E-3</v>
      </c>
      <c r="J158" s="5">
        <f t="shared" si="12"/>
        <v>-3.5410764872521251E-3</v>
      </c>
      <c r="K158" s="5">
        <f t="shared" si="12"/>
        <v>3.3633306063085592E-3</v>
      </c>
      <c r="L158" s="5">
        <f t="shared" si="12"/>
        <v>4.2036162616608209E-3</v>
      </c>
      <c r="M158" s="5">
        <f t="shared" si="12"/>
        <v>-3.571496470601016E-3</v>
      </c>
      <c r="N158" s="5">
        <f t="shared" si="15"/>
        <v>-4.080142110663783E-4</v>
      </c>
      <c r="O158" s="5">
        <f t="shared" si="13"/>
        <v>-1.7582396506971912E-3</v>
      </c>
      <c r="P158" s="79">
        <f t="shared" si="14"/>
        <v>-2.3763802938604884E-3</v>
      </c>
    </row>
    <row r="159" spans="1:16">
      <c r="A159" s="73">
        <v>44883</v>
      </c>
      <c r="B159" s="45">
        <v>1677.6</v>
      </c>
      <c r="C159" s="105">
        <v>1383.05</v>
      </c>
      <c r="D159" s="5">
        <v>70.75</v>
      </c>
      <c r="E159" s="5">
        <v>548.5</v>
      </c>
      <c r="F159" s="5">
        <v>818.95</v>
      </c>
      <c r="G159" s="5">
        <v>18307.650000000001</v>
      </c>
      <c r="H159" s="5">
        <f t="shared" si="12"/>
        <v>-3.3566018119709439E-3</v>
      </c>
      <c r="I159" s="5">
        <f t="shared" si="12"/>
        <v>-9.773036443044383E-3</v>
      </c>
      <c r="J159" s="5">
        <f t="shared" si="12"/>
        <v>5.6858564321251703E-3</v>
      </c>
      <c r="K159" s="5">
        <f t="shared" si="12"/>
        <v>-6.1605363290450762E-3</v>
      </c>
      <c r="L159" s="5">
        <f t="shared" si="12"/>
        <v>-6.0783301794827681E-2</v>
      </c>
      <c r="M159" s="5">
        <f t="shared" si="12"/>
        <v>-1.9761337556353882E-3</v>
      </c>
      <c r="N159" s="5">
        <f t="shared" si="15"/>
        <v>-3.0996797379317063E-2</v>
      </c>
      <c r="O159" s="5">
        <f t="shared" si="13"/>
        <v>-6.3546291953678518E-3</v>
      </c>
      <c r="P159" s="79">
        <f t="shared" si="14"/>
        <v>-5.3225876175373547E-3</v>
      </c>
    </row>
    <row r="160" spans="1:16">
      <c r="A160" s="73">
        <v>44886</v>
      </c>
      <c r="B160" s="45">
        <v>1675.35</v>
      </c>
      <c r="C160" s="105">
        <v>1378.65</v>
      </c>
      <c r="D160" s="5">
        <v>72.05</v>
      </c>
      <c r="E160" s="5">
        <v>550.79999999999995</v>
      </c>
      <c r="F160" s="5">
        <v>773.8</v>
      </c>
      <c r="G160" s="5">
        <v>18159.95</v>
      </c>
      <c r="H160" s="5">
        <f t="shared" si="12"/>
        <v>-1.3412017167381974E-3</v>
      </c>
      <c r="I160" s="5">
        <f t="shared" si="12"/>
        <v>-3.1813744983911381E-3</v>
      </c>
      <c r="J160" s="5">
        <f t="shared" si="12"/>
        <v>1.8374558303886887E-2</v>
      </c>
      <c r="K160" s="5">
        <f t="shared" si="12"/>
        <v>4.1932543299908016E-3</v>
      </c>
      <c r="L160" s="5">
        <f t="shared" si="12"/>
        <v>-5.5131570913975317E-2</v>
      </c>
      <c r="M160" s="5">
        <f t="shared" si="12"/>
        <v>-8.0676657025888481E-3</v>
      </c>
      <c r="N160" s="5">
        <f t="shared" si="15"/>
        <v>-2.5542117276221483E-2</v>
      </c>
      <c r="O160" s="5">
        <f t="shared" si="13"/>
        <v>5.1337090841132227E-4</v>
      </c>
      <c r="P160" s="79">
        <f t="shared" si="14"/>
        <v>1.2992182462861202E-3</v>
      </c>
    </row>
    <row r="161" spans="1:16">
      <c r="A161" s="73">
        <v>44887</v>
      </c>
      <c r="B161" s="45">
        <v>1680.25</v>
      </c>
      <c r="C161" s="105">
        <v>1408.15</v>
      </c>
      <c r="D161" s="5">
        <v>74.05</v>
      </c>
      <c r="E161" s="5">
        <v>546.45000000000005</v>
      </c>
      <c r="F161" s="5">
        <v>866.75</v>
      </c>
      <c r="G161" s="5">
        <v>18244.2</v>
      </c>
      <c r="H161" s="5">
        <f t="shared" si="12"/>
        <v>2.9247619900319879E-3</v>
      </c>
      <c r="I161" s="5">
        <f t="shared" si="12"/>
        <v>2.1397744170021396E-2</v>
      </c>
      <c r="J161" s="5">
        <f t="shared" si="12"/>
        <v>2.7758501040943791E-2</v>
      </c>
      <c r="K161" s="5">
        <f t="shared" si="12"/>
        <v>-7.8976034858386154E-3</v>
      </c>
      <c r="L161" s="5">
        <f t="shared" si="12"/>
        <v>0.12012147841819598</v>
      </c>
      <c r="M161" s="5">
        <f t="shared" si="12"/>
        <v>4.6393299541022965E-3</v>
      </c>
      <c r="N161" s="5">
        <f t="shared" si="15"/>
        <v>5.8571920652770268E-2</v>
      </c>
      <c r="O161" s="5">
        <f t="shared" si="13"/>
        <v>2.7118731105813271E-3</v>
      </c>
      <c r="P161" s="79">
        <f t="shared" si="14"/>
        <v>3.8351783043928372E-3</v>
      </c>
    </row>
    <row r="162" spans="1:16">
      <c r="A162" s="73">
        <v>44888</v>
      </c>
      <c r="B162" s="45">
        <v>1696.8</v>
      </c>
      <c r="C162" s="105">
        <v>1410.3</v>
      </c>
      <c r="D162" s="5">
        <v>74.95</v>
      </c>
      <c r="E162" s="5">
        <v>551.4</v>
      </c>
      <c r="F162" s="5">
        <v>880.5</v>
      </c>
      <c r="G162" s="5">
        <v>18267.25</v>
      </c>
      <c r="H162" s="5">
        <f t="shared" si="12"/>
        <v>9.8497247433417378E-3</v>
      </c>
      <c r="I162" s="5">
        <f t="shared" si="12"/>
        <v>1.5268259773460664E-3</v>
      </c>
      <c r="J162" s="5">
        <f t="shared" si="12"/>
        <v>1.215395003376105E-2</v>
      </c>
      <c r="K162" s="5">
        <f t="shared" si="12"/>
        <v>9.05846829536084E-3</v>
      </c>
      <c r="L162" s="5">
        <f t="shared" si="12"/>
        <v>1.5863859244303433E-2</v>
      </c>
      <c r="M162" s="5">
        <f t="shared" si="12"/>
        <v>1.2634152223720016E-3</v>
      </c>
      <c r="N162" s="5">
        <f t="shared" si="15"/>
        <v>1.2102987762509161E-2</v>
      </c>
      <c r="O162" s="5">
        <f t="shared" si="13"/>
        <v>8.8794784906232119E-3</v>
      </c>
      <c r="P162" s="79">
        <f t="shared" si="14"/>
        <v>8.4713535318626659E-3</v>
      </c>
    </row>
    <row r="163" spans="1:16">
      <c r="A163" s="73">
        <v>44889</v>
      </c>
      <c r="B163" s="45">
        <v>1689.45</v>
      </c>
      <c r="C163" s="105">
        <v>1429.45</v>
      </c>
      <c r="D163" s="5">
        <v>74.8</v>
      </c>
      <c r="E163" s="5">
        <v>553.6</v>
      </c>
      <c r="F163" s="5">
        <v>881.55</v>
      </c>
      <c r="G163" s="5">
        <v>18484.099999999999</v>
      </c>
      <c r="H163" s="5">
        <f t="shared" si="12"/>
        <v>-4.3316831683167783E-3</v>
      </c>
      <c r="I163" s="5">
        <f t="shared" si="12"/>
        <v>1.3578671204708284E-2</v>
      </c>
      <c r="J163" s="5">
        <f t="shared" si="12"/>
        <v>-2.0013342228152858E-3</v>
      </c>
      <c r="K163" s="5">
        <f t="shared" si="12"/>
        <v>3.9898440333696874E-3</v>
      </c>
      <c r="L163" s="5">
        <f t="shared" si="12"/>
        <v>1.1925042589437302E-3</v>
      </c>
      <c r="M163" s="5">
        <f t="shared" si="12"/>
        <v>1.1870971273727493E-2</v>
      </c>
      <c r="N163" s="5">
        <f t="shared" si="15"/>
        <v>6.3157864086292104E-4</v>
      </c>
      <c r="O163" s="5">
        <f t="shared" si="13"/>
        <v>1.5811409171468647E-3</v>
      </c>
      <c r="P163" s="79">
        <f t="shared" si="14"/>
        <v>1.7941521322540257E-3</v>
      </c>
    </row>
    <row r="164" spans="1:16">
      <c r="A164" s="73">
        <v>44890</v>
      </c>
      <c r="B164" s="45">
        <v>1710.3</v>
      </c>
      <c r="C164" s="105">
        <v>1432.4</v>
      </c>
      <c r="D164" s="5">
        <v>81.95</v>
      </c>
      <c r="E164" s="5">
        <v>556.54999999999995</v>
      </c>
      <c r="F164" s="5">
        <v>852</v>
      </c>
      <c r="G164" s="5">
        <v>18512.75</v>
      </c>
      <c r="H164" s="5">
        <f t="shared" si="12"/>
        <v>1.2341294504128509E-2</v>
      </c>
      <c r="I164" s="5">
        <f t="shared" si="12"/>
        <v>2.0637308055546158E-3</v>
      </c>
      <c r="J164" s="5">
        <f t="shared" si="12"/>
        <v>9.5588235294117724E-2</v>
      </c>
      <c r="K164" s="5">
        <f t="shared" si="12"/>
        <v>5.3287572254334028E-3</v>
      </c>
      <c r="L164" s="5">
        <f t="shared" si="12"/>
        <v>-3.352050365832903E-2</v>
      </c>
      <c r="M164" s="5">
        <f t="shared" si="12"/>
        <v>1.5499807943043728E-3</v>
      </c>
      <c r="N164" s="5">
        <f t="shared" si="15"/>
        <v>-8.6812042571402237E-3</v>
      </c>
      <c r="O164" s="5">
        <f t="shared" si="13"/>
        <v>9.2375410669003118E-3</v>
      </c>
      <c r="P164" s="79">
        <f t="shared" si="14"/>
        <v>1.2622748169864959E-2</v>
      </c>
    </row>
    <row r="165" spans="1:16">
      <c r="A165" s="73">
        <v>44893</v>
      </c>
      <c r="B165" s="45">
        <v>1711.45</v>
      </c>
      <c r="C165" s="105">
        <v>1439.15</v>
      </c>
      <c r="D165" s="5">
        <v>81.400000000000006</v>
      </c>
      <c r="E165" s="5">
        <v>558.6</v>
      </c>
      <c r="F165" s="5">
        <v>881.75</v>
      </c>
      <c r="G165" s="5">
        <v>18562.75</v>
      </c>
      <c r="H165" s="5">
        <f t="shared" si="12"/>
        <v>6.7239665555755769E-4</v>
      </c>
      <c r="I165" s="5">
        <f t="shared" si="12"/>
        <v>4.7123708461323651E-3</v>
      </c>
      <c r="J165" s="5">
        <f t="shared" si="12"/>
        <v>-6.7114093959731195E-3</v>
      </c>
      <c r="K165" s="5">
        <f t="shared" si="12"/>
        <v>3.6834067020035366E-3</v>
      </c>
      <c r="L165" s="5">
        <f t="shared" si="12"/>
        <v>3.4917840375586852E-2</v>
      </c>
      <c r="M165" s="5">
        <f t="shared" si="12"/>
        <v>2.7008413120687092E-3</v>
      </c>
      <c r="N165" s="5">
        <f t="shared" si="15"/>
        <v>1.7299108270214837E-2</v>
      </c>
      <c r="O165" s="5">
        <f t="shared" si="13"/>
        <v>3.0753220134561838E-3</v>
      </c>
      <c r="P165" s="79">
        <f t="shared" si="14"/>
        <v>2.2826790167711809E-3</v>
      </c>
    </row>
    <row r="166" spans="1:16">
      <c r="A166" s="73">
        <v>44894</v>
      </c>
      <c r="B166" s="45">
        <v>1702.05</v>
      </c>
      <c r="C166" s="105">
        <v>1456.95</v>
      </c>
      <c r="D166" s="5">
        <v>81.05</v>
      </c>
      <c r="E166" s="5">
        <v>593.1</v>
      </c>
      <c r="F166" s="5">
        <v>877.8</v>
      </c>
      <c r="G166" s="5">
        <v>18618.05</v>
      </c>
      <c r="H166" s="5">
        <f t="shared" si="12"/>
        <v>-5.4924187092816566E-3</v>
      </c>
      <c r="I166" s="5">
        <f t="shared" si="12"/>
        <v>1.2368411909807839E-2</v>
      </c>
      <c r="J166" s="5">
        <f t="shared" si="12"/>
        <v>-4.2997542997544038E-3</v>
      </c>
      <c r="K166" s="5">
        <f t="shared" si="12"/>
        <v>6.1761546723952739E-2</v>
      </c>
      <c r="L166" s="5">
        <f t="shared" si="12"/>
        <v>-4.4797278140062888E-3</v>
      </c>
      <c r="M166" s="5">
        <f t="shared" si="12"/>
        <v>2.9790844567749537E-3</v>
      </c>
      <c r="N166" s="5">
        <f t="shared" si="15"/>
        <v>5.3886479349529223E-3</v>
      </c>
      <c r="O166" s="5">
        <f t="shared" si="13"/>
        <v>2.8883947332005958E-2</v>
      </c>
      <c r="P166" s="79">
        <f t="shared" si="14"/>
        <v>2.3564065137758099E-2</v>
      </c>
    </row>
    <row r="167" spans="1:16">
      <c r="A167" s="73">
        <v>44895</v>
      </c>
      <c r="B167" s="45">
        <v>1717.85</v>
      </c>
      <c r="C167" s="105">
        <v>1471.65</v>
      </c>
      <c r="D167" s="5">
        <v>83.7</v>
      </c>
      <c r="E167" s="5">
        <v>588.35</v>
      </c>
      <c r="F167" s="5">
        <v>908.75</v>
      </c>
      <c r="G167" s="5">
        <v>18758.349999999999</v>
      </c>
      <c r="H167" s="5">
        <f t="shared" si="12"/>
        <v>9.2829235333861844E-3</v>
      </c>
      <c r="I167" s="5">
        <f t="shared" si="12"/>
        <v>1.0089570678472182E-2</v>
      </c>
      <c r="J167" s="5">
        <f t="shared" si="12"/>
        <v>3.2695866748920492E-2</v>
      </c>
      <c r="K167" s="5">
        <f t="shared" si="12"/>
        <v>-8.0087674928342612E-3</v>
      </c>
      <c r="L167" s="5">
        <f t="shared" si="12"/>
        <v>3.5258601048074788E-2</v>
      </c>
      <c r="M167" s="5">
        <f t="shared" si="12"/>
        <v>7.5356978845797108E-3</v>
      </c>
      <c r="N167" s="5">
        <f t="shared" si="15"/>
        <v>1.9843039302747788E-2</v>
      </c>
      <c r="O167" s="5">
        <f t="shared" si="13"/>
        <v>2.1913139183076386E-3</v>
      </c>
      <c r="P167" s="79">
        <f t="shared" si="14"/>
        <v>4.2262116218105723E-3</v>
      </c>
    </row>
    <row r="168" spans="1:16">
      <c r="A168" s="73">
        <v>44896</v>
      </c>
      <c r="B168" s="45">
        <v>1719.35</v>
      </c>
      <c r="C168" s="105">
        <v>1464.1</v>
      </c>
      <c r="D168" s="5">
        <v>84.65</v>
      </c>
      <c r="E168" s="5">
        <v>586.79999999999995</v>
      </c>
      <c r="F168" s="5">
        <v>911.9</v>
      </c>
      <c r="G168" s="5">
        <v>18812.5</v>
      </c>
      <c r="H168" s="5">
        <f t="shared" si="12"/>
        <v>8.7318450388567108E-4</v>
      </c>
      <c r="I168" s="5">
        <f t="shared" si="12"/>
        <v>-5.1302959263413049E-3</v>
      </c>
      <c r="J168" s="5">
        <f t="shared" si="12"/>
        <v>1.1350059737156545E-2</v>
      </c>
      <c r="K168" s="5">
        <f t="shared" si="12"/>
        <v>-2.6344862751764564E-3</v>
      </c>
      <c r="L168" s="5">
        <f t="shared" si="12"/>
        <v>3.466299862448393E-3</v>
      </c>
      <c r="M168" s="5">
        <f t="shared" si="12"/>
        <v>2.8867144498317529E-3</v>
      </c>
      <c r="N168" s="5">
        <f t="shared" si="15"/>
        <v>1.5091566807640744E-3</v>
      </c>
      <c r="O168" s="5">
        <f t="shared" si="13"/>
        <v>-1.0483254202036196E-3</v>
      </c>
      <c r="P168" s="79">
        <f t="shared" si="14"/>
        <v>-7.6175021518518895E-4</v>
      </c>
    </row>
    <row r="169" spans="1:16">
      <c r="A169" s="73">
        <v>44897</v>
      </c>
      <c r="B169" s="45">
        <v>1735.25</v>
      </c>
      <c r="C169" s="105">
        <v>1468.7</v>
      </c>
      <c r="D169" s="5">
        <v>90.55</v>
      </c>
      <c r="E169" s="5">
        <v>591.15</v>
      </c>
      <c r="F169" s="5">
        <v>914</v>
      </c>
      <c r="G169" s="5">
        <v>18696.099999999999</v>
      </c>
      <c r="H169" s="5">
        <f t="shared" si="12"/>
        <v>9.2476808096083364E-3</v>
      </c>
      <c r="I169" s="5">
        <f t="shared" si="12"/>
        <v>3.1418618946794184E-3</v>
      </c>
      <c r="J169" s="5">
        <f t="shared" si="12"/>
        <v>6.9698759598346025E-2</v>
      </c>
      <c r="K169" s="5">
        <f t="shared" ref="K169:M232" si="16">(E169 - E168) / E168</f>
        <v>7.4130879345603662E-3</v>
      </c>
      <c r="L169" s="5">
        <f t="shared" si="16"/>
        <v>2.3028840881675872E-3</v>
      </c>
      <c r="M169" s="5">
        <f t="shared" si="16"/>
        <v>-6.1873754152824692E-3</v>
      </c>
      <c r="N169" s="5">
        <f t="shared" si="15"/>
        <v>6.9476047089736554E-3</v>
      </c>
      <c r="O169" s="5">
        <f t="shared" si="13"/>
        <v>9.2909879237493363E-3</v>
      </c>
      <c r="P169" s="79">
        <f t="shared" si="14"/>
        <v>1.113144765097863E-2</v>
      </c>
    </row>
    <row r="170" spans="1:16">
      <c r="A170" s="73">
        <v>44900</v>
      </c>
      <c r="B170" s="45">
        <v>1735.05</v>
      </c>
      <c r="C170" s="105">
        <v>1475.55</v>
      </c>
      <c r="D170" s="5">
        <v>87.65</v>
      </c>
      <c r="E170" s="5">
        <v>587.1</v>
      </c>
      <c r="F170" s="5">
        <v>911.85</v>
      </c>
      <c r="G170" s="5">
        <v>18701.05</v>
      </c>
      <c r="H170" s="5">
        <f t="shared" ref="H170:M233" si="17">(B170 - B169) / B169</f>
        <v>-1.1525716755513354E-4</v>
      </c>
      <c r="I170" s="5">
        <f t="shared" si="17"/>
        <v>4.6639885613126639E-3</v>
      </c>
      <c r="J170" s="5">
        <f t="shared" si="17"/>
        <v>-3.202650469353939E-2</v>
      </c>
      <c r="K170" s="5">
        <f t="shared" si="16"/>
        <v>-6.851053032225247E-3</v>
      </c>
      <c r="L170" s="5">
        <f t="shared" si="16"/>
        <v>-2.3522975929977869E-3</v>
      </c>
      <c r="M170" s="5">
        <f t="shared" si="16"/>
        <v>2.6476109990857601E-4</v>
      </c>
      <c r="N170" s="5">
        <f t="shared" si="15"/>
        <v>-2.6410984139300158E-3</v>
      </c>
      <c r="O170" s="5">
        <f t="shared" si="13"/>
        <v>-3.8622308085297669E-3</v>
      </c>
      <c r="P170" s="79">
        <f t="shared" si="14"/>
        <v>-3.9329218784436388E-3</v>
      </c>
    </row>
    <row r="171" spans="1:16">
      <c r="A171" s="73">
        <v>44901</v>
      </c>
      <c r="B171" s="45">
        <v>1714.35</v>
      </c>
      <c r="C171" s="105">
        <v>1475.75</v>
      </c>
      <c r="D171" s="5">
        <v>88</v>
      </c>
      <c r="E171" s="5">
        <v>592.6</v>
      </c>
      <c r="F171" s="5">
        <v>889.45</v>
      </c>
      <c r="G171" s="5">
        <v>18642.75</v>
      </c>
      <c r="H171" s="5">
        <f t="shared" si="17"/>
        <v>-1.1930491916659489E-2</v>
      </c>
      <c r="I171" s="5">
        <f t="shared" si="17"/>
        <v>1.3554267900108127E-4</v>
      </c>
      <c r="J171" s="5">
        <f t="shared" si="17"/>
        <v>3.9931545921277154E-3</v>
      </c>
      <c r="K171" s="5">
        <f t="shared" si="16"/>
        <v>9.3680803951626639E-3</v>
      </c>
      <c r="L171" s="5">
        <f t="shared" si="16"/>
        <v>-2.4565443877830759E-2</v>
      </c>
      <c r="M171" s="5">
        <f t="shared" si="16"/>
        <v>-3.1174720136034756E-3</v>
      </c>
      <c r="N171" s="5">
        <f t="shared" si="15"/>
        <v>-1.3765037502637916E-2</v>
      </c>
      <c r="O171" s="5">
        <f t="shared" si="13"/>
        <v>-3.0149938156882731E-4</v>
      </c>
      <c r="P171" s="79">
        <f t="shared" si="14"/>
        <v>-9.4557511935015361E-4</v>
      </c>
    </row>
    <row r="172" spans="1:16">
      <c r="A172" s="73">
        <v>44902</v>
      </c>
      <c r="B172" s="45">
        <v>1689.45</v>
      </c>
      <c r="C172" s="105">
        <v>1463.4</v>
      </c>
      <c r="D172" s="5">
        <v>87.15</v>
      </c>
      <c r="E172" s="5">
        <v>602.25</v>
      </c>
      <c r="F172" s="5">
        <v>869.65</v>
      </c>
      <c r="G172" s="5">
        <v>18560.5</v>
      </c>
      <c r="H172" s="5">
        <f t="shared" si="17"/>
        <v>-1.4524455332924936E-2</v>
      </c>
      <c r="I172" s="5">
        <f t="shared" si="17"/>
        <v>-8.3686261223106274E-3</v>
      </c>
      <c r="J172" s="5">
        <f t="shared" si="17"/>
        <v>-9.6590909090908447E-3</v>
      </c>
      <c r="K172" s="5">
        <f t="shared" si="16"/>
        <v>1.6284171447856863E-2</v>
      </c>
      <c r="L172" s="5">
        <f t="shared" si="16"/>
        <v>-2.2260947776716025E-2</v>
      </c>
      <c r="M172" s="5">
        <f t="shared" si="16"/>
        <v>-4.4119027503989484E-3</v>
      </c>
      <c r="N172" s="5">
        <f t="shared" si="15"/>
        <v>-1.3422351606489295E-2</v>
      </c>
      <c r="O172" s="5">
        <f t="shared" si="13"/>
        <v>9.6814613361104727E-4</v>
      </c>
      <c r="P172" s="79">
        <f t="shared" si="14"/>
        <v>-1.3259984191967046E-3</v>
      </c>
    </row>
    <row r="173" spans="1:16">
      <c r="A173" s="73">
        <v>44903</v>
      </c>
      <c r="B173" s="45">
        <v>1675.65</v>
      </c>
      <c r="C173" s="105">
        <v>1458.1</v>
      </c>
      <c r="D173" s="5">
        <v>87.45</v>
      </c>
      <c r="E173" s="5">
        <v>604.4</v>
      </c>
      <c r="F173" s="5">
        <v>906.3</v>
      </c>
      <c r="G173" s="5">
        <v>18609.349999999999</v>
      </c>
      <c r="H173" s="5">
        <f t="shared" si="17"/>
        <v>-8.1683388084879422E-3</v>
      </c>
      <c r="I173" s="5">
        <f t="shared" si="17"/>
        <v>-3.6217028836956276E-3</v>
      </c>
      <c r="J173" s="5">
        <f t="shared" si="17"/>
        <v>3.4423407917383493E-3</v>
      </c>
      <c r="K173" s="5">
        <f t="shared" si="16"/>
        <v>3.5699460356994226E-3</v>
      </c>
      <c r="L173" s="5">
        <f t="shared" si="16"/>
        <v>4.2143391019375587E-2</v>
      </c>
      <c r="M173" s="5">
        <f t="shared" si="16"/>
        <v>2.6319334069663286E-3</v>
      </c>
      <c r="N173" s="5">
        <f t="shared" si="15"/>
        <v>1.7774116008982883E-2</v>
      </c>
      <c r="O173" s="5">
        <f t="shared" si="13"/>
        <v>-6.0092656369497871E-4</v>
      </c>
      <c r="P173" s="79">
        <f t="shared" si="14"/>
        <v>-1.8245840759171705E-3</v>
      </c>
    </row>
    <row r="174" spans="1:16">
      <c r="A174" s="73">
        <v>44904</v>
      </c>
      <c r="B174" s="45">
        <v>1679.05</v>
      </c>
      <c r="C174" s="105">
        <v>1458</v>
      </c>
      <c r="D174" s="5">
        <v>85.5</v>
      </c>
      <c r="E174" s="5">
        <v>598.75</v>
      </c>
      <c r="F174" s="5">
        <v>882.55</v>
      </c>
      <c r="G174" s="5">
        <v>18496.599999999999</v>
      </c>
      <c r="H174" s="5">
        <f t="shared" si="17"/>
        <v>2.0290633485512267E-3</v>
      </c>
      <c r="I174" s="5">
        <f t="shared" si="17"/>
        <v>-6.8582401755647117E-5</v>
      </c>
      <c r="J174" s="5">
        <f t="shared" si="17"/>
        <v>-2.2298456260720443E-2</v>
      </c>
      <c r="K174" s="5">
        <f t="shared" si="16"/>
        <v>-9.348113831899367E-3</v>
      </c>
      <c r="L174" s="5">
        <f t="shared" si="16"/>
        <v>-2.6205450733752623E-2</v>
      </c>
      <c r="M174" s="5">
        <f t="shared" si="16"/>
        <v>-6.0587822788007112E-3</v>
      </c>
      <c r="N174" s="5">
        <f t="shared" si="15"/>
        <v>-1.3634470941747738E-2</v>
      </c>
      <c r="O174" s="5">
        <f t="shared" si="13"/>
        <v>-4.9896602626936098E-3</v>
      </c>
      <c r="P174" s="79">
        <f t="shared" si="14"/>
        <v>-4.3878308655274333E-3</v>
      </c>
    </row>
    <row r="175" spans="1:16">
      <c r="A175" s="73">
        <v>44907</v>
      </c>
      <c r="B175" s="45">
        <v>1670.3</v>
      </c>
      <c r="C175" s="105">
        <v>1449.55</v>
      </c>
      <c r="D175" s="5">
        <v>86.75</v>
      </c>
      <c r="E175" s="5">
        <v>602.45000000000005</v>
      </c>
      <c r="F175" s="5">
        <v>883.2</v>
      </c>
      <c r="G175" s="5">
        <v>18497.150000000001</v>
      </c>
      <c r="H175" s="5">
        <f t="shared" si="17"/>
        <v>-5.2112801882016621E-3</v>
      </c>
      <c r="I175" s="5">
        <f t="shared" si="17"/>
        <v>-5.7956104252400859E-3</v>
      </c>
      <c r="J175" s="5">
        <f t="shared" si="17"/>
        <v>1.4619883040935672E-2</v>
      </c>
      <c r="K175" s="5">
        <f t="shared" si="16"/>
        <v>6.1795407098121846E-3</v>
      </c>
      <c r="L175" s="5">
        <f t="shared" si="16"/>
        <v>7.3650218117963964E-4</v>
      </c>
      <c r="M175" s="5">
        <f t="shared" si="16"/>
        <v>2.9735194576457857E-5</v>
      </c>
      <c r="N175" s="5">
        <f t="shared" si="15"/>
        <v>-3.5054332778246256E-4</v>
      </c>
      <c r="O175" s="5">
        <f t="shared" si="13"/>
        <v>9.4026030368537367E-4</v>
      </c>
      <c r="P175" s="79">
        <f t="shared" si="14"/>
        <v>3.7150374092023421E-4</v>
      </c>
    </row>
    <row r="176" spans="1:16">
      <c r="A176" s="73">
        <v>44908</v>
      </c>
      <c r="B176" s="45">
        <v>1684.75</v>
      </c>
      <c r="C176" s="105">
        <v>1443.5</v>
      </c>
      <c r="D176" s="5">
        <v>85.65</v>
      </c>
      <c r="E176" s="5">
        <v>594.20000000000005</v>
      </c>
      <c r="F176" s="5">
        <v>887.35</v>
      </c>
      <c r="G176" s="5">
        <v>18608</v>
      </c>
      <c r="H176" s="5">
        <f t="shared" si="17"/>
        <v>8.6511405136802041E-3</v>
      </c>
      <c r="I176" s="5">
        <f t="shared" si="17"/>
        <v>-4.1737090821289055E-3</v>
      </c>
      <c r="J176" s="5">
        <f t="shared" si="17"/>
        <v>-1.2680115273775151E-2</v>
      </c>
      <c r="K176" s="5">
        <f t="shared" si="16"/>
        <v>-1.3694082496472736E-2</v>
      </c>
      <c r="L176" s="5">
        <f t="shared" si="16"/>
        <v>4.69882246376809E-3</v>
      </c>
      <c r="M176" s="5">
        <f t="shared" si="16"/>
        <v>5.9928151093546055E-3</v>
      </c>
      <c r="N176" s="5">
        <f t="shared" si="15"/>
        <v>2.3251516507757711E-3</v>
      </c>
      <c r="O176" s="5">
        <f t="shared" si="13"/>
        <v>-4.0763313666058653E-3</v>
      </c>
      <c r="P176" s="79">
        <f t="shared" si="14"/>
        <v>-3.3035243733262219E-3</v>
      </c>
    </row>
    <row r="177" spans="1:16">
      <c r="A177" s="73">
        <v>44909</v>
      </c>
      <c r="B177" s="45">
        <v>1686</v>
      </c>
      <c r="C177" s="105">
        <v>1451.35</v>
      </c>
      <c r="D177" s="5">
        <v>85.6</v>
      </c>
      <c r="E177" s="5">
        <v>587.1</v>
      </c>
      <c r="F177" s="5">
        <v>879.25</v>
      </c>
      <c r="G177" s="5">
        <v>18660.3</v>
      </c>
      <c r="H177" s="5">
        <f t="shared" si="17"/>
        <v>7.4194984419053268E-4</v>
      </c>
      <c r="I177" s="5">
        <f t="shared" si="17"/>
        <v>5.4381711118807819E-3</v>
      </c>
      <c r="J177" s="5">
        <f t="shared" si="17"/>
        <v>-5.837711617047445E-4</v>
      </c>
      <c r="K177" s="5">
        <f t="shared" si="16"/>
        <v>-1.1948838774823329E-2</v>
      </c>
      <c r="L177" s="5">
        <f t="shared" si="16"/>
        <v>-9.1283033752183728E-3</v>
      </c>
      <c r="M177" s="5">
        <f t="shared" si="16"/>
        <v>2.8106190885640193E-3</v>
      </c>
      <c r="N177" s="5">
        <f t="shared" si="15"/>
        <v>-5.3858651993748292E-3</v>
      </c>
      <c r="O177" s="5">
        <f t="shared" si="13"/>
        <v>-5.2314323961971353E-3</v>
      </c>
      <c r="P177" s="79">
        <f t="shared" si="14"/>
        <v>-3.6674349761327803E-3</v>
      </c>
    </row>
    <row r="178" spans="1:16">
      <c r="A178" s="73">
        <v>44910</v>
      </c>
      <c r="B178" s="45">
        <v>1646.45</v>
      </c>
      <c r="C178" s="105">
        <v>1436</v>
      </c>
      <c r="D178" s="5">
        <v>83.95</v>
      </c>
      <c r="E178" s="5">
        <v>586.9</v>
      </c>
      <c r="F178" s="5">
        <v>863.85</v>
      </c>
      <c r="G178" s="5">
        <v>18414.900000000001</v>
      </c>
      <c r="H178" s="5">
        <f t="shared" si="17"/>
        <v>-2.3457888493475656E-2</v>
      </c>
      <c r="I178" s="5">
        <f t="shared" si="17"/>
        <v>-1.0576359940744762E-2</v>
      </c>
      <c r="J178" s="5">
        <f t="shared" si="17"/>
        <v>-1.9275700934579341E-2</v>
      </c>
      <c r="K178" s="5">
        <f t="shared" si="16"/>
        <v>-3.4065746891508343E-4</v>
      </c>
      <c r="L178" s="5">
        <f t="shared" si="16"/>
        <v>-1.7514927495024143E-2</v>
      </c>
      <c r="M178" s="5">
        <f t="shared" si="16"/>
        <v>-1.3150913972444056E-2</v>
      </c>
      <c r="N178" s="5">
        <f t="shared" si="15"/>
        <v>-1.6543246744080701E-2</v>
      </c>
      <c r="O178" s="5">
        <f t="shared" si="13"/>
        <v>-1.0777964461816917E-2</v>
      </c>
      <c r="P178" s="79">
        <f t="shared" si="14"/>
        <v>-1.2190990742235447E-2</v>
      </c>
    </row>
    <row r="179" spans="1:16">
      <c r="A179" s="73">
        <v>44911</v>
      </c>
      <c r="B179" s="45">
        <v>1629</v>
      </c>
      <c r="C179" s="105">
        <v>1407.3</v>
      </c>
      <c r="D179" s="5">
        <v>80.8</v>
      </c>
      <c r="E179" s="5">
        <v>579.75</v>
      </c>
      <c r="F179" s="5">
        <v>832.4</v>
      </c>
      <c r="G179" s="5">
        <v>18269</v>
      </c>
      <c r="H179" s="5">
        <f t="shared" si="17"/>
        <v>-1.0598560539342248E-2</v>
      </c>
      <c r="I179" s="5">
        <f t="shared" si="17"/>
        <v>-1.9986072423398362E-2</v>
      </c>
      <c r="J179" s="5">
        <f t="shared" si="17"/>
        <v>-3.75223347230495E-2</v>
      </c>
      <c r="K179" s="5">
        <f t="shared" si="16"/>
        <v>-1.2182654626000985E-2</v>
      </c>
      <c r="L179" s="5">
        <f t="shared" si="16"/>
        <v>-3.6406783585113206E-2</v>
      </c>
      <c r="M179" s="5">
        <f t="shared" si="16"/>
        <v>-7.9229319735649641E-3</v>
      </c>
      <c r="N179" s="5">
        <f t="shared" si="15"/>
        <v>-2.4314713269392045E-2</v>
      </c>
      <c r="O179" s="5">
        <f t="shared" si="13"/>
        <v>-1.3568552265861813E-2</v>
      </c>
      <c r="P179" s="79">
        <f t="shared" si="14"/>
        <v>-1.4417569775100532E-2</v>
      </c>
    </row>
    <row r="180" spans="1:16">
      <c r="A180" s="73">
        <v>44914</v>
      </c>
      <c r="B180" s="45">
        <v>1656.65</v>
      </c>
      <c r="C180" s="105">
        <v>1418.05</v>
      </c>
      <c r="D180" s="5">
        <v>83.8</v>
      </c>
      <c r="E180" s="5">
        <v>589.04999999999995</v>
      </c>
      <c r="F180" s="5">
        <v>841.6</v>
      </c>
      <c r="G180" s="5">
        <v>18420.45</v>
      </c>
      <c r="H180" s="5">
        <f t="shared" si="17"/>
        <v>1.697360343769189E-2</v>
      </c>
      <c r="I180" s="5">
        <f t="shared" si="17"/>
        <v>7.6387408512754926E-3</v>
      </c>
      <c r="J180" s="5">
        <f t="shared" si="17"/>
        <v>3.7128712871287127E-2</v>
      </c>
      <c r="K180" s="5">
        <f t="shared" si="16"/>
        <v>1.6041397153945588E-2</v>
      </c>
      <c r="L180" s="5">
        <f t="shared" si="16"/>
        <v>1.1052378664103852E-2</v>
      </c>
      <c r="M180" s="5">
        <f t="shared" si="16"/>
        <v>8.2899994526247044E-3</v>
      </c>
      <c r="N180" s="5">
        <f t="shared" si="15"/>
        <v>1.3991662873560046E-2</v>
      </c>
      <c r="O180" s="5">
        <f t="shared" si="13"/>
        <v>1.606453081645846E-2</v>
      </c>
      <c r="P180" s="79">
        <f t="shared" si="14"/>
        <v>1.6351464867719347E-2</v>
      </c>
    </row>
    <row r="181" spans="1:16">
      <c r="A181" s="73">
        <v>44915</v>
      </c>
      <c r="B181" s="45">
        <v>1643.4</v>
      </c>
      <c r="C181" s="105">
        <v>1412.4</v>
      </c>
      <c r="D181" s="5">
        <v>84</v>
      </c>
      <c r="E181" s="5">
        <v>579.5</v>
      </c>
      <c r="F181" s="5">
        <v>878.7</v>
      </c>
      <c r="G181" s="5">
        <v>18385.3</v>
      </c>
      <c r="H181" s="5">
        <f t="shared" si="17"/>
        <v>-7.9980683910300908E-3</v>
      </c>
      <c r="I181" s="5">
        <f t="shared" si="17"/>
        <v>-3.9843446987058734E-3</v>
      </c>
      <c r="J181" s="5">
        <f t="shared" si="17"/>
        <v>2.386634844868769E-3</v>
      </c>
      <c r="K181" s="5">
        <f t="shared" si="16"/>
        <v>-1.6212545624310255E-2</v>
      </c>
      <c r="L181" s="5">
        <f t="shared" si="16"/>
        <v>4.408269961977189E-2</v>
      </c>
      <c r="M181" s="5">
        <f t="shared" si="16"/>
        <v>-1.9082052827157562E-3</v>
      </c>
      <c r="N181" s="5">
        <f t="shared" si="15"/>
        <v>1.5976110008048106E-2</v>
      </c>
      <c r="O181" s="5">
        <f t="shared" si="13"/>
        <v>-1.0158283132629457E-2</v>
      </c>
      <c r="P181" s="79">
        <f t="shared" si="14"/>
        <v>-9.5939361604774984E-3</v>
      </c>
    </row>
    <row r="182" spans="1:16">
      <c r="A182" s="73">
        <v>44916</v>
      </c>
      <c r="B182" s="45">
        <v>1641.85</v>
      </c>
      <c r="C182" s="105">
        <v>1366.4</v>
      </c>
      <c r="D182" s="5">
        <v>81.150000000000006</v>
      </c>
      <c r="E182" s="5">
        <v>577.25</v>
      </c>
      <c r="F182" s="5">
        <v>843.4</v>
      </c>
      <c r="G182" s="5">
        <v>18199.099999999999</v>
      </c>
      <c r="H182" s="5">
        <f t="shared" si="17"/>
        <v>-9.4316660581731889E-4</v>
      </c>
      <c r="I182" s="5">
        <f t="shared" si="17"/>
        <v>-3.2568677428490511E-2</v>
      </c>
      <c r="J182" s="5">
        <f t="shared" si="17"/>
        <v>-3.3928571428571364E-2</v>
      </c>
      <c r="K182" s="5">
        <f t="shared" si="16"/>
        <v>-3.8826574633304572E-3</v>
      </c>
      <c r="L182" s="5">
        <f t="shared" si="16"/>
        <v>-4.0172982815523006E-2</v>
      </c>
      <c r="M182" s="5">
        <f t="shared" si="16"/>
        <v>-1.0127656334136551E-2</v>
      </c>
      <c r="N182" s="5">
        <f t="shared" si="15"/>
        <v>-2.277126939749537E-2</v>
      </c>
      <c r="O182" s="5">
        <f t="shared" si="13"/>
        <v>-7.1318535983284853E-3</v>
      </c>
      <c r="P182" s="79">
        <f t="shared" si="14"/>
        <v>-9.0960895784722474E-3</v>
      </c>
    </row>
    <row r="183" spans="1:16">
      <c r="A183" s="73">
        <v>44917</v>
      </c>
      <c r="B183" s="45">
        <v>1646.7</v>
      </c>
      <c r="C183" s="105">
        <v>1332.45</v>
      </c>
      <c r="D183" s="5">
        <v>78.900000000000006</v>
      </c>
      <c r="E183" s="5">
        <v>577.75</v>
      </c>
      <c r="F183" s="5">
        <v>791.5</v>
      </c>
      <c r="G183" s="5">
        <v>18127.349999999999</v>
      </c>
      <c r="H183" s="5">
        <f t="shared" si="17"/>
        <v>2.9539848341810378E-3</v>
      </c>
      <c r="I183" s="5">
        <f t="shared" si="17"/>
        <v>-2.4846311475409867E-2</v>
      </c>
      <c r="J183" s="5">
        <f t="shared" si="17"/>
        <v>-2.7726432532347502E-2</v>
      </c>
      <c r="K183" s="5">
        <f t="shared" si="16"/>
        <v>8.661758336942399E-4</v>
      </c>
      <c r="L183" s="5">
        <f t="shared" si="16"/>
        <v>-6.1536637419966775E-2</v>
      </c>
      <c r="M183" s="5">
        <f t="shared" si="16"/>
        <v>-3.9425026512300062E-3</v>
      </c>
      <c r="N183" s="5">
        <f t="shared" si="15"/>
        <v>-3.0362920385690891E-2</v>
      </c>
      <c r="O183" s="5">
        <f t="shared" si="13"/>
        <v>-2.9614902800529776E-3</v>
      </c>
      <c r="P183" s="79">
        <f t="shared" si="14"/>
        <v>-4.3480337778338159E-3</v>
      </c>
    </row>
    <row r="184" spans="1:16">
      <c r="A184" s="73">
        <v>44918</v>
      </c>
      <c r="B184" s="45">
        <v>1624.85</v>
      </c>
      <c r="C184" s="105">
        <v>1284.4000000000001</v>
      </c>
      <c r="D184" s="5">
        <v>73.95</v>
      </c>
      <c r="E184" s="5">
        <v>565.85</v>
      </c>
      <c r="F184" s="5">
        <v>700.35</v>
      </c>
      <c r="G184" s="5">
        <v>17806.8</v>
      </c>
      <c r="H184" s="5">
        <f t="shared" si="17"/>
        <v>-1.3268962166757841E-2</v>
      </c>
      <c r="I184" s="5">
        <f t="shared" si="17"/>
        <v>-3.6061390671319714E-2</v>
      </c>
      <c r="J184" s="5">
        <f t="shared" si="17"/>
        <v>-6.2737642585551368E-2</v>
      </c>
      <c r="K184" s="5">
        <f t="shared" si="16"/>
        <v>-2.0597144093465993E-2</v>
      </c>
      <c r="L184" s="5">
        <f t="shared" si="16"/>
        <v>-0.11516108654453566</v>
      </c>
      <c r="M184" s="5">
        <f t="shared" si="16"/>
        <v>-1.7683224519855319E-2</v>
      </c>
      <c r="N184" s="5">
        <f t="shared" si="15"/>
        <v>-6.5125047885972689E-2</v>
      </c>
      <c r="O184" s="5">
        <f t="shared" si="13"/>
        <v>-2.2607857769856056E-2</v>
      </c>
      <c r="P184" s="79">
        <f t="shared" si="14"/>
        <v>-2.3263312905645813E-2</v>
      </c>
    </row>
    <row r="185" spans="1:16">
      <c r="A185" s="73">
        <v>44921</v>
      </c>
      <c r="B185" s="45">
        <v>1622.9</v>
      </c>
      <c r="C185" s="105">
        <v>1357.5</v>
      </c>
      <c r="D185" s="5">
        <v>76.849999999999994</v>
      </c>
      <c r="E185" s="5">
        <v>566.1</v>
      </c>
      <c r="F185" s="5">
        <v>804.15</v>
      </c>
      <c r="G185" s="5">
        <v>18014.599999999999</v>
      </c>
      <c r="H185" s="5">
        <f t="shared" si="17"/>
        <v>-1.2001107794564533E-3</v>
      </c>
      <c r="I185" s="5">
        <f t="shared" si="17"/>
        <v>5.6913734039240035E-2</v>
      </c>
      <c r="J185" s="5">
        <f t="shared" si="17"/>
        <v>3.9215686274509685E-2</v>
      </c>
      <c r="K185" s="5">
        <f t="shared" si="16"/>
        <v>4.418132013784572E-4</v>
      </c>
      <c r="L185" s="5">
        <f t="shared" si="16"/>
        <v>0.14821160848147347</v>
      </c>
      <c r="M185" s="5">
        <f t="shared" si="16"/>
        <v>1.1669699216029792E-2</v>
      </c>
      <c r="N185" s="5">
        <f t="shared" si="15"/>
        <v>7.432267265631215E-2</v>
      </c>
      <c r="O185" s="5">
        <f t="shared" si="13"/>
        <v>9.5175053817819627E-3</v>
      </c>
      <c r="P185" s="79">
        <f t="shared" si="14"/>
        <v>1.1709906172636921E-2</v>
      </c>
    </row>
    <row r="186" spans="1:16">
      <c r="A186" s="73">
        <v>44922</v>
      </c>
      <c r="B186" s="45">
        <v>1637.4</v>
      </c>
      <c r="C186" s="105">
        <v>1346.85</v>
      </c>
      <c r="D186" s="5">
        <v>77.7</v>
      </c>
      <c r="E186" s="5">
        <v>573.5</v>
      </c>
      <c r="F186" s="5">
        <v>821.75</v>
      </c>
      <c r="G186" s="5">
        <v>18132.3</v>
      </c>
      <c r="H186" s="5">
        <f t="shared" si="17"/>
        <v>8.9346232053730962E-3</v>
      </c>
      <c r="I186" s="5">
        <f t="shared" si="17"/>
        <v>-7.8453038674033814E-3</v>
      </c>
      <c r="J186" s="5">
        <f t="shared" si="17"/>
        <v>1.1060507482108115E-2</v>
      </c>
      <c r="K186" s="5">
        <f t="shared" si="16"/>
        <v>1.307189542483656E-2</v>
      </c>
      <c r="L186" s="5">
        <f t="shared" si="16"/>
        <v>2.1886463968165171E-2</v>
      </c>
      <c r="M186" s="5">
        <f t="shared" si="16"/>
        <v>6.5335894219133777E-3</v>
      </c>
      <c r="N186" s="5">
        <f t="shared" si="15"/>
        <v>1.4585693919392552E-2</v>
      </c>
      <c r="O186" s="5">
        <f t="shared" si="13"/>
        <v>9.7096280431182742E-3</v>
      </c>
      <c r="P186" s="79">
        <f t="shared" si="14"/>
        <v>8.2542598520402039E-3</v>
      </c>
    </row>
    <row r="187" spans="1:16">
      <c r="A187" s="73">
        <v>44923</v>
      </c>
      <c r="B187" s="45">
        <v>1635.95</v>
      </c>
      <c r="C187" s="105">
        <v>1346.4</v>
      </c>
      <c r="D187" s="5">
        <v>77.2</v>
      </c>
      <c r="E187" s="5">
        <v>569.15</v>
      </c>
      <c r="F187" s="5">
        <v>799.65</v>
      </c>
      <c r="G187" s="5">
        <v>18122.5</v>
      </c>
      <c r="H187" s="5">
        <f t="shared" si="17"/>
        <v>-8.8555026261148489E-4</v>
      </c>
      <c r="I187" s="5">
        <f t="shared" si="17"/>
        <v>-3.3411293017026255E-4</v>
      </c>
      <c r="J187" s="5">
        <f t="shared" si="17"/>
        <v>-6.4350064350064346E-3</v>
      </c>
      <c r="K187" s="5">
        <f t="shared" si="16"/>
        <v>-7.5850043591979477E-3</v>
      </c>
      <c r="L187" s="5">
        <f t="shared" si="16"/>
        <v>-2.6893824155765161E-2</v>
      </c>
      <c r="M187" s="5">
        <f t="shared" si="16"/>
        <v>-5.4047197542503008E-4</v>
      </c>
      <c r="N187" s="5">
        <f t="shared" si="15"/>
        <v>-1.4183685400583623E-2</v>
      </c>
      <c r="O187" s="5">
        <f t="shared" si="13"/>
        <v>-4.8181421507972029E-3</v>
      </c>
      <c r="P187" s="79">
        <f t="shared" si="14"/>
        <v>-3.9487889008936331E-3</v>
      </c>
    </row>
    <row r="188" spans="1:16">
      <c r="A188" s="73">
        <v>44924</v>
      </c>
      <c r="B188" s="45">
        <v>1628.75</v>
      </c>
      <c r="C188" s="105">
        <v>1348.6</v>
      </c>
      <c r="D188" s="5">
        <v>78.849999999999994</v>
      </c>
      <c r="E188" s="5">
        <v>560.95000000000005</v>
      </c>
      <c r="F188" s="5">
        <v>789.2</v>
      </c>
      <c r="G188" s="5">
        <v>18191</v>
      </c>
      <c r="H188" s="5">
        <f t="shared" si="17"/>
        <v>-4.4011125034383964E-3</v>
      </c>
      <c r="I188" s="5">
        <f t="shared" si="17"/>
        <v>1.6339869281044399E-3</v>
      </c>
      <c r="J188" s="5">
        <f t="shared" si="17"/>
        <v>2.1373056994818541E-2</v>
      </c>
      <c r="K188" s="5">
        <f t="shared" si="16"/>
        <v>-1.4407449705701365E-2</v>
      </c>
      <c r="L188" s="5">
        <f t="shared" si="16"/>
        <v>-1.3068217345088392E-2</v>
      </c>
      <c r="M188" s="5">
        <f t="shared" si="16"/>
        <v>3.7798317009242652E-3</v>
      </c>
      <c r="N188" s="5">
        <f t="shared" si="15"/>
        <v>-8.780705778752675E-3</v>
      </c>
      <c r="O188" s="5">
        <f t="shared" si="13"/>
        <v>-8.1729130915115522E-3</v>
      </c>
      <c r="P188" s="79">
        <f t="shared" si="14"/>
        <v>-5.9491775767779092E-3</v>
      </c>
    </row>
    <row r="189" spans="1:16">
      <c r="A189" s="73">
        <v>44925</v>
      </c>
      <c r="B189" s="45">
        <v>1649.15</v>
      </c>
      <c r="C189" s="105">
        <v>1351.35</v>
      </c>
      <c r="D189" s="5">
        <v>79.2</v>
      </c>
      <c r="E189" s="5">
        <v>561.45000000000005</v>
      </c>
      <c r="F189" s="5">
        <v>793.15</v>
      </c>
      <c r="G189" s="5">
        <v>18105.3</v>
      </c>
      <c r="H189" s="5">
        <f t="shared" si="17"/>
        <v>1.2524942440521929E-2</v>
      </c>
      <c r="I189" s="5">
        <f t="shared" si="17"/>
        <v>2.0391517128874391E-3</v>
      </c>
      <c r="J189" s="5">
        <f t="shared" si="17"/>
        <v>4.4388078630311798E-3</v>
      </c>
      <c r="K189" s="5">
        <f t="shared" si="16"/>
        <v>8.9134503966485418E-4</v>
      </c>
      <c r="L189" s="5">
        <f t="shared" si="16"/>
        <v>5.0050684237201359E-3</v>
      </c>
      <c r="M189" s="5">
        <f t="shared" si="16"/>
        <v>-4.7111208839536439E-3</v>
      </c>
      <c r="N189" s="5">
        <f t="shared" si="15"/>
        <v>6.4906934426258974E-3</v>
      </c>
      <c r="O189" s="5">
        <f t="shared" si="13"/>
        <v>5.5010880121253748E-3</v>
      </c>
      <c r="P189" s="79">
        <f t="shared" si="14"/>
        <v>5.865018568738751E-3</v>
      </c>
    </row>
    <row r="190" spans="1:16">
      <c r="A190" s="73">
        <v>44928</v>
      </c>
      <c r="B190" s="45">
        <v>1653.55</v>
      </c>
      <c r="C190" s="105">
        <v>1342.15</v>
      </c>
      <c r="D190" s="5">
        <v>80.150000000000006</v>
      </c>
      <c r="E190" s="5">
        <v>561.54999999999995</v>
      </c>
      <c r="F190" s="5">
        <v>788.15</v>
      </c>
      <c r="G190" s="5">
        <v>18197.45</v>
      </c>
      <c r="H190" s="5">
        <f t="shared" si="17"/>
        <v>2.6680411120879625E-3</v>
      </c>
      <c r="I190" s="5">
        <f t="shared" si="17"/>
        <v>-6.8080068080066738E-3</v>
      </c>
      <c r="J190" s="5">
        <f t="shared" si="17"/>
        <v>1.1994949494949531E-2</v>
      </c>
      <c r="K190" s="5">
        <f t="shared" si="16"/>
        <v>1.7811025024473958E-4</v>
      </c>
      <c r="L190" s="5">
        <f t="shared" si="16"/>
        <v>-6.3039778099981091E-3</v>
      </c>
      <c r="M190" s="5">
        <f t="shared" si="16"/>
        <v>5.0896698756718456E-3</v>
      </c>
      <c r="N190" s="5">
        <f t="shared" si="15"/>
        <v>-2.2656850141769685E-3</v>
      </c>
      <c r="O190" s="5">
        <f t="shared" si="13"/>
        <v>6.2358931903940386E-4</v>
      </c>
      <c r="P190" s="79">
        <f t="shared" si="14"/>
        <v>7.524910999333887E-4</v>
      </c>
    </row>
    <row r="191" spans="1:16">
      <c r="A191" s="73">
        <v>44929</v>
      </c>
      <c r="B191" s="45">
        <v>1645.85</v>
      </c>
      <c r="C191" s="105">
        <v>1347.4</v>
      </c>
      <c r="D191" s="5">
        <v>80.349999999999994</v>
      </c>
      <c r="E191" s="5">
        <v>560.85</v>
      </c>
      <c r="F191" s="5">
        <v>834.15</v>
      </c>
      <c r="G191" s="5">
        <v>18232.55</v>
      </c>
      <c r="H191" s="5">
        <f t="shared" si="17"/>
        <v>-4.6566478183302871E-3</v>
      </c>
      <c r="I191" s="5">
        <f t="shared" si="17"/>
        <v>3.9116343180717501E-3</v>
      </c>
      <c r="J191" s="5">
        <f t="shared" si="17"/>
        <v>2.4953212726137072E-3</v>
      </c>
      <c r="K191" s="5">
        <f t="shared" si="16"/>
        <v>-1.2465497284301164E-3</v>
      </c>
      <c r="L191" s="5">
        <f t="shared" si="16"/>
        <v>5.8364524519444273E-2</v>
      </c>
      <c r="M191" s="5">
        <f t="shared" si="16"/>
        <v>1.9288416783669439E-3</v>
      </c>
      <c r="N191" s="5">
        <f t="shared" si="15"/>
        <v>2.6278033561722616E-2</v>
      </c>
      <c r="O191" s="5">
        <f t="shared" si="13"/>
        <v>-5.9119663842471457E-4</v>
      </c>
      <c r="P191" s="79">
        <f t="shared" si="14"/>
        <v>-1.1304384013017907E-3</v>
      </c>
    </row>
    <row r="192" spans="1:16">
      <c r="A192" s="73">
        <v>44930</v>
      </c>
      <c r="B192" s="45">
        <v>1638.65</v>
      </c>
      <c r="C192" s="105">
        <v>1307.4000000000001</v>
      </c>
      <c r="D192" s="5">
        <v>79.2</v>
      </c>
      <c r="E192" s="5">
        <v>559.85</v>
      </c>
      <c r="F192" s="5">
        <v>808.9</v>
      </c>
      <c r="G192" s="5">
        <v>18042.95</v>
      </c>
      <c r="H192" s="5">
        <f t="shared" si="17"/>
        <v>-4.3746392441594423E-3</v>
      </c>
      <c r="I192" s="5">
        <f t="shared" si="17"/>
        <v>-2.9686804215526198E-2</v>
      </c>
      <c r="J192" s="5">
        <f t="shared" si="17"/>
        <v>-1.4312383322961936E-2</v>
      </c>
      <c r="K192" s="5">
        <f t="shared" si="16"/>
        <v>-1.7830079343853079E-3</v>
      </c>
      <c r="L192" s="5">
        <f t="shared" si="16"/>
        <v>-3.0270335071629805E-2</v>
      </c>
      <c r="M192" s="5">
        <f t="shared" si="16"/>
        <v>-1.0398984234240332E-2</v>
      </c>
      <c r="N192" s="5">
        <f t="shared" si="15"/>
        <v>-1.8130798340106256E-2</v>
      </c>
      <c r="O192" s="5">
        <f t="shared" si="13"/>
        <v>-6.3524716588057861E-3</v>
      </c>
      <c r="P192" s="79">
        <f t="shared" si="14"/>
        <v>-7.9521045116043281E-3</v>
      </c>
    </row>
    <row r="193" spans="1:16">
      <c r="A193" s="73">
        <v>44931</v>
      </c>
      <c r="B193" s="45">
        <v>1635.1</v>
      </c>
      <c r="C193" s="105">
        <v>1279.9000000000001</v>
      </c>
      <c r="D193" s="5">
        <v>81.95</v>
      </c>
      <c r="E193" s="5">
        <v>572.75</v>
      </c>
      <c r="F193" s="5">
        <v>814.4</v>
      </c>
      <c r="G193" s="5">
        <v>17992.150000000001</v>
      </c>
      <c r="H193" s="5">
        <f t="shared" si="17"/>
        <v>-2.1664174778019598E-3</v>
      </c>
      <c r="I193" s="5">
        <f t="shared" si="17"/>
        <v>-2.1034113507725254E-2</v>
      </c>
      <c r="J193" s="5">
        <f t="shared" si="17"/>
        <v>3.4722222222222224E-2</v>
      </c>
      <c r="K193" s="5">
        <f t="shared" si="16"/>
        <v>2.3041886219523047E-2</v>
      </c>
      <c r="L193" s="5">
        <f t="shared" si="16"/>
        <v>6.7993571516874766E-3</v>
      </c>
      <c r="M193" s="5">
        <f t="shared" si="16"/>
        <v>-2.8155041165662639E-3</v>
      </c>
      <c r="N193" s="5">
        <f t="shared" si="15"/>
        <v>5.2906588239989517E-3</v>
      </c>
      <c r="O193" s="5">
        <f t="shared" si="13"/>
        <v>9.5056010312708304E-3</v>
      </c>
      <c r="P193" s="79">
        <f t="shared" si="14"/>
        <v>7.1007844909692919E-3</v>
      </c>
    </row>
    <row r="194" spans="1:16">
      <c r="A194" s="73">
        <v>44932</v>
      </c>
      <c r="B194" s="45">
        <v>1624.85</v>
      </c>
      <c r="C194" s="105">
        <v>1248.1500000000001</v>
      </c>
      <c r="D194" s="5">
        <v>81.75</v>
      </c>
      <c r="E194" s="5">
        <v>552.85</v>
      </c>
      <c r="F194" s="5">
        <v>802.85</v>
      </c>
      <c r="G194" s="5">
        <v>17859.45</v>
      </c>
      <c r="H194" s="5">
        <f t="shared" si="17"/>
        <v>-6.2687297413002267E-3</v>
      </c>
      <c r="I194" s="5">
        <f t="shared" si="17"/>
        <v>-2.4806625517618561E-2</v>
      </c>
      <c r="J194" s="5">
        <f t="shared" si="17"/>
        <v>-2.4405125076266362E-3</v>
      </c>
      <c r="K194" s="5">
        <f t="shared" si="16"/>
        <v>-3.4744652989960677E-2</v>
      </c>
      <c r="L194" s="5">
        <f t="shared" si="16"/>
        <v>-1.4182220039292676E-2</v>
      </c>
      <c r="M194" s="5">
        <f t="shared" si="16"/>
        <v>-7.3754387330030443E-3</v>
      </c>
      <c r="N194" s="5">
        <f t="shared" si="15"/>
        <v>-1.4997288165242425E-2</v>
      </c>
      <c r="O194" s="5">
        <f t="shared" si="13"/>
        <v>-2.1905525894937206E-2</v>
      </c>
      <c r="P194" s="79">
        <f t="shared" si="14"/>
        <v>-2.002271319673405E-2</v>
      </c>
    </row>
    <row r="195" spans="1:16">
      <c r="A195" s="73">
        <v>44935</v>
      </c>
      <c r="B195" s="45">
        <v>1635.4</v>
      </c>
      <c r="C195" s="105">
        <v>1219.75</v>
      </c>
      <c r="D195" s="5">
        <v>81.45</v>
      </c>
      <c r="E195" s="5">
        <v>549.54999999999995</v>
      </c>
      <c r="F195" s="5">
        <v>809.5</v>
      </c>
      <c r="G195" s="5">
        <v>18101.2</v>
      </c>
      <c r="H195" s="5">
        <f t="shared" si="17"/>
        <v>6.4929070375728112E-3</v>
      </c>
      <c r="I195" s="5">
        <f t="shared" si="17"/>
        <v>-2.2753675439650754E-2</v>
      </c>
      <c r="J195" s="5">
        <f t="shared" si="17"/>
        <v>-3.6697247706421669E-3</v>
      </c>
      <c r="K195" s="5">
        <f t="shared" si="16"/>
        <v>-5.9690693678214127E-3</v>
      </c>
      <c r="L195" s="5">
        <f t="shared" si="16"/>
        <v>8.282991841564398E-3</v>
      </c>
      <c r="M195" s="5">
        <f t="shared" si="16"/>
        <v>1.3536251116355766E-2</v>
      </c>
      <c r="N195" s="5">
        <f t="shared" si="15"/>
        <v>3.4709795178189898E-3</v>
      </c>
      <c r="O195" s="5">
        <f t="shared" si="13"/>
        <v>-2.5493153556110175E-3</v>
      </c>
      <c r="P195" s="79">
        <f t="shared" si="14"/>
        <v>-3.362700853543503E-3</v>
      </c>
    </row>
    <row r="196" spans="1:16">
      <c r="A196" s="73">
        <v>44936</v>
      </c>
      <c r="B196" s="45">
        <v>1624.9</v>
      </c>
      <c r="C196" s="105">
        <v>1223.6500000000001</v>
      </c>
      <c r="D196" s="5">
        <v>79.849999999999994</v>
      </c>
      <c r="E196" s="5">
        <v>554.6</v>
      </c>
      <c r="F196" s="5">
        <v>790.1</v>
      </c>
      <c r="G196" s="5">
        <v>17914.150000000001</v>
      </c>
      <c r="H196" s="5">
        <f t="shared" si="17"/>
        <v>-6.4204475969181852E-3</v>
      </c>
      <c r="I196" s="5">
        <f t="shared" si="17"/>
        <v>3.1973765115803163E-3</v>
      </c>
      <c r="J196" s="5">
        <f t="shared" si="17"/>
        <v>-1.9643953345610907E-2</v>
      </c>
      <c r="K196" s="5">
        <f t="shared" si="16"/>
        <v>9.1893367300519852E-3</v>
      </c>
      <c r="L196" s="5">
        <f t="shared" si="16"/>
        <v>-2.3965410747374894E-2</v>
      </c>
      <c r="M196" s="5">
        <f t="shared" si="16"/>
        <v>-1.0333569045146138E-2</v>
      </c>
      <c r="N196" s="5">
        <f t="shared" si="15"/>
        <v>-1.228977538157907E-2</v>
      </c>
      <c r="O196" s="5">
        <f t="shared" ref="O196:O259" si="18">$V$86*H196 +$V$87*I196 + $V$88*J196 + $V$89*K196+ $V$90*L196</f>
        <v>1.3053757442351324E-3</v>
      </c>
      <c r="P196" s="79">
        <f t="shared" ref="P196:P259" si="19">$V$104*H196 +$V$105*I196 + $V$106*J196 + $V$107*K196+ $V$108*L196</f>
        <v>2.1248140318216451E-4</v>
      </c>
    </row>
    <row r="197" spans="1:16">
      <c r="A197" s="73">
        <v>44937</v>
      </c>
      <c r="B197" s="45">
        <v>1637.4</v>
      </c>
      <c r="C197" s="105">
        <v>1210.7</v>
      </c>
      <c r="D197" s="5">
        <v>81</v>
      </c>
      <c r="E197" s="5">
        <v>548.35</v>
      </c>
      <c r="F197" s="5">
        <v>787.45</v>
      </c>
      <c r="G197" s="5">
        <v>17895.7</v>
      </c>
      <c r="H197" s="5">
        <f t="shared" si="17"/>
        <v>7.6927810942211822E-3</v>
      </c>
      <c r="I197" s="5">
        <f t="shared" si="17"/>
        <v>-1.0583091570302001E-2</v>
      </c>
      <c r="J197" s="5">
        <f t="shared" si="17"/>
        <v>1.4402003757044531E-2</v>
      </c>
      <c r="K197" s="5">
        <f t="shared" si="16"/>
        <v>-1.126938333934367E-2</v>
      </c>
      <c r="L197" s="5">
        <f t="shared" si="16"/>
        <v>-3.3540058220478132E-3</v>
      </c>
      <c r="M197" s="5">
        <f t="shared" si="16"/>
        <v>-1.0299121085845951E-3</v>
      </c>
      <c r="N197" s="5">
        <f t="shared" ref="N197:N260" si="20">((H197 *0.3 ) + (I197 * 0.064462757 ) + (J197 * 0.026806099 ) + (K197 * 0.137093997) + (L197 * 0.471637147))</f>
        <v>-1.1151579360769155E-3</v>
      </c>
      <c r="O197" s="5">
        <f t="shared" si="18"/>
        <v>-3.2929053387967932E-3</v>
      </c>
      <c r="P197" s="79">
        <f t="shared" si="19"/>
        <v>-2.1561139137233048E-3</v>
      </c>
    </row>
    <row r="198" spans="1:16">
      <c r="A198" s="73">
        <v>44938</v>
      </c>
      <c r="B198" s="45">
        <v>1636.6</v>
      </c>
      <c r="C198" s="105">
        <v>1209.5</v>
      </c>
      <c r="D198" s="5">
        <v>80</v>
      </c>
      <c r="E198" s="5">
        <v>544.95000000000005</v>
      </c>
      <c r="F198" s="5">
        <v>788.75</v>
      </c>
      <c r="G198" s="5">
        <v>17858.2</v>
      </c>
      <c r="H198" s="5">
        <f t="shared" si="17"/>
        <v>-4.885794552340185E-4</v>
      </c>
      <c r="I198" s="5">
        <f t="shared" si="17"/>
        <v>-9.9116213760638101E-4</v>
      </c>
      <c r="J198" s="5">
        <f t="shared" si="17"/>
        <v>-1.2345679012345678E-2</v>
      </c>
      <c r="K198" s="5">
        <f t="shared" si="16"/>
        <v>-6.2004194401385562E-3</v>
      </c>
      <c r="L198" s="5">
        <f t="shared" si="16"/>
        <v>1.6508984697440529E-3</v>
      </c>
      <c r="M198" s="5">
        <f t="shared" si="16"/>
        <v>-2.0954754494096348E-3</v>
      </c>
      <c r="N198" s="5">
        <f t="shared" si="20"/>
        <v>-6.1282161428983259E-4</v>
      </c>
      <c r="O198" s="5">
        <f t="shared" si="18"/>
        <v>-3.5864788752233041E-3</v>
      </c>
      <c r="P198" s="79">
        <f t="shared" si="19"/>
        <v>-3.4814633191312364E-3</v>
      </c>
    </row>
    <row r="199" spans="1:16">
      <c r="A199" s="73">
        <v>44939</v>
      </c>
      <c r="B199" s="45">
        <v>1578.9</v>
      </c>
      <c r="C199" s="105">
        <v>1205.4000000000001</v>
      </c>
      <c r="D199" s="5">
        <v>80.7</v>
      </c>
      <c r="E199" s="5">
        <v>543.70000000000005</v>
      </c>
      <c r="F199" s="5">
        <v>780.35</v>
      </c>
      <c r="G199" s="5">
        <v>17956.599999999999</v>
      </c>
      <c r="H199" s="5">
        <f t="shared" si="17"/>
        <v>-3.5256018575094597E-2</v>
      </c>
      <c r="I199" s="5">
        <f t="shared" si="17"/>
        <v>-3.3898305084745011E-3</v>
      </c>
      <c r="J199" s="5">
        <f t="shared" si="17"/>
        <v>8.7500000000000355E-3</v>
      </c>
      <c r="K199" s="5">
        <f t="shared" si="16"/>
        <v>-2.293788420956051E-3</v>
      </c>
      <c r="L199" s="5">
        <f t="shared" si="16"/>
        <v>-1.0649762282091888E-2</v>
      </c>
      <c r="M199" s="5">
        <f t="shared" si="16"/>
        <v>5.5100738036307027E-3</v>
      </c>
      <c r="N199" s="5">
        <f t="shared" si="20"/>
        <v>-1.5898058148472567E-2</v>
      </c>
      <c r="O199" s="5">
        <f t="shared" si="18"/>
        <v>-1.4497567643825942E-2</v>
      </c>
      <c r="P199" s="79">
        <f t="shared" si="19"/>
        <v>-1.4790122435676839E-2</v>
      </c>
    </row>
    <row r="200" spans="1:16">
      <c r="A200" s="73">
        <v>44942</v>
      </c>
      <c r="B200" s="45">
        <v>1565.8</v>
      </c>
      <c r="C200" s="105">
        <v>1197.4000000000001</v>
      </c>
      <c r="D200" s="5">
        <v>79.75</v>
      </c>
      <c r="E200" s="5">
        <v>553.04999999999995</v>
      </c>
      <c r="F200" s="5">
        <v>771.25</v>
      </c>
      <c r="G200" s="5">
        <v>17894.849999999999</v>
      </c>
      <c r="H200" s="5">
        <f t="shared" si="17"/>
        <v>-8.2969155741339767E-3</v>
      </c>
      <c r="I200" s="5">
        <f t="shared" si="17"/>
        <v>-6.6368010618881694E-3</v>
      </c>
      <c r="J200" s="5">
        <f t="shared" si="17"/>
        <v>-1.1771995043370544E-2</v>
      </c>
      <c r="K200" s="5">
        <f t="shared" si="16"/>
        <v>1.7196983630678515E-2</v>
      </c>
      <c r="L200" s="5">
        <f t="shared" si="16"/>
        <v>-1.1661433971935699E-2</v>
      </c>
      <c r="M200" s="5">
        <f t="shared" si="16"/>
        <v>-3.4388469977612692E-3</v>
      </c>
      <c r="N200" s="5">
        <f t="shared" si="20"/>
        <v>-6.3748246570894734E-3</v>
      </c>
      <c r="O200" s="5">
        <f t="shared" si="18"/>
        <v>4.061025922171487E-3</v>
      </c>
      <c r="P200" s="79">
        <f t="shared" si="19"/>
        <v>1.6884938128137038E-3</v>
      </c>
    </row>
    <row r="201" spans="1:16">
      <c r="A201" s="73">
        <v>44943</v>
      </c>
      <c r="B201" s="45">
        <v>1584.4</v>
      </c>
      <c r="C201" s="105">
        <v>1193.0999999999999</v>
      </c>
      <c r="D201" s="5">
        <v>79.8</v>
      </c>
      <c r="E201" s="5">
        <v>556.54999999999995</v>
      </c>
      <c r="F201" s="5">
        <v>766.95</v>
      </c>
      <c r="G201" s="5">
        <v>18053.3</v>
      </c>
      <c r="H201" s="5">
        <f t="shared" si="17"/>
        <v>1.1878911738408569E-2</v>
      </c>
      <c r="I201" s="5">
        <f t="shared" si="17"/>
        <v>-3.5911140805079183E-3</v>
      </c>
      <c r="J201" s="5">
        <f t="shared" si="17"/>
        <v>6.2695924764886719E-4</v>
      </c>
      <c r="K201" s="5">
        <f t="shared" si="16"/>
        <v>6.3285417231715036E-3</v>
      </c>
      <c r="L201" s="5">
        <f t="shared" si="16"/>
        <v>-5.5753646677471043E-3</v>
      </c>
      <c r="M201" s="5">
        <f t="shared" si="16"/>
        <v>8.8545028318203697E-3</v>
      </c>
      <c r="N201" s="5">
        <f t="shared" si="20"/>
        <v>1.5870427334829531E-3</v>
      </c>
      <c r="O201" s="5">
        <f t="shared" si="18"/>
        <v>7.0289630296810606E-3</v>
      </c>
      <c r="P201" s="79">
        <f t="shared" si="19"/>
        <v>6.5848517747378182E-3</v>
      </c>
    </row>
    <row r="202" spans="1:16">
      <c r="A202" s="73">
        <v>44944</v>
      </c>
      <c r="B202" s="45">
        <v>1593.35</v>
      </c>
      <c r="C202" s="105">
        <v>1222.8</v>
      </c>
      <c r="D202" s="5">
        <v>80.900000000000006</v>
      </c>
      <c r="E202" s="5">
        <v>557.6</v>
      </c>
      <c r="F202" s="5">
        <v>761.95</v>
      </c>
      <c r="G202" s="5">
        <v>18165.349999999999</v>
      </c>
      <c r="H202" s="5">
        <f t="shared" si="17"/>
        <v>5.648826054026646E-3</v>
      </c>
      <c r="I202" s="5">
        <f t="shared" si="17"/>
        <v>2.4893135529293477E-2</v>
      </c>
      <c r="J202" s="5">
        <f t="shared" si="17"/>
        <v>1.3784461152882312E-2</v>
      </c>
      <c r="K202" s="5">
        <f t="shared" si="16"/>
        <v>1.8866229449287005E-3</v>
      </c>
      <c r="L202" s="5">
        <f t="shared" si="16"/>
        <v>-6.5193298128952337E-3</v>
      </c>
      <c r="M202" s="5">
        <f t="shared" si="16"/>
        <v>6.2066215041017029E-3</v>
      </c>
      <c r="N202" s="5">
        <f t="shared" si="20"/>
        <v>8.5272216017295756E-4</v>
      </c>
      <c r="O202" s="5">
        <f t="shared" si="18"/>
        <v>5.5878650755879057E-3</v>
      </c>
      <c r="P202" s="79">
        <f t="shared" si="19"/>
        <v>7.4586560981794699E-3</v>
      </c>
    </row>
    <row r="203" spans="1:16">
      <c r="A203" s="73">
        <v>44945</v>
      </c>
      <c r="B203" s="45">
        <v>1585.8</v>
      </c>
      <c r="C203" s="105">
        <v>1198.3</v>
      </c>
      <c r="D203" s="5">
        <v>80</v>
      </c>
      <c r="E203" s="5">
        <v>554.95000000000005</v>
      </c>
      <c r="F203" s="5">
        <v>737.95</v>
      </c>
      <c r="G203" s="5">
        <v>18107.849999999999</v>
      </c>
      <c r="H203" s="5">
        <f t="shared" si="17"/>
        <v>-4.7384441585338784E-3</v>
      </c>
      <c r="I203" s="5">
        <f t="shared" si="17"/>
        <v>-2.0035982989859341E-2</v>
      </c>
      <c r="J203" s="5">
        <f t="shared" si="17"/>
        <v>-1.1124845488257177E-2</v>
      </c>
      <c r="K203" s="5">
        <f t="shared" si="16"/>
        <v>-4.7525107604016806E-3</v>
      </c>
      <c r="L203" s="5">
        <f t="shared" si="16"/>
        <v>-3.149812979854321E-2</v>
      </c>
      <c r="M203" s="5">
        <f t="shared" si="16"/>
        <v>-3.1653670311884994E-3</v>
      </c>
      <c r="N203" s="5">
        <f t="shared" si="20"/>
        <v>-1.8518550429759105E-2</v>
      </c>
      <c r="O203" s="5">
        <f t="shared" si="18"/>
        <v>-6.9591416215768719E-3</v>
      </c>
      <c r="P203" s="79">
        <f t="shared" si="19"/>
        <v>-7.6258449941651518E-3</v>
      </c>
    </row>
    <row r="204" spans="1:16">
      <c r="A204" s="73">
        <v>44946</v>
      </c>
      <c r="B204" s="45">
        <v>1565.95</v>
      </c>
      <c r="C204" s="105">
        <v>1182.3</v>
      </c>
      <c r="D204" s="5">
        <v>80.8</v>
      </c>
      <c r="E204" s="5">
        <v>566</v>
      </c>
      <c r="F204" s="5">
        <v>767.4</v>
      </c>
      <c r="G204" s="5">
        <v>18027.650000000001</v>
      </c>
      <c r="H204" s="5">
        <f t="shared" si="17"/>
        <v>-1.2517341404969044E-2</v>
      </c>
      <c r="I204" s="5">
        <f t="shared" si="17"/>
        <v>-1.3352249019444214E-2</v>
      </c>
      <c r="J204" s="5">
        <f t="shared" si="17"/>
        <v>9.9999999999999638E-3</v>
      </c>
      <c r="K204" s="5">
        <f t="shared" si="16"/>
        <v>1.991170375709515E-2</v>
      </c>
      <c r="L204" s="5">
        <f t="shared" si="16"/>
        <v>3.9907852835557867E-2</v>
      </c>
      <c r="M204" s="5">
        <f t="shared" si="16"/>
        <v>-4.4290183539181681E-3</v>
      </c>
      <c r="N204" s="5">
        <f t="shared" si="20"/>
        <v>1.7203936693963827E-2</v>
      </c>
      <c r="O204" s="5">
        <f t="shared" si="18"/>
        <v>4.9318848500557082E-3</v>
      </c>
      <c r="P204" s="79">
        <f t="shared" si="19"/>
        <v>1.767164742037051E-3</v>
      </c>
    </row>
    <row r="205" spans="1:16">
      <c r="A205" s="73">
        <v>44949</v>
      </c>
      <c r="B205" s="45">
        <v>1571.3</v>
      </c>
      <c r="C205" s="105">
        <v>1177.25</v>
      </c>
      <c r="D205" s="5">
        <v>80.2</v>
      </c>
      <c r="E205" s="5">
        <v>564.4</v>
      </c>
      <c r="F205" s="5">
        <v>773.55</v>
      </c>
      <c r="G205" s="5">
        <v>18118.55</v>
      </c>
      <c r="H205" s="5">
        <f t="shared" si="17"/>
        <v>3.416456464127149E-3</v>
      </c>
      <c r="I205" s="5">
        <f t="shared" si="17"/>
        <v>-4.2713355324367373E-3</v>
      </c>
      <c r="J205" s="5">
        <f t="shared" si="17"/>
        <v>-7.425742574257356E-3</v>
      </c>
      <c r="K205" s="5">
        <f t="shared" si="16"/>
        <v>-2.8268551236749519E-3</v>
      </c>
      <c r="L205" s="5">
        <f t="shared" si="16"/>
        <v>8.0140734949178758E-3</v>
      </c>
      <c r="M205" s="5">
        <f t="shared" si="16"/>
        <v>5.0422545367808788E-3</v>
      </c>
      <c r="N205" s="5">
        <f t="shared" si="20"/>
        <v>3.9427295752980096E-3</v>
      </c>
      <c r="O205" s="5">
        <f t="shared" si="18"/>
        <v>-5.3331625806305198E-4</v>
      </c>
      <c r="P205" s="79">
        <f t="shared" si="19"/>
        <v>-7.8560282963911689E-4</v>
      </c>
    </row>
    <row r="206" spans="1:16">
      <c r="A206" s="73">
        <v>44950</v>
      </c>
      <c r="B206" s="45">
        <v>1571.95</v>
      </c>
      <c r="C206" s="105">
        <v>1202.75</v>
      </c>
      <c r="D206" s="5">
        <v>78.55</v>
      </c>
      <c r="E206" s="5">
        <v>566.95000000000005</v>
      </c>
      <c r="F206" s="5">
        <v>758.4</v>
      </c>
      <c r="G206" s="5">
        <v>18118.3</v>
      </c>
      <c r="H206" s="5">
        <f t="shared" si="17"/>
        <v>4.1367020938082544E-4</v>
      </c>
      <c r="I206" s="5">
        <f t="shared" si="17"/>
        <v>2.1660649819494584E-2</v>
      </c>
      <c r="J206" s="5">
        <f t="shared" si="17"/>
        <v>-2.0573566084788102E-2</v>
      </c>
      <c r="K206" s="5">
        <f t="shared" si="16"/>
        <v>4.5180722891567477E-3</v>
      </c>
      <c r="L206" s="5">
        <f t="shared" si="16"/>
        <v>-1.9585030056234215E-2</v>
      </c>
      <c r="M206" s="5">
        <f t="shared" si="16"/>
        <v>-1.3798013637956681E-5</v>
      </c>
      <c r="N206" s="5">
        <f t="shared" si="20"/>
        <v>-7.6487178914375672E-3</v>
      </c>
      <c r="O206" s="5">
        <f t="shared" si="18"/>
        <v>3.3827337065778437E-3</v>
      </c>
      <c r="P206" s="79">
        <f t="shared" si="19"/>
        <v>3.8192418323175215E-3</v>
      </c>
    </row>
    <row r="207" spans="1:16">
      <c r="A207" s="73">
        <v>44951</v>
      </c>
      <c r="B207" s="45">
        <v>1529.8</v>
      </c>
      <c r="C207" s="105">
        <v>1212.0999999999999</v>
      </c>
      <c r="D207" s="5">
        <v>76.7</v>
      </c>
      <c r="E207" s="5">
        <v>563.29999999999995</v>
      </c>
      <c r="F207" s="5">
        <v>738.05</v>
      </c>
      <c r="G207" s="5">
        <v>17891.95</v>
      </c>
      <c r="H207" s="5">
        <f t="shared" si="17"/>
        <v>-2.6813829956423608E-2</v>
      </c>
      <c r="I207" s="5">
        <f t="shared" si="17"/>
        <v>7.7738515901059312E-3</v>
      </c>
      <c r="J207" s="5">
        <f t="shared" si="17"/>
        <v>-2.3551877784850343E-2</v>
      </c>
      <c r="K207" s="5">
        <f t="shared" si="16"/>
        <v>-6.4379574918424741E-3</v>
      </c>
      <c r="L207" s="5">
        <f t="shared" si="16"/>
        <v>-2.6832805907173025E-2</v>
      </c>
      <c r="M207" s="5">
        <f t="shared" si="16"/>
        <v>-1.2492893924926652E-2</v>
      </c>
      <c r="N207" s="5">
        <f t="shared" si="20"/>
        <v>-2.1712312397593234E-2</v>
      </c>
      <c r="O207" s="5">
        <f t="shared" si="18"/>
        <v>-1.3578284913487951E-2</v>
      </c>
      <c r="P207" s="79">
        <f t="shared" si="19"/>
        <v>-1.3455518003820468E-2</v>
      </c>
    </row>
    <row r="208" spans="1:16">
      <c r="A208" s="73">
        <v>44953</v>
      </c>
      <c r="B208" s="45">
        <v>1496.2</v>
      </c>
      <c r="C208" s="105">
        <v>1176.3</v>
      </c>
      <c r="D208" s="5">
        <v>73.25</v>
      </c>
      <c r="E208" s="5">
        <v>562.04999999999995</v>
      </c>
      <c r="F208" s="5">
        <v>721.15</v>
      </c>
      <c r="G208" s="5">
        <v>17604.349999999999</v>
      </c>
      <c r="H208" s="5">
        <f t="shared" si="17"/>
        <v>-2.1963655379788147E-2</v>
      </c>
      <c r="I208" s="5">
        <f t="shared" si="17"/>
        <v>-2.9535516871545216E-2</v>
      </c>
      <c r="J208" s="5">
        <f t="shared" si="17"/>
        <v>-4.4980443285528068E-2</v>
      </c>
      <c r="K208" s="5">
        <f t="shared" si="16"/>
        <v>-2.2190662169359137E-3</v>
      </c>
      <c r="L208" s="5">
        <f t="shared" si="16"/>
        <v>-2.2898177630241823E-2</v>
      </c>
      <c r="M208" s="5">
        <f t="shared" si="16"/>
        <v>-1.6074268036742903E-2</v>
      </c>
      <c r="N208" s="5">
        <f t="shared" si="20"/>
        <v>-2.0802639502985901E-2</v>
      </c>
      <c r="O208" s="5">
        <f t="shared" si="18"/>
        <v>-1.3748996527810253E-2</v>
      </c>
      <c r="P208" s="79">
        <f t="shared" si="19"/>
        <v>-1.674996099139086E-2</v>
      </c>
    </row>
    <row r="209" spans="1:16">
      <c r="A209" s="73">
        <v>44956</v>
      </c>
      <c r="B209" s="45">
        <v>1511.9</v>
      </c>
      <c r="C209" s="105">
        <v>1180.3499999999999</v>
      </c>
      <c r="D209" s="5">
        <v>74.05</v>
      </c>
      <c r="E209" s="5">
        <v>558.04999999999995</v>
      </c>
      <c r="F209" s="5">
        <v>763.25</v>
      </c>
      <c r="G209" s="5">
        <v>17648.95</v>
      </c>
      <c r="H209" s="5">
        <f t="shared" si="17"/>
        <v>1.049324956556613E-2</v>
      </c>
      <c r="I209" s="5">
        <f t="shared" si="17"/>
        <v>3.4429992348890205E-3</v>
      </c>
      <c r="J209" s="5">
        <f t="shared" si="17"/>
        <v>1.0921501706484604E-2</v>
      </c>
      <c r="K209" s="5">
        <f t="shared" si="16"/>
        <v>-7.1168045547549156E-3</v>
      </c>
      <c r="L209" s="5">
        <f t="shared" si="16"/>
        <v>5.8378978021216145E-2</v>
      </c>
      <c r="M209" s="5">
        <f t="shared" si="16"/>
        <v>2.5334647402489832E-3</v>
      </c>
      <c r="N209" s="5">
        <f t="shared" si="20"/>
        <v>3.0220706405095298E-2</v>
      </c>
      <c r="O209" s="5">
        <f t="shared" si="18"/>
        <v>2.3635834692030244E-3</v>
      </c>
      <c r="P209" s="79">
        <f t="shared" si="19"/>
        <v>2.9404276533832778E-3</v>
      </c>
    </row>
    <row r="210" spans="1:16">
      <c r="A210" s="73">
        <v>44957</v>
      </c>
      <c r="B210" s="45">
        <v>1529.35</v>
      </c>
      <c r="C210" s="105">
        <v>1196.5999999999999</v>
      </c>
      <c r="D210" s="5">
        <v>78.400000000000006</v>
      </c>
      <c r="E210" s="5">
        <v>557.75</v>
      </c>
      <c r="F210" s="5">
        <v>793.25</v>
      </c>
      <c r="G210" s="5">
        <v>17662.150000000001</v>
      </c>
      <c r="H210" s="5">
        <f t="shared" si="17"/>
        <v>1.1541768635491645E-2</v>
      </c>
      <c r="I210" s="5">
        <f t="shared" si="17"/>
        <v>1.3767102977930277E-2</v>
      </c>
      <c r="J210" s="5">
        <f t="shared" si="17"/>
        <v>5.8744091829844816E-2</v>
      </c>
      <c r="K210" s="5">
        <f t="shared" si="16"/>
        <v>-5.3758623779223105E-4</v>
      </c>
      <c r="L210" s="5">
        <f t="shared" si="16"/>
        <v>3.9305601048149362E-2</v>
      </c>
      <c r="M210" s="5">
        <f t="shared" si="16"/>
        <v>7.4791984792300546E-4</v>
      </c>
      <c r="N210" s="5">
        <f t="shared" si="20"/>
        <v>2.4388977639161945E-2</v>
      </c>
      <c r="O210" s="5">
        <f t="shared" si="18"/>
        <v>7.8079986250165056E-3</v>
      </c>
      <c r="P210" s="79">
        <f t="shared" si="19"/>
        <v>1.0155518394190339E-2</v>
      </c>
    </row>
    <row r="211" spans="1:16">
      <c r="A211" s="73">
        <v>44958</v>
      </c>
      <c r="B211" s="45">
        <v>1500.4</v>
      </c>
      <c r="C211" s="105">
        <v>1216</v>
      </c>
      <c r="D211" s="5">
        <v>75.599999999999994</v>
      </c>
      <c r="E211" s="5">
        <v>561.95000000000005</v>
      </c>
      <c r="F211" s="5">
        <v>744.85</v>
      </c>
      <c r="G211" s="5">
        <v>17616.3</v>
      </c>
      <c r="H211" s="5">
        <f t="shared" si="17"/>
        <v>-1.8929610618890261E-2</v>
      </c>
      <c r="I211" s="5">
        <f t="shared" si="17"/>
        <v>1.6212602373391352E-2</v>
      </c>
      <c r="J211" s="5">
        <f t="shared" si="17"/>
        <v>-3.5714285714285858E-2</v>
      </c>
      <c r="K211" s="5">
        <f t="shared" si="16"/>
        <v>7.5302554908113772E-3</v>
      </c>
      <c r="L211" s="5">
        <f t="shared" si="16"/>
        <v>-6.1014812480302522E-2</v>
      </c>
      <c r="M211" s="5">
        <f t="shared" si="16"/>
        <v>-2.595946699580865E-3</v>
      </c>
      <c r="N211" s="5">
        <f t="shared" si="20"/>
        <v>-3.3335634076388308E-2</v>
      </c>
      <c r="O211" s="5">
        <f t="shared" si="18"/>
        <v>-4.1799063037903433E-3</v>
      </c>
      <c r="P211" s="79">
        <f t="shared" si="19"/>
        <v>-4.6158717209211376E-3</v>
      </c>
    </row>
    <row r="212" spans="1:16">
      <c r="A212" s="73">
        <v>44959</v>
      </c>
      <c r="B212" s="45">
        <v>1531.25</v>
      </c>
      <c r="C212" s="105">
        <v>1210.5999999999999</v>
      </c>
      <c r="D212" s="5">
        <v>75.599999999999994</v>
      </c>
      <c r="E212" s="5">
        <v>554.45000000000005</v>
      </c>
      <c r="F212" s="5">
        <v>768.8</v>
      </c>
      <c r="G212" s="5">
        <v>17610.400000000001</v>
      </c>
      <c r="H212" s="5">
        <f t="shared" si="17"/>
        <v>2.0561183684350778E-2</v>
      </c>
      <c r="I212" s="5">
        <f t="shared" si="17"/>
        <v>-4.440789473684285E-3</v>
      </c>
      <c r="J212" s="5">
        <f t="shared" si="17"/>
        <v>0</v>
      </c>
      <c r="K212" s="5">
        <f t="shared" si="16"/>
        <v>-1.3346383130171722E-2</v>
      </c>
      <c r="L212" s="5">
        <f t="shared" si="16"/>
        <v>3.2154124991608954E-2</v>
      </c>
      <c r="M212" s="5">
        <f t="shared" si="16"/>
        <v>-3.349170938277514E-4</v>
      </c>
      <c r="N212" s="5">
        <f t="shared" si="20"/>
        <v>1.9217460339090199E-2</v>
      </c>
      <c r="O212" s="5">
        <f t="shared" si="18"/>
        <v>1.4437033583095875E-3</v>
      </c>
      <c r="P212" s="79">
        <f t="shared" si="19"/>
        <v>2.4200228128953157E-3</v>
      </c>
    </row>
    <row r="213" spans="1:16">
      <c r="A213" s="73">
        <v>44960</v>
      </c>
      <c r="B213" s="45">
        <v>1529.5</v>
      </c>
      <c r="C213" s="105">
        <v>1235.6500000000001</v>
      </c>
      <c r="D213" s="5">
        <v>74.95</v>
      </c>
      <c r="E213" s="5">
        <v>533.70000000000005</v>
      </c>
      <c r="F213" s="5">
        <v>743.45</v>
      </c>
      <c r="G213" s="5">
        <v>17854.05</v>
      </c>
      <c r="H213" s="5">
        <f t="shared" si="17"/>
        <v>-1.1428571428571429E-3</v>
      </c>
      <c r="I213" s="5">
        <f t="shared" si="17"/>
        <v>2.0692218734511963E-2</v>
      </c>
      <c r="J213" s="5">
        <f t="shared" si="17"/>
        <v>-8.5978835978834864E-3</v>
      </c>
      <c r="K213" s="5">
        <f t="shared" si="16"/>
        <v>-3.7424474704662272E-2</v>
      </c>
      <c r="L213" s="5">
        <f t="shared" si="16"/>
        <v>-3.2973465140478553E-2</v>
      </c>
      <c r="M213" s="5">
        <f t="shared" si="16"/>
        <v>1.3835574433289295E-2</v>
      </c>
      <c r="N213" s="5">
        <f t="shared" si="20"/>
        <v>-1.9921637242145594E-2</v>
      </c>
      <c r="O213" s="5">
        <f t="shared" si="18"/>
        <v>-1.7609606678806976E-2</v>
      </c>
      <c r="P213" s="79">
        <f t="shared" si="19"/>
        <v>-1.2728863172606672E-2</v>
      </c>
    </row>
    <row r="214" spans="1:16">
      <c r="A214" s="73">
        <v>44963</v>
      </c>
      <c r="B214" s="45">
        <v>1523.45</v>
      </c>
      <c r="C214" s="105">
        <v>1230.0999999999999</v>
      </c>
      <c r="D214" s="5">
        <v>74.650000000000006</v>
      </c>
      <c r="E214" s="5">
        <v>544.70000000000005</v>
      </c>
      <c r="F214" s="5">
        <v>744.15</v>
      </c>
      <c r="G214" s="5">
        <v>17764.599999999999</v>
      </c>
      <c r="H214" s="5">
        <f t="shared" si="17"/>
        <v>-3.955541026479212E-3</v>
      </c>
      <c r="I214" s="5">
        <f t="shared" si="17"/>
        <v>-4.4915631449036391E-3</v>
      </c>
      <c r="J214" s="5">
        <f t="shared" si="17"/>
        <v>-4.0026684456303824E-3</v>
      </c>
      <c r="K214" s="5">
        <f t="shared" si="16"/>
        <v>2.0610830054337642E-2</v>
      </c>
      <c r="L214" s="5">
        <f t="shared" si="16"/>
        <v>9.4155625798632292E-4</v>
      </c>
      <c r="M214" s="5">
        <f t="shared" si="16"/>
        <v>-5.0100677437332555E-3</v>
      </c>
      <c r="N214" s="5">
        <f t="shared" si="20"/>
        <v>1.6861972027719528E-3</v>
      </c>
      <c r="O214" s="5">
        <f t="shared" si="18"/>
        <v>8.0241685012477811E-3</v>
      </c>
      <c r="P214" s="79">
        <f t="shared" si="19"/>
        <v>5.6028804243741376E-3</v>
      </c>
    </row>
    <row r="215" spans="1:16">
      <c r="A215" s="73">
        <v>44964</v>
      </c>
      <c r="B215" s="45">
        <v>1527.1</v>
      </c>
      <c r="C215" s="105">
        <v>1213.1500000000001</v>
      </c>
      <c r="D215" s="5">
        <v>75.099999999999994</v>
      </c>
      <c r="E215" s="5">
        <v>535.65</v>
      </c>
      <c r="F215" s="5">
        <v>740.4</v>
      </c>
      <c r="G215" s="5">
        <v>17721.5</v>
      </c>
      <c r="H215" s="5">
        <f t="shared" si="17"/>
        <v>2.3958777774130188E-3</v>
      </c>
      <c r="I215" s="5">
        <f t="shared" si="17"/>
        <v>-1.3779367531094886E-2</v>
      </c>
      <c r="J215" s="5">
        <f t="shared" si="17"/>
        <v>6.0281312793032636E-3</v>
      </c>
      <c r="K215" s="5">
        <f t="shared" si="16"/>
        <v>-1.6614650266201701E-2</v>
      </c>
      <c r="L215" s="5">
        <f t="shared" si="16"/>
        <v>-5.0393065914130213E-3</v>
      </c>
      <c r="M215" s="5">
        <f t="shared" si="16"/>
        <v>-2.4261734010334345E-3</v>
      </c>
      <c r="N215" s="5">
        <f t="shared" si="20"/>
        <v>-4.6623950010717908E-3</v>
      </c>
      <c r="O215" s="5">
        <f t="shared" si="18"/>
        <v>-8.4195018083392612E-3</v>
      </c>
      <c r="P215" s="79">
        <f t="shared" si="19"/>
        <v>-7.3103091573204857E-3</v>
      </c>
    </row>
    <row r="216" spans="1:16">
      <c r="A216" s="73">
        <v>44965</v>
      </c>
      <c r="B216" s="45">
        <v>1516.95</v>
      </c>
      <c r="C216" s="105">
        <v>1236.05</v>
      </c>
      <c r="D216" s="5">
        <v>76.099999999999994</v>
      </c>
      <c r="E216" s="5">
        <v>533.95000000000005</v>
      </c>
      <c r="F216" s="5">
        <v>734.2</v>
      </c>
      <c r="G216" s="5">
        <v>17871.7</v>
      </c>
      <c r="H216" s="5">
        <f t="shared" si="17"/>
        <v>-6.6465850304497833E-3</v>
      </c>
      <c r="I216" s="5">
        <f t="shared" si="17"/>
        <v>1.8876478588797645E-2</v>
      </c>
      <c r="J216" s="5">
        <f t="shared" si="17"/>
        <v>1.3315579227696406E-2</v>
      </c>
      <c r="K216" s="5">
        <f t="shared" si="16"/>
        <v>-3.1737141790346905E-3</v>
      </c>
      <c r="L216" s="5">
        <f t="shared" si="16"/>
        <v>-8.3738519719069853E-3</v>
      </c>
      <c r="M216" s="5">
        <f t="shared" si="16"/>
        <v>8.4755805095505874E-3</v>
      </c>
      <c r="N216" s="5">
        <f t="shared" si="20"/>
        <v>-4.8047237373995706E-3</v>
      </c>
      <c r="O216" s="5">
        <f t="shared" si="18"/>
        <v>-2.0464199668645548E-3</v>
      </c>
      <c r="P216" s="79">
        <f t="shared" si="19"/>
        <v>-2.8553263075268518E-4</v>
      </c>
    </row>
    <row r="217" spans="1:16">
      <c r="A217" s="73">
        <v>44966</v>
      </c>
      <c r="B217" s="45">
        <v>1514.6</v>
      </c>
      <c r="C217" s="105">
        <v>1341.9</v>
      </c>
      <c r="D217" s="5">
        <v>76.349999999999994</v>
      </c>
      <c r="E217" s="5">
        <v>533.25</v>
      </c>
      <c r="F217" s="5">
        <v>718.75</v>
      </c>
      <c r="G217" s="5">
        <v>17893.45</v>
      </c>
      <c r="H217" s="5">
        <f t="shared" si="17"/>
        <v>-1.5491611457201203E-3</v>
      </c>
      <c r="I217" s="5">
        <f t="shared" si="17"/>
        <v>8.5635694348934213E-2</v>
      </c>
      <c r="J217" s="5">
        <f t="shared" si="17"/>
        <v>3.28515111695138E-3</v>
      </c>
      <c r="K217" s="5">
        <f t="shared" si="16"/>
        <v>-1.3109841745482637E-3</v>
      </c>
      <c r="L217" s="5">
        <f t="shared" si="16"/>
        <v>-2.1043312448924059E-2</v>
      </c>
      <c r="M217" s="5">
        <f t="shared" si="16"/>
        <v>1.2170078951638623E-3</v>
      </c>
      <c r="N217" s="5">
        <f t="shared" si="20"/>
        <v>-4.9609092096361516E-3</v>
      </c>
      <c r="O217" s="5">
        <f t="shared" si="18"/>
        <v>6.4759549914122725E-3</v>
      </c>
      <c r="P217" s="79">
        <f t="shared" si="19"/>
        <v>1.1787230615116483E-2</v>
      </c>
    </row>
    <row r="218" spans="1:16">
      <c r="A218" s="73">
        <v>44967</v>
      </c>
      <c r="B218" s="45">
        <v>1520.7</v>
      </c>
      <c r="C218" s="105">
        <v>1328.8</v>
      </c>
      <c r="D218" s="5">
        <v>75.400000000000006</v>
      </c>
      <c r="E218" s="5">
        <v>532.4</v>
      </c>
      <c r="F218" s="5">
        <v>722.9</v>
      </c>
      <c r="G218" s="5">
        <v>17856.5</v>
      </c>
      <c r="H218" s="5">
        <f t="shared" si="17"/>
        <v>4.0274659976232254E-3</v>
      </c>
      <c r="I218" s="5">
        <f t="shared" si="17"/>
        <v>-9.7622773679112724E-3</v>
      </c>
      <c r="J218" s="5">
        <f t="shared" si="17"/>
        <v>-1.2442698100851194E-2</v>
      </c>
      <c r="K218" s="5">
        <f t="shared" si="16"/>
        <v>-1.5939990623535353E-3</v>
      </c>
      <c r="L218" s="5">
        <f t="shared" si="16"/>
        <v>5.7739130434782291E-3</v>
      </c>
      <c r="M218" s="5">
        <f t="shared" si="16"/>
        <v>-2.0650014390741151E-3</v>
      </c>
      <c r="N218" s="5">
        <f t="shared" si="20"/>
        <v>2.7500604606140351E-3</v>
      </c>
      <c r="O218" s="5">
        <f t="shared" si="18"/>
        <v>-4.1377277848073102E-4</v>
      </c>
      <c r="P218" s="79">
        <f t="shared" si="19"/>
        <v>-1.2031858812204944E-3</v>
      </c>
    </row>
    <row r="219" spans="1:16">
      <c r="A219" s="73">
        <v>44970</v>
      </c>
      <c r="B219" s="45">
        <v>1493.4</v>
      </c>
      <c r="C219" s="105">
        <v>1306.45</v>
      </c>
      <c r="D219" s="5">
        <v>71.55</v>
      </c>
      <c r="E219" s="5">
        <v>534.45000000000005</v>
      </c>
      <c r="F219" s="5">
        <v>710.85</v>
      </c>
      <c r="G219" s="5">
        <v>17770.900000000001</v>
      </c>
      <c r="H219" s="5">
        <f t="shared" si="17"/>
        <v>-1.7952258828171207E-2</v>
      </c>
      <c r="I219" s="5">
        <f t="shared" si="17"/>
        <v>-1.6819686935580908E-2</v>
      </c>
      <c r="J219" s="5">
        <f t="shared" si="17"/>
        <v>-5.1061007957559794E-2</v>
      </c>
      <c r="K219" s="5">
        <f t="shared" si="16"/>
        <v>3.8504883546207143E-3</v>
      </c>
      <c r="L219" s="5">
        <f t="shared" si="16"/>
        <v>-1.6668972195324327E-2</v>
      </c>
      <c r="M219" s="5">
        <f t="shared" si="16"/>
        <v>-4.7937725758126475E-3</v>
      </c>
      <c r="N219" s="5">
        <f t="shared" si="20"/>
        <v>-1.5172495125234111E-2</v>
      </c>
      <c r="O219" s="5">
        <f t="shared" si="18"/>
        <v>-8.1471782018782222E-3</v>
      </c>
      <c r="P219" s="79">
        <f t="shared" si="19"/>
        <v>-1.1204714942420717E-2</v>
      </c>
    </row>
    <row r="220" spans="1:16">
      <c r="A220" s="73">
        <v>44971</v>
      </c>
      <c r="B220" s="45">
        <v>1501.9</v>
      </c>
      <c r="C220" s="105">
        <v>1320.6</v>
      </c>
      <c r="D220" s="5">
        <v>71</v>
      </c>
      <c r="E220" s="5">
        <v>530</v>
      </c>
      <c r="F220" s="5">
        <v>713</v>
      </c>
      <c r="G220" s="5">
        <v>17929.849999999999</v>
      </c>
      <c r="H220" s="5">
        <f t="shared" si="17"/>
        <v>5.6917101915093075E-3</v>
      </c>
      <c r="I220" s="5">
        <f t="shared" si="17"/>
        <v>1.0830877568984548E-2</v>
      </c>
      <c r="J220" s="5">
        <f t="shared" si="17"/>
        <v>-7.6869322152340628E-3</v>
      </c>
      <c r="K220" s="5">
        <f t="shared" si="16"/>
        <v>-8.3263167742539911E-3</v>
      </c>
      <c r="L220" s="5">
        <f t="shared" si="16"/>
        <v>3.0245480762467148E-3</v>
      </c>
      <c r="M220" s="5">
        <f t="shared" si="16"/>
        <v>8.9443978639234412E-3</v>
      </c>
      <c r="N220" s="5">
        <f t="shared" si="20"/>
        <v>2.4846457990858528E-3</v>
      </c>
      <c r="O220" s="5">
        <f t="shared" si="18"/>
        <v>-1.0550131323757608E-3</v>
      </c>
      <c r="P220" s="79">
        <f t="shared" si="19"/>
        <v>1.7294305904586645E-4</v>
      </c>
    </row>
    <row r="221" spans="1:16">
      <c r="A221" s="73">
        <v>44972</v>
      </c>
      <c r="B221" s="45">
        <v>1475.5</v>
      </c>
      <c r="C221" s="105">
        <v>1347.45</v>
      </c>
      <c r="D221" s="5">
        <v>71.75</v>
      </c>
      <c r="E221" s="5">
        <v>534.85</v>
      </c>
      <c r="F221" s="5">
        <v>729.95</v>
      </c>
      <c r="G221" s="5">
        <v>18015.849999999999</v>
      </c>
      <c r="H221" s="5">
        <f t="shared" si="17"/>
        <v>-1.7577734869165782E-2</v>
      </c>
      <c r="I221" s="5">
        <f t="shared" si="17"/>
        <v>2.0331667423898334E-2</v>
      </c>
      <c r="J221" s="5">
        <f t="shared" si="17"/>
        <v>1.0563380281690141E-2</v>
      </c>
      <c r="K221" s="5">
        <f t="shared" si="16"/>
        <v>9.1509433962264578E-3</v>
      </c>
      <c r="L221" s="5">
        <f t="shared" si="16"/>
        <v>2.3772791023842981E-2</v>
      </c>
      <c r="M221" s="5">
        <f t="shared" si="16"/>
        <v>4.7964706899388454E-3</v>
      </c>
      <c r="N221" s="5">
        <f t="shared" si="20"/>
        <v>8.7871486346294252E-3</v>
      </c>
      <c r="O221" s="5">
        <f t="shared" si="18"/>
        <v>6.6183290525466886E-4</v>
      </c>
      <c r="P221" s="79">
        <f t="shared" si="19"/>
        <v>5.5031517704690188E-4</v>
      </c>
    </row>
    <row r="222" spans="1:16">
      <c r="A222" s="73">
        <v>44973</v>
      </c>
      <c r="B222" s="45">
        <v>1450.05</v>
      </c>
      <c r="C222" s="105">
        <v>1363.1</v>
      </c>
      <c r="D222" s="5">
        <v>72.95</v>
      </c>
      <c r="E222" s="5">
        <v>535.6</v>
      </c>
      <c r="F222" s="5">
        <v>759.45</v>
      </c>
      <c r="G222" s="5">
        <v>18035.849999999999</v>
      </c>
      <c r="H222" s="5">
        <f t="shared" si="17"/>
        <v>-1.7248390376143712E-2</v>
      </c>
      <c r="I222" s="5">
        <f t="shared" si="17"/>
        <v>1.1614531151434088E-2</v>
      </c>
      <c r="J222" s="5">
        <f t="shared" si="17"/>
        <v>1.6724738675958226E-2</v>
      </c>
      <c r="K222" s="5">
        <f t="shared" si="16"/>
        <v>1.4022623165373469E-3</v>
      </c>
      <c r="L222" s="5">
        <f t="shared" si="16"/>
        <v>4.0413726967600518E-2</v>
      </c>
      <c r="M222" s="5">
        <f t="shared" si="16"/>
        <v>1.1101335768226312E-3</v>
      </c>
      <c r="N222" s="5">
        <f t="shared" si="20"/>
        <v>1.5275369219590232E-2</v>
      </c>
      <c r="O222" s="5">
        <f t="shared" si="18"/>
        <v>-3.2565905516815019E-3</v>
      </c>
      <c r="P222" s="79">
        <f t="shared" si="19"/>
        <v>-3.1690131907661486E-3</v>
      </c>
    </row>
    <row r="223" spans="1:16">
      <c r="A223" s="73">
        <v>44974</v>
      </c>
      <c r="B223" s="45">
        <v>1440.05</v>
      </c>
      <c r="C223" s="105">
        <v>1360.65</v>
      </c>
      <c r="D223" s="5">
        <v>72.400000000000006</v>
      </c>
      <c r="E223" s="5">
        <v>534.5</v>
      </c>
      <c r="F223" s="5">
        <v>758.75</v>
      </c>
      <c r="G223" s="5">
        <v>17944.2</v>
      </c>
      <c r="H223" s="5">
        <f t="shared" si="17"/>
        <v>-6.8963139202096483E-3</v>
      </c>
      <c r="I223" s="5">
        <f t="shared" si="17"/>
        <v>-1.7973736336290942E-3</v>
      </c>
      <c r="J223" s="5">
        <f t="shared" si="17"/>
        <v>-7.5394105551747376E-3</v>
      </c>
      <c r="K223" s="5">
        <f t="shared" si="16"/>
        <v>-2.0537714712472416E-3</v>
      </c>
      <c r="L223" s="5">
        <f t="shared" si="16"/>
        <v>-9.2171966554749547E-4</v>
      </c>
      <c r="M223" s="5">
        <f t="shared" si="16"/>
        <v>-5.0815459210404737E-3</v>
      </c>
      <c r="N223" s="5">
        <f t="shared" si="20"/>
        <v>-3.1031369948998628E-3</v>
      </c>
      <c r="O223" s="5">
        <f t="shared" si="18"/>
        <v>-3.9502975423225629E-3</v>
      </c>
      <c r="P223" s="79">
        <f t="shared" si="19"/>
        <v>-4.2288395252082925E-3</v>
      </c>
    </row>
    <row r="224" spans="1:16">
      <c r="A224" s="73">
        <v>44977</v>
      </c>
      <c r="B224" s="45">
        <v>1434.05</v>
      </c>
      <c r="C224" s="105">
        <v>1343.85</v>
      </c>
      <c r="D224" s="5">
        <v>71.650000000000006</v>
      </c>
      <c r="E224" s="5">
        <v>535</v>
      </c>
      <c r="F224" s="5">
        <v>749.7</v>
      </c>
      <c r="G224" s="5">
        <v>17844.599999999999</v>
      </c>
      <c r="H224" s="5">
        <f t="shared" si="17"/>
        <v>-4.1665219957640358E-3</v>
      </c>
      <c r="I224" s="5">
        <f t="shared" si="17"/>
        <v>-1.2347040017638762E-2</v>
      </c>
      <c r="J224" s="5">
        <f t="shared" si="17"/>
        <v>-1.0359116022099447E-2</v>
      </c>
      <c r="K224" s="5">
        <f t="shared" si="16"/>
        <v>9.3545369504209543E-4</v>
      </c>
      <c r="L224" s="5">
        <f t="shared" si="16"/>
        <v>-1.1927512355848375E-2</v>
      </c>
      <c r="M224" s="5">
        <f t="shared" si="16"/>
        <v>-5.5505400073562585E-3</v>
      </c>
      <c r="N224" s="5">
        <f t="shared" si="20"/>
        <v>-7.8207811409542541E-3</v>
      </c>
      <c r="O224" s="5">
        <f t="shared" si="18"/>
        <v>-2.8046595425650534E-3</v>
      </c>
      <c r="P224" s="79">
        <f t="shared" si="19"/>
        <v>-3.8270098144565414E-3</v>
      </c>
    </row>
    <row r="225" spans="1:16">
      <c r="A225" s="73">
        <v>44978</v>
      </c>
      <c r="B225" s="45">
        <v>1412.8</v>
      </c>
      <c r="C225" s="105">
        <v>1338.1</v>
      </c>
      <c r="D225" s="5">
        <v>70.75</v>
      </c>
      <c r="E225" s="5">
        <v>535.15</v>
      </c>
      <c r="F225" s="5">
        <v>745.05</v>
      </c>
      <c r="G225" s="5">
        <v>17826.7</v>
      </c>
      <c r="H225" s="5">
        <f t="shared" si="17"/>
        <v>-1.4818172309194241E-2</v>
      </c>
      <c r="I225" s="5">
        <f t="shared" si="17"/>
        <v>-4.2787513487368388E-3</v>
      </c>
      <c r="J225" s="5">
        <f t="shared" si="17"/>
        <v>-1.2561060711793519E-2</v>
      </c>
      <c r="K225" s="5">
        <f t="shared" si="16"/>
        <v>2.8037383177565843E-4</v>
      </c>
      <c r="L225" s="5">
        <f t="shared" si="16"/>
        <v>-6.2024809923970801E-3</v>
      </c>
      <c r="M225" s="5">
        <f t="shared" si="16"/>
        <v>-1.0031045806573316E-3</v>
      </c>
      <c r="N225" s="5">
        <f t="shared" si="20"/>
        <v>-7.9448677085242215E-3</v>
      </c>
      <c r="O225" s="5">
        <f t="shared" si="18"/>
        <v>-6.2436767289438394E-3</v>
      </c>
      <c r="P225" s="79">
        <f t="shared" si="19"/>
        <v>-7.1316036542422422E-3</v>
      </c>
    </row>
    <row r="226" spans="1:16">
      <c r="A226" s="73">
        <v>44979</v>
      </c>
      <c r="B226" s="45">
        <v>1424.9</v>
      </c>
      <c r="C226" s="105">
        <v>1343.85</v>
      </c>
      <c r="D226" s="5">
        <v>68.8</v>
      </c>
      <c r="E226" s="5">
        <v>533.20000000000005</v>
      </c>
      <c r="F226" s="5">
        <v>714.9</v>
      </c>
      <c r="G226" s="5">
        <v>17554.3</v>
      </c>
      <c r="H226" s="5">
        <f t="shared" si="17"/>
        <v>8.564552661381751E-3</v>
      </c>
      <c r="I226" s="5">
        <f t="shared" si="17"/>
        <v>4.2971377326059337E-3</v>
      </c>
      <c r="J226" s="5">
        <f t="shared" si="17"/>
        <v>-2.7561837455830428E-2</v>
      </c>
      <c r="K226" s="5">
        <f t="shared" si="16"/>
        <v>-3.6438381762121494E-3</v>
      </c>
      <c r="L226" s="5">
        <f t="shared" si="16"/>
        <v>-4.0467082746124393E-2</v>
      </c>
      <c r="M226" s="5">
        <f t="shared" si="16"/>
        <v>-1.5280450111349909E-2</v>
      </c>
      <c r="N226" s="5">
        <f t="shared" si="20"/>
        <v>-1.7477781993389015E-2</v>
      </c>
      <c r="O226" s="5">
        <f t="shared" si="18"/>
        <v>1.4914355956053714E-4</v>
      </c>
      <c r="P226" s="79">
        <f t="shared" si="19"/>
        <v>6.4014318960985118E-4</v>
      </c>
    </row>
    <row r="227" spans="1:16">
      <c r="A227" s="73">
        <v>44980</v>
      </c>
      <c r="B227" s="45">
        <v>1415.55</v>
      </c>
      <c r="C227" s="105">
        <v>1328.2</v>
      </c>
      <c r="D227" s="5">
        <v>68.95</v>
      </c>
      <c r="E227" s="5">
        <v>539.75</v>
      </c>
      <c r="F227" s="5">
        <v>711</v>
      </c>
      <c r="G227" s="5">
        <v>17511.25</v>
      </c>
      <c r="H227" s="5">
        <f t="shared" si="17"/>
        <v>-6.5618639904555659E-3</v>
      </c>
      <c r="I227" s="5">
        <f t="shared" si="17"/>
        <v>-1.1645644975257554E-2</v>
      </c>
      <c r="J227" s="5">
        <f t="shared" si="17"/>
        <v>2.1802325581396177E-3</v>
      </c>
      <c r="K227" s="5">
        <f t="shared" si="16"/>
        <v>1.2284321080269981E-2</v>
      </c>
      <c r="L227" s="5">
        <f t="shared" si="16"/>
        <v>-5.4553084347460871E-3</v>
      </c>
      <c r="M227" s="5">
        <f t="shared" si="16"/>
        <v>-2.4523905823643937E-3</v>
      </c>
      <c r="N227" s="5">
        <f t="shared" si="20"/>
        <v>-3.549645478331565E-3</v>
      </c>
      <c r="O227" s="5">
        <f t="shared" si="18"/>
        <v>2.37076519157301E-3</v>
      </c>
      <c r="P227" s="79">
        <f t="shared" si="19"/>
        <v>5.668972839037626E-4</v>
      </c>
    </row>
    <row r="228" spans="1:16">
      <c r="A228" s="73">
        <v>44981</v>
      </c>
      <c r="B228" s="45">
        <v>1420.35</v>
      </c>
      <c r="C228" s="105">
        <v>1305.55</v>
      </c>
      <c r="D228" s="5">
        <v>68.400000000000006</v>
      </c>
      <c r="E228" s="5">
        <v>534.9</v>
      </c>
      <c r="F228" s="5">
        <v>715.05</v>
      </c>
      <c r="G228" s="5">
        <v>17465.8</v>
      </c>
      <c r="H228" s="5">
        <f t="shared" si="17"/>
        <v>3.3909081275828863E-3</v>
      </c>
      <c r="I228" s="5">
        <f t="shared" si="17"/>
        <v>-1.7053154645384799E-2</v>
      </c>
      <c r="J228" s="5">
        <f t="shared" si="17"/>
        <v>-7.9767947788251942E-3</v>
      </c>
      <c r="K228" s="5">
        <f t="shared" si="16"/>
        <v>-8.9856415006948076E-3</v>
      </c>
      <c r="L228" s="5">
        <f t="shared" si="16"/>
        <v>5.6962025316455054E-3</v>
      </c>
      <c r="M228" s="5">
        <f t="shared" si="16"/>
        <v>-2.5954743379256609E-3</v>
      </c>
      <c r="N228" s="5">
        <f t="shared" si="20"/>
        <v>1.1588155255622672E-3</v>
      </c>
      <c r="O228" s="5">
        <f t="shared" si="18"/>
        <v>-4.8024480476739698E-3</v>
      </c>
      <c r="P228" s="79">
        <f t="shared" si="19"/>
        <v>-5.1752530269052735E-3</v>
      </c>
    </row>
    <row r="229" spans="1:16">
      <c r="A229" s="73">
        <v>44984</v>
      </c>
      <c r="B229" s="45">
        <v>1391.7</v>
      </c>
      <c r="C229" s="105">
        <v>1288.8499999999999</v>
      </c>
      <c r="D229" s="5">
        <v>67.099999999999994</v>
      </c>
      <c r="E229" s="5">
        <v>526.20000000000005</v>
      </c>
      <c r="F229" s="5">
        <v>704.2</v>
      </c>
      <c r="G229" s="5">
        <v>17392.7</v>
      </c>
      <c r="H229" s="5">
        <f t="shared" si="17"/>
        <v>-2.0171084591825865E-2</v>
      </c>
      <c r="I229" s="5">
        <f t="shared" si="17"/>
        <v>-1.2791543793803413E-2</v>
      </c>
      <c r="J229" s="5">
        <f t="shared" si="17"/>
        <v>-1.900584795321654E-2</v>
      </c>
      <c r="K229" s="5">
        <f t="shared" si="16"/>
        <v>-1.6264722378014455E-2</v>
      </c>
      <c r="L229" s="5">
        <f t="shared" si="16"/>
        <v>-1.517376407244236E-2</v>
      </c>
      <c r="M229" s="5">
        <f t="shared" si="16"/>
        <v>-4.1853221724741235E-3</v>
      </c>
      <c r="N229" s="5">
        <f t="shared" si="20"/>
        <v>-1.6771682795870598E-2</v>
      </c>
      <c r="O229" s="5">
        <f t="shared" si="18"/>
        <v>-1.7436644741825508E-2</v>
      </c>
      <c r="P229" s="79">
        <f t="shared" si="19"/>
        <v>-1.7427386915275959E-2</v>
      </c>
    </row>
    <row r="230" spans="1:16">
      <c r="A230" s="73">
        <v>44985</v>
      </c>
      <c r="B230" s="45">
        <v>1411.15</v>
      </c>
      <c r="C230" s="105">
        <v>1278.1500000000001</v>
      </c>
      <c r="D230" s="5">
        <v>69.8</v>
      </c>
      <c r="E230" s="5">
        <v>532.6</v>
      </c>
      <c r="F230" s="5">
        <v>719.55</v>
      </c>
      <c r="G230" s="5">
        <v>17303.95</v>
      </c>
      <c r="H230" s="5">
        <f t="shared" si="17"/>
        <v>1.3975713156571132E-2</v>
      </c>
      <c r="I230" s="5">
        <f t="shared" si="17"/>
        <v>-8.3019746285446869E-3</v>
      </c>
      <c r="J230" s="5">
        <f t="shared" si="17"/>
        <v>4.0238450074515694E-2</v>
      </c>
      <c r="K230" s="5">
        <f t="shared" si="16"/>
        <v>1.2162675788673465E-2</v>
      </c>
      <c r="L230" s="5">
        <f t="shared" si="16"/>
        <v>2.1797784720249798E-2</v>
      </c>
      <c r="M230" s="5">
        <f t="shared" si="16"/>
        <v>-5.1027155070805562E-3</v>
      </c>
      <c r="N230" s="5">
        <f t="shared" si="20"/>
        <v>1.6684256484638504E-2</v>
      </c>
      <c r="O230" s="5">
        <f t="shared" si="18"/>
        <v>1.1894986838188858E-2</v>
      </c>
      <c r="P230" s="79">
        <f t="shared" si="19"/>
        <v>1.1529549982066867E-2</v>
      </c>
    </row>
    <row r="231" spans="1:16">
      <c r="A231" s="73">
        <v>44986</v>
      </c>
      <c r="B231" s="45">
        <v>1419.15</v>
      </c>
      <c r="C231" s="105">
        <v>1291.5</v>
      </c>
      <c r="D231" s="5">
        <v>72.8</v>
      </c>
      <c r="E231" s="5">
        <v>527.25</v>
      </c>
      <c r="F231" s="5">
        <v>739.45</v>
      </c>
      <c r="G231" s="5">
        <v>17450.900000000001</v>
      </c>
      <c r="H231" s="5">
        <f t="shared" si="17"/>
        <v>5.6691351025759127E-3</v>
      </c>
      <c r="I231" s="5">
        <f t="shared" si="17"/>
        <v>1.0444783476117755E-2</v>
      </c>
      <c r="J231" s="5">
        <f t="shared" si="17"/>
        <v>4.2979942693409746E-2</v>
      </c>
      <c r="K231" s="5">
        <f t="shared" si="16"/>
        <v>-1.0045061960195311E-2</v>
      </c>
      <c r="L231" s="5">
        <f t="shared" si="16"/>
        <v>2.7656173997637541E-2</v>
      </c>
      <c r="M231" s="5">
        <f t="shared" si="16"/>
        <v>8.4922806642414427E-3</v>
      </c>
      <c r="N231" s="5">
        <f t="shared" si="20"/>
        <v>1.5192725975710759E-2</v>
      </c>
      <c r="O231" s="5">
        <f t="shared" si="18"/>
        <v>1.0385564553629122E-5</v>
      </c>
      <c r="P231" s="79">
        <f t="shared" si="19"/>
        <v>2.6165260051132103E-3</v>
      </c>
    </row>
    <row r="232" spans="1:16">
      <c r="A232" s="73">
        <v>44987</v>
      </c>
      <c r="B232" s="45">
        <v>1387</v>
      </c>
      <c r="C232" s="105">
        <v>1284.95</v>
      </c>
      <c r="D232" s="5">
        <v>74.8</v>
      </c>
      <c r="E232" s="5">
        <v>530.1</v>
      </c>
      <c r="F232" s="5">
        <v>724.75</v>
      </c>
      <c r="G232" s="5">
        <v>17321.900000000001</v>
      </c>
      <c r="H232" s="5">
        <f t="shared" si="17"/>
        <v>-2.2654405806292563E-2</v>
      </c>
      <c r="I232" s="5">
        <f t="shared" si="17"/>
        <v>-5.0716221447928414E-3</v>
      </c>
      <c r="J232" s="5">
        <f t="shared" si="17"/>
        <v>2.7472527472527472E-2</v>
      </c>
      <c r="K232" s="5">
        <f t="shared" si="16"/>
        <v>5.4054054054054482E-3</v>
      </c>
      <c r="L232" s="5">
        <f t="shared" si="16"/>
        <v>-1.9879640273176069E-2</v>
      </c>
      <c r="M232" s="5">
        <f t="shared" si="16"/>
        <v>-7.392168885272392E-3</v>
      </c>
      <c r="N232" s="5">
        <f t="shared" si="20"/>
        <v>-1.50217493859892E-2</v>
      </c>
      <c r="O232" s="5">
        <f t="shared" si="18"/>
        <v>-5.939250748742215E-3</v>
      </c>
      <c r="P232" s="79">
        <f t="shared" si="19"/>
        <v>-6.0577950893852409E-3</v>
      </c>
    </row>
    <row r="233" spans="1:16">
      <c r="A233" s="73">
        <v>44988</v>
      </c>
      <c r="B233" s="45">
        <v>1405.2</v>
      </c>
      <c r="C233" s="105">
        <v>1304.9000000000001</v>
      </c>
      <c r="D233" s="5">
        <v>74.7</v>
      </c>
      <c r="E233" s="5">
        <v>534.79999999999995</v>
      </c>
      <c r="F233" s="5">
        <v>731.75</v>
      </c>
      <c r="G233" s="5">
        <v>17594.349999999999</v>
      </c>
      <c r="H233" s="5">
        <f t="shared" si="17"/>
        <v>1.3121845710165858E-2</v>
      </c>
      <c r="I233" s="5">
        <f t="shared" si="17"/>
        <v>1.5525895949258761E-2</v>
      </c>
      <c r="J233" s="5">
        <f t="shared" si="17"/>
        <v>-1.3368983957218492E-3</v>
      </c>
      <c r="K233" s="5">
        <f t="shared" si="17"/>
        <v>8.8662516506318265E-3</v>
      </c>
      <c r="L233" s="5">
        <f t="shared" si="17"/>
        <v>9.6585029320455321E-3</v>
      </c>
      <c r="M233" s="5">
        <f t="shared" si="17"/>
        <v>1.5728644086387581E-2</v>
      </c>
      <c r="N233" s="5">
        <f t="shared" si="20"/>
        <v>1.0672377384439501E-2</v>
      </c>
      <c r="O233" s="5">
        <f t="shared" si="18"/>
        <v>1.0807773867510188E-2</v>
      </c>
      <c r="P233" s="79">
        <f t="shared" si="19"/>
        <v>1.0938640027871134E-2</v>
      </c>
    </row>
    <row r="234" spans="1:16">
      <c r="A234" s="73">
        <v>44991</v>
      </c>
      <c r="B234" s="45">
        <v>1420.6</v>
      </c>
      <c r="C234" s="105">
        <v>1325.4</v>
      </c>
      <c r="D234" s="5">
        <v>74.900000000000006</v>
      </c>
      <c r="E234" s="5">
        <v>537</v>
      </c>
      <c r="F234" s="5">
        <v>732.7</v>
      </c>
      <c r="G234" s="5">
        <v>17711.45</v>
      </c>
      <c r="H234" s="5">
        <f t="shared" ref="H234:M276" si="21">(B234 - B233) / B233</f>
        <v>1.0959294050668847E-2</v>
      </c>
      <c r="I234" s="5">
        <f t="shared" si="21"/>
        <v>1.5710016093187215E-2</v>
      </c>
      <c r="J234" s="5">
        <f t="shared" si="21"/>
        <v>2.677376171352113E-3</v>
      </c>
      <c r="K234" s="5">
        <f t="shared" si="21"/>
        <v>4.1136873597607433E-3</v>
      </c>
      <c r="L234" s="5">
        <f t="shared" si="21"/>
        <v>1.2982576016399665E-3</v>
      </c>
      <c r="M234" s="5">
        <f t="shared" si="21"/>
        <v>6.6555456723324359E-3</v>
      </c>
      <c r="N234" s="5">
        <f t="shared" si="20"/>
        <v>5.5485375296578906E-3</v>
      </c>
      <c r="O234" s="5">
        <f t="shared" si="18"/>
        <v>7.6409629004047675E-3</v>
      </c>
      <c r="P234" s="79">
        <f t="shared" si="19"/>
        <v>8.4338553482927528E-3</v>
      </c>
    </row>
    <row r="235" spans="1:16">
      <c r="A235" s="73">
        <v>44993</v>
      </c>
      <c r="B235" s="45">
        <v>1431.05</v>
      </c>
      <c r="C235" s="105">
        <v>1342.55</v>
      </c>
      <c r="D235" s="5">
        <v>78.05</v>
      </c>
      <c r="E235" s="5">
        <v>531.85</v>
      </c>
      <c r="F235" s="5">
        <v>741.3</v>
      </c>
      <c r="G235" s="5">
        <v>17754.400000000001</v>
      </c>
      <c r="H235" s="5">
        <f t="shared" si="21"/>
        <v>7.3560467408137729E-3</v>
      </c>
      <c r="I235" s="5">
        <f t="shared" si="21"/>
        <v>1.2939489965293392E-2</v>
      </c>
      <c r="J235" s="5">
        <f t="shared" si="21"/>
        <v>4.205607476635502E-2</v>
      </c>
      <c r="K235" s="5">
        <f t="shared" si="21"/>
        <v>-9.5903165735567539E-3</v>
      </c>
      <c r="L235" s="5">
        <f t="shared" si="21"/>
        <v>1.1737409581001649E-2</v>
      </c>
      <c r="M235" s="5">
        <f t="shared" si="21"/>
        <v>2.4249849673516695E-3</v>
      </c>
      <c r="N235" s="5">
        <f t="shared" si="20"/>
        <v>8.3893120597089352E-3</v>
      </c>
      <c r="O235" s="5">
        <f t="shared" si="18"/>
        <v>7.1058219605011871E-4</v>
      </c>
      <c r="P235" s="79">
        <f t="shared" si="19"/>
        <v>3.6541467946706184E-3</v>
      </c>
    </row>
    <row r="236" spans="1:16">
      <c r="A236" s="73">
        <v>44994</v>
      </c>
      <c r="B236" s="45">
        <v>1421</v>
      </c>
      <c r="C236" s="105">
        <v>1335</v>
      </c>
      <c r="D236" s="5">
        <v>77.400000000000006</v>
      </c>
      <c r="E236" s="5">
        <v>526.65</v>
      </c>
      <c r="F236" s="5">
        <v>734.8</v>
      </c>
      <c r="G236" s="5">
        <v>17589.599999999999</v>
      </c>
      <c r="H236" s="5">
        <f t="shared" si="21"/>
        <v>-7.0228154152545018E-3</v>
      </c>
      <c r="I236" s="5">
        <f t="shared" si="21"/>
        <v>-5.6236266805705223E-3</v>
      </c>
      <c r="J236" s="5">
        <f t="shared" si="21"/>
        <v>-8.3279948750799686E-3</v>
      </c>
      <c r="K236" s="5">
        <f t="shared" si="21"/>
        <v>-9.7771928175238235E-3</v>
      </c>
      <c r="L236" s="5">
        <f t="shared" si="21"/>
        <v>-8.7683798731957377E-3</v>
      </c>
      <c r="M236" s="5">
        <f t="shared" si="21"/>
        <v>-9.2822061010230088E-3</v>
      </c>
      <c r="N236" s="5">
        <f t="shared" si="20"/>
        <v>-8.1684882698378619E-3</v>
      </c>
      <c r="O236" s="5">
        <f t="shared" si="18"/>
        <v>-8.3026280376444859E-3</v>
      </c>
      <c r="P236" s="79">
        <f t="shared" si="19"/>
        <v>-7.9797864156869094E-3</v>
      </c>
    </row>
    <row r="237" spans="1:16">
      <c r="A237" s="73">
        <v>44995</v>
      </c>
      <c r="B237" s="45">
        <v>1420</v>
      </c>
      <c r="C237" s="105">
        <v>1341</v>
      </c>
      <c r="D237" s="5">
        <v>77</v>
      </c>
      <c r="E237" s="5">
        <v>529.95000000000005</v>
      </c>
      <c r="F237" s="5">
        <v>722.3</v>
      </c>
      <c r="G237" s="5">
        <v>17412.900000000001</v>
      </c>
      <c r="H237" s="5">
        <f t="shared" si="21"/>
        <v>-7.0372976776917663E-4</v>
      </c>
      <c r="I237" s="5">
        <f t="shared" si="21"/>
        <v>4.4943820224719105E-3</v>
      </c>
      <c r="J237" s="5">
        <f t="shared" si="21"/>
        <v>-5.1679586563308224E-3</v>
      </c>
      <c r="K237" s="5">
        <f t="shared" si="21"/>
        <v>6.266021076616478E-3</v>
      </c>
      <c r="L237" s="5">
        <f t="shared" si="21"/>
        <v>-1.7011431682090367E-2</v>
      </c>
      <c r="M237" s="5">
        <f t="shared" si="21"/>
        <v>-1.004570882794362E-2</v>
      </c>
      <c r="N237" s="5">
        <f t="shared" si="20"/>
        <v>-7.2241207157674042E-3</v>
      </c>
      <c r="O237" s="5">
        <f t="shared" si="18"/>
        <v>2.6814551835071779E-3</v>
      </c>
      <c r="P237" s="79">
        <f t="shared" si="19"/>
        <v>2.4139727405652735E-3</v>
      </c>
    </row>
    <row r="238" spans="1:16">
      <c r="A238" s="73">
        <v>44998</v>
      </c>
      <c r="B238" s="45">
        <v>1416.05</v>
      </c>
      <c r="C238" s="105">
        <v>1324.1</v>
      </c>
      <c r="D238" s="5">
        <v>74.25</v>
      </c>
      <c r="E238" s="5">
        <v>523.54999999999995</v>
      </c>
      <c r="F238" s="5">
        <v>704.75</v>
      </c>
      <c r="G238" s="5">
        <v>17154.3</v>
      </c>
      <c r="H238" s="5">
        <f t="shared" si="21"/>
        <v>-2.7816901408451024E-3</v>
      </c>
      <c r="I238" s="5">
        <f t="shared" si="21"/>
        <v>-1.2602535421327436E-2</v>
      </c>
      <c r="J238" s="5">
        <f t="shared" si="21"/>
        <v>-3.5714285714285712E-2</v>
      </c>
      <c r="K238" s="5">
        <f t="shared" si="21"/>
        <v>-1.2076611001038004E-2</v>
      </c>
      <c r="L238" s="5">
        <f t="shared" si="21"/>
        <v>-2.4297383358715154E-2</v>
      </c>
      <c r="M238" s="5">
        <f t="shared" si="21"/>
        <v>-1.4851058697862055E-2</v>
      </c>
      <c r="N238" s="5">
        <f t="shared" si="20"/>
        <v>-1.5719441338490046E-2</v>
      </c>
      <c r="O238" s="5">
        <f t="shared" si="18"/>
        <v>-9.6041637039334347E-3</v>
      </c>
      <c r="P238" s="79">
        <f t="shared" si="19"/>
        <v>-1.0002630310201427E-2</v>
      </c>
    </row>
    <row r="239" spans="1:16">
      <c r="A239" s="73">
        <v>44999</v>
      </c>
      <c r="B239" s="45">
        <v>1401.1</v>
      </c>
      <c r="C239" s="105">
        <v>1337.8</v>
      </c>
      <c r="D239" s="5">
        <v>74.8</v>
      </c>
      <c r="E239" s="5">
        <v>526.5</v>
      </c>
      <c r="F239" s="5">
        <v>682.4</v>
      </c>
      <c r="G239" s="5">
        <v>17043.3</v>
      </c>
      <c r="H239" s="5">
        <f t="shared" si="21"/>
        <v>-1.0557536810140917E-2</v>
      </c>
      <c r="I239" s="5">
        <f t="shared" si="21"/>
        <v>1.0346650555094062E-2</v>
      </c>
      <c r="J239" s="5">
        <f t="shared" si="21"/>
        <v>7.4074074074073695E-3</v>
      </c>
      <c r="K239" s="5">
        <f t="shared" si="21"/>
        <v>5.6346098748926475E-3</v>
      </c>
      <c r="L239" s="5">
        <f t="shared" si="21"/>
        <v>-3.1713373536715182E-2</v>
      </c>
      <c r="M239" s="5">
        <f t="shared" si="21"/>
        <v>-6.4706808205522819E-3</v>
      </c>
      <c r="N239" s="5">
        <f t="shared" si="20"/>
        <v>-1.6486457553565981E-2</v>
      </c>
      <c r="O239" s="5">
        <f t="shared" si="18"/>
        <v>-7.0829797338819328E-4</v>
      </c>
      <c r="P239" s="79">
        <f t="shared" si="19"/>
        <v>-1.8491530971784001E-4</v>
      </c>
    </row>
    <row r="240" spans="1:16">
      <c r="A240" s="73">
        <v>45000</v>
      </c>
      <c r="B240" s="45">
        <v>1408.7</v>
      </c>
      <c r="C240" s="105">
        <v>1321.25</v>
      </c>
      <c r="D240" s="5">
        <v>75.099999999999994</v>
      </c>
      <c r="E240" s="5">
        <v>521.85</v>
      </c>
      <c r="F240" s="5">
        <v>669.95</v>
      </c>
      <c r="G240" s="5">
        <v>16972.150000000001</v>
      </c>
      <c r="H240" s="5">
        <f t="shared" si="21"/>
        <v>5.4243094711299246E-3</v>
      </c>
      <c r="I240" s="5">
        <f t="shared" si="21"/>
        <v>-1.237105695918669E-2</v>
      </c>
      <c r="J240" s="5">
        <f t="shared" si="21"/>
        <v>4.0106951871657377E-3</v>
      </c>
      <c r="K240" s="5">
        <f t="shared" si="21"/>
        <v>-8.8319088319087895E-3</v>
      </c>
      <c r="L240" s="5">
        <f t="shared" si="21"/>
        <v>-1.824443141852276E-2</v>
      </c>
      <c r="M240" s="5">
        <f t="shared" si="21"/>
        <v>-4.1746610104849311E-3</v>
      </c>
      <c r="N240" s="5">
        <f t="shared" si="20"/>
        <v>-8.8782217707834583E-3</v>
      </c>
      <c r="O240" s="5">
        <f t="shared" si="18"/>
        <v>-3.7375854797855705E-3</v>
      </c>
      <c r="P240" s="79">
        <f t="shared" si="19"/>
        <v>-3.089120204326579E-3</v>
      </c>
    </row>
    <row r="241" spans="1:16">
      <c r="A241" s="73">
        <v>45001</v>
      </c>
      <c r="B241" s="45">
        <v>1407.9</v>
      </c>
      <c r="C241" s="105">
        <v>1336.35</v>
      </c>
      <c r="D241" s="5">
        <v>75.599999999999994</v>
      </c>
      <c r="E241" s="5">
        <v>534.5</v>
      </c>
      <c r="F241" s="5">
        <v>664.15</v>
      </c>
      <c r="G241" s="5">
        <v>16985.599999999999</v>
      </c>
      <c r="H241" s="5">
        <f t="shared" si="21"/>
        <v>-5.678994817916906E-4</v>
      </c>
      <c r="I241" s="5">
        <f t="shared" si="21"/>
        <v>1.1428571428571359E-2</v>
      </c>
      <c r="J241" s="5">
        <f t="shared" si="21"/>
        <v>6.6577896138482031E-3</v>
      </c>
      <c r="K241" s="5">
        <f t="shared" si="21"/>
        <v>2.4240682188368261E-2</v>
      </c>
      <c r="L241" s="5">
        <f t="shared" si="21"/>
        <v>-8.6573624897381407E-3</v>
      </c>
      <c r="M241" s="5">
        <f t="shared" si="21"/>
        <v>7.9247473066153013E-4</v>
      </c>
      <c r="N241" s="5">
        <f t="shared" si="20"/>
        <v>-1.5064988165183757E-5</v>
      </c>
      <c r="O241" s="5">
        <f t="shared" si="18"/>
        <v>1.2620038560779912E-2</v>
      </c>
      <c r="P241" s="79">
        <f t="shared" si="19"/>
        <v>1.1299633366249329E-2</v>
      </c>
    </row>
    <row r="242" spans="1:16">
      <c r="A242" s="73">
        <v>45002</v>
      </c>
      <c r="B242" s="45">
        <v>1418.7</v>
      </c>
      <c r="C242" s="105">
        <v>1356.2</v>
      </c>
      <c r="D242" s="5">
        <v>76.3</v>
      </c>
      <c r="E242" s="5">
        <v>536.15</v>
      </c>
      <c r="F242" s="5">
        <v>667.35</v>
      </c>
      <c r="G242" s="5">
        <v>17100.05</v>
      </c>
      <c r="H242" s="5">
        <f t="shared" si="21"/>
        <v>7.6709993607500205E-3</v>
      </c>
      <c r="I242" s="5">
        <f t="shared" si="21"/>
        <v>1.485389306693616E-2</v>
      </c>
      <c r="J242" s="5">
        <f t="shared" si="21"/>
        <v>9.2592592592592969E-3</v>
      </c>
      <c r="K242" s="5">
        <f t="shared" si="21"/>
        <v>3.0869971936388725E-3</v>
      </c>
      <c r="L242" s="5">
        <f t="shared" si="21"/>
        <v>4.8181886621998732E-3</v>
      </c>
      <c r="M242" s="5">
        <f t="shared" si="21"/>
        <v>6.7380604747551299E-3</v>
      </c>
      <c r="N242" s="5">
        <f t="shared" si="20"/>
        <v>6.202672866224699E-3</v>
      </c>
      <c r="O242" s="5">
        <f t="shared" si="18"/>
        <v>6.1029238184647531E-3</v>
      </c>
      <c r="P242" s="79">
        <f t="shared" si="19"/>
        <v>7.0307147770021792E-3</v>
      </c>
    </row>
    <row r="243" spans="1:16">
      <c r="A243" s="73">
        <v>45005</v>
      </c>
      <c r="B243" s="45">
        <v>1399.85</v>
      </c>
      <c r="C243" s="105">
        <v>1344.45</v>
      </c>
      <c r="D243" s="5">
        <v>74.25</v>
      </c>
      <c r="E243" s="5">
        <v>537.1</v>
      </c>
      <c r="F243" s="5">
        <v>657.1</v>
      </c>
      <c r="G243" s="5">
        <v>16988.400000000001</v>
      </c>
      <c r="H243" s="5">
        <f t="shared" si="21"/>
        <v>-1.3286811870021946E-2</v>
      </c>
      <c r="I243" s="5">
        <f t="shared" si="21"/>
        <v>-8.6639138770092904E-3</v>
      </c>
      <c r="J243" s="5">
        <f t="shared" si="21"/>
        <v>-2.6867627785058943E-2</v>
      </c>
      <c r="K243" s="5">
        <f t="shared" si="21"/>
        <v>1.7718921943486814E-3</v>
      </c>
      <c r="L243" s="5">
        <f t="shared" si="21"/>
        <v>-1.5359256761819136E-2</v>
      </c>
      <c r="M243" s="5">
        <f t="shared" si="21"/>
        <v>-6.5292206747932209E-3</v>
      </c>
      <c r="N243" s="5">
        <f t="shared" si="20"/>
        <v>-1.2265839882239078E-2</v>
      </c>
      <c r="O243" s="5">
        <f t="shared" si="18"/>
        <v>-5.9633626741858034E-3</v>
      </c>
      <c r="P243" s="79">
        <f t="shared" si="19"/>
        <v>-7.5229350729299005E-3</v>
      </c>
    </row>
    <row r="244" spans="1:16">
      <c r="A244" s="73">
        <v>45006</v>
      </c>
      <c r="B244" s="45">
        <v>1406.25</v>
      </c>
      <c r="C244" s="105">
        <v>1321.55</v>
      </c>
      <c r="D244" s="5">
        <v>75.849999999999994</v>
      </c>
      <c r="E244" s="5">
        <v>532.29999999999995</v>
      </c>
      <c r="F244" s="5">
        <v>670.25</v>
      </c>
      <c r="G244" s="5">
        <v>17107.5</v>
      </c>
      <c r="H244" s="5">
        <f t="shared" si="21"/>
        <v>4.5719184198307616E-3</v>
      </c>
      <c r="I244" s="5">
        <f t="shared" si="21"/>
        <v>-1.7032987466994005E-2</v>
      </c>
      <c r="J244" s="5">
        <f t="shared" si="21"/>
        <v>2.1548821548821474E-2</v>
      </c>
      <c r="K244" s="5">
        <f t="shared" si="21"/>
        <v>-8.9368832619625173E-3</v>
      </c>
      <c r="L244" s="5">
        <f t="shared" si="21"/>
        <v>2.0012174707046075E-2</v>
      </c>
      <c r="M244" s="5">
        <f t="shared" si="21"/>
        <v>7.0106661015751064E-3</v>
      </c>
      <c r="N244" s="5">
        <f t="shared" si="20"/>
        <v>9.0645139746433224E-3</v>
      </c>
      <c r="O244" s="5">
        <f t="shared" si="18"/>
        <v>-3.2069797962381427E-3</v>
      </c>
      <c r="P244" s="79">
        <f t="shared" si="19"/>
        <v>-2.8360026951489304E-3</v>
      </c>
    </row>
    <row r="245" spans="1:16">
      <c r="A245" s="73">
        <v>45007</v>
      </c>
      <c r="B245" s="45">
        <v>1410.05</v>
      </c>
      <c r="C245" s="105">
        <v>1329.5</v>
      </c>
      <c r="D245" s="5">
        <v>74.2</v>
      </c>
      <c r="E245" s="5">
        <v>540.15</v>
      </c>
      <c r="F245" s="5">
        <v>672</v>
      </c>
      <c r="G245" s="5">
        <v>17151.900000000001</v>
      </c>
      <c r="H245" s="5">
        <f t="shared" si="21"/>
        <v>2.7022222222221901E-3</v>
      </c>
      <c r="I245" s="5">
        <f t="shared" si="21"/>
        <v>6.0156634255230943E-3</v>
      </c>
      <c r="J245" s="5">
        <f t="shared" si="21"/>
        <v>-2.1753460777850911E-2</v>
      </c>
      <c r="K245" s="5">
        <f t="shared" si="21"/>
        <v>1.4747322938192793E-2</v>
      </c>
      <c r="L245" s="5">
        <f t="shared" si="21"/>
        <v>2.6109660574412533E-3</v>
      </c>
      <c r="M245" s="5">
        <f t="shared" si="21"/>
        <v>2.5953529153880726E-3</v>
      </c>
      <c r="N245" s="5">
        <f t="shared" si="20"/>
        <v>3.868525521948316E-3</v>
      </c>
      <c r="O245" s="5">
        <f t="shared" si="18"/>
        <v>8.184743872084314E-3</v>
      </c>
      <c r="P245" s="79">
        <f t="shared" si="19"/>
        <v>6.463629057602201E-3</v>
      </c>
    </row>
    <row r="246" spans="1:16">
      <c r="A246" s="73">
        <v>45008</v>
      </c>
      <c r="B246" s="45">
        <v>1416.3</v>
      </c>
      <c r="C246" s="105">
        <v>1345.15</v>
      </c>
      <c r="D246" s="5">
        <v>74.3</v>
      </c>
      <c r="E246" s="5">
        <v>539.4</v>
      </c>
      <c r="F246" s="5">
        <v>659.55</v>
      </c>
      <c r="G246" s="5">
        <v>17076.900000000001</v>
      </c>
      <c r="H246" s="5">
        <f t="shared" si="21"/>
        <v>4.432466933796674E-3</v>
      </c>
      <c r="I246" s="5">
        <f t="shared" si="21"/>
        <v>1.1771342610003829E-2</v>
      </c>
      <c r="J246" s="5">
        <f t="shared" si="21"/>
        <v>1.3477088948786295E-3</v>
      </c>
      <c r="K246" s="5">
        <f t="shared" si="21"/>
        <v>-1.3885031935573452E-3</v>
      </c>
      <c r="L246" s="5">
        <f t="shared" si="21"/>
        <v>-1.852678571428578E-2</v>
      </c>
      <c r="M246" s="5">
        <f t="shared" si="21"/>
        <v>-4.3726934042292685E-3</v>
      </c>
      <c r="N246" s="5">
        <f t="shared" si="20"/>
        <v>-6.8035957135874209E-3</v>
      </c>
      <c r="O246" s="5">
        <f t="shared" si="18"/>
        <v>1.7013790331582217E-3</v>
      </c>
      <c r="P246" s="79">
        <f t="shared" si="19"/>
        <v>2.9020282204269563E-3</v>
      </c>
    </row>
    <row r="247" spans="1:16">
      <c r="A247" s="73">
        <v>45009</v>
      </c>
      <c r="B247" s="45">
        <v>1416.4</v>
      </c>
      <c r="C247" s="105">
        <v>1310.05</v>
      </c>
      <c r="D247" s="5">
        <v>71.8</v>
      </c>
      <c r="E247" s="5">
        <v>536.4</v>
      </c>
      <c r="F247" s="5">
        <v>639.25</v>
      </c>
      <c r="G247" s="5">
        <v>16945.05</v>
      </c>
      <c r="H247" s="5">
        <f t="shared" si="21"/>
        <v>7.0606509920310967E-5</v>
      </c>
      <c r="I247" s="5">
        <f t="shared" si="21"/>
        <v>-2.6093744192097635E-2</v>
      </c>
      <c r="J247" s="5">
        <f t="shared" si="21"/>
        <v>-3.3647375504710635E-2</v>
      </c>
      <c r="K247" s="5">
        <f t="shared" si="21"/>
        <v>-5.5617352614015575E-3</v>
      </c>
      <c r="L247" s="5">
        <f t="shared" si="21"/>
        <v>-3.0778561140171263E-2</v>
      </c>
      <c r="M247" s="5">
        <f t="shared" si="21"/>
        <v>-7.7209563796709103E-3</v>
      </c>
      <c r="N247" s="5">
        <f t="shared" si="20"/>
        <v>-1.7841640899125526E-2</v>
      </c>
      <c r="O247" s="5">
        <f t="shared" si="18"/>
        <v>-6.7436717499388139E-3</v>
      </c>
      <c r="P247" s="79">
        <f t="shared" si="19"/>
        <v>-8.2932507761785575E-3</v>
      </c>
    </row>
    <row r="248" spans="1:16">
      <c r="A248" s="73">
        <v>45012</v>
      </c>
      <c r="B248" s="45">
        <v>1399.3</v>
      </c>
      <c r="C248" s="105">
        <v>1328.45</v>
      </c>
      <c r="D248" s="5">
        <v>71.05</v>
      </c>
      <c r="E248" s="5">
        <v>541.45000000000005</v>
      </c>
      <c r="F248" s="5">
        <v>624.15</v>
      </c>
      <c r="G248" s="5">
        <v>16985.7</v>
      </c>
      <c r="H248" s="5">
        <f t="shared" si="21"/>
        <v>-1.2072860773792809E-2</v>
      </c>
      <c r="I248" s="5">
        <f t="shared" si="21"/>
        <v>1.4045265447883738E-2</v>
      </c>
      <c r="J248" s="5">
        <f t="shared" si="21"/>
        <v>-1.0445682451253482E-2</v>
      </c>
      <c r="K248" s="5">
        <f t="shared" si="21"/>
        <v>9.414615958240247E-3</v>
      </c>
      <c r="L248" s="5">
        <f t="shared" si="21"/>
        <v>-2.3621431364880756E-2</v>
      </c>
      <c r="M248" s="5">
        <f t="shared" si="21"/>
        <v>2.3989306611666215E-3</v>
      </c>
      <c r="N248" s="5">
        <f t="shared" si="20"/>
        <v>-1.2846526861534814E-2</v>
      </c>
      <c r="O248" s="5">
        <f t="shared" si="18"/>
        <v>6.020991253593307E-4</v>
      </c>
      <c r="P248" s="79">
        <f t="shared" si="19"/>
        <v>2.6194237155625943E-4</v>
      </c>
    </row>
    <row r="249" spans="1:16">
      <c r="A249" s="73">
        <v>45013</v>
      </c>
      <c r="B249" s="45">
        <v>1394.65</v>
      </c>
      <c r="C249" s="105">
        <v>1291.1500000000001</v>
      </c>
      <c r="D249" s="5">
        <v>70.099999999999994</v>
      </c>
      <c r="E249" s="5">
        <v>533.79999999999995</v>
      </c>
      <c r="F249" s="5">
        <v>633.29999999999995</v>
      </c>
      <c r="G249" s="5">
        <v>16951.7</v>
      </c>
      <c r="H249" s="5">
        <f t="shared" si="21"/>
        <v>-3.3230901164867173E-3</v>
      </c>
      <c r="I249" s="5">
        <f t="shared" si="21"/>
        <v>-2.8077835070947309E-2</v>
      </c>
      <c r="J249" s="5">
        <f t="shared" si="21"/>
        <v>-1.3370865587614397E-2</v>
      </c>
      <c r="K249" s="5">
        <f t="shared" si="21"/>
        <v>-1.4128728414442867E-2</v>
      </c>
      <c r="L249" s="5">
        <f t="shared" si="21"/>
        <v>1.4659937515020392E-2</v>
      </c>
      <c r="M249" s="5">
        <f t="shared" si="21"/>
        <v>-2.0016837692882834E-3</v>
      </c>
      <c r="N249" s="5">
        <f t="shared" si="20"/>
        <v>1.8118848130511895E-3</v>
      </c>
      <c r="O249" s="5">
        <f t="shared" si="18"/>
        <v>-1.0773819185054313E-2</v>
      </c>
      <c r="P249" s="79">
        <f t="shared" si="19"/>
        <v>-1.1725159674665407E-2</v>
      </c>
    </row>
    <row r="250" spans="1:16">
      <c r="A250" s="73">
        <v>45014</v>
      </c>
      <c r="B250" s="45">
        <v>1406.75</v>
      </c>
      <c r="C250" s="105">
        <v>1335.85</v>
      </c>
      <c r="D250" s="5">
        <v>70.3</v>
      </c>
      <c r="E250" s="5">
        <v>535.65</v>
      </c>
      <c r="F250" s="5">
        <v>653.5</v>
      </c>
      <c r="G250" s="5">
        <v>17080.7</v>
      </c>
      <c r="H250" s="5">
        <f t="shared" si="21"/>
        <v>8.6760119026278344E-3</v>
      </c>
      <c r="I250" s="5">
        <f t="shared" si="21"/>
        <v>3.4620299732796199E-2</v>
      </c>
      <c r="J250" s="5">
        <f t="shared" si="21"/>
        <v>2.8530670470756471E-3</v>
      </c>
      <c r="K250" s="5">
        <f t="shared" si="21"/>
        <v>3.4657174971900015E-3</v>
      </c>
      <c r="L250" s="5">
        <f t="shared" si="21"/>
        <v>3.1896415600821168E-2</v>
      </c>
      <c r="M250" s="5">
        <f t="shared" si="21"/>
        <v>7.6098562386073369E-3</v>
      </c>
      <c r="N250" s="5">
        <f t="shared" si="20"/>
        <v>2.0429666655108501E-2</v>
      </c>
      <c r="O250" s="5">
        <f t="shared" si="18"/>
        <v>8.9490501637601496E-3</v>
      </c>
      <c r="P250" s="79">
        <f t="shared" si="19"/>
        <v>1.0372954267333714E-2</v>
      </c>
    </row>
    <row r="251" spans="1:16">
      <c r="A251" s="73">
        <v>45016</v>
      </c>
      <c r="B251" s="45">
        <v>1418.35</v>
      </c>
      <c r="C251" s="105">
        <v>1374.95</v>
      </c>
      <c r="D251" s="5">
        <v>70.05</v>
      </c>
      <c r="E251" s="5">
        <v>544.9</v>
      </c>
      <c r="F251" s="5">
        <v>663.05</v>
      </c>
      <c r="G251" s="5">
        <v>17359.75</v>
      </c>
      <c r="H251" s="5">
        <f t="shared" si="21"/>
        <v>8.2459569930690667E-3</v>
      </c>
      <c r="I251" s="5">
        <f t="shared" si="21"/>
        <v>2.926975334056978E-2</v>
      </c>
      <c r="J251" s="5">
        <f t="shared" si="21"/>
        <v>-3.5561877667140826E-3</v>
      </c>
      <c r="K251" s="5">
        <f t="shared" si="21"/>
        <v>1.7268738915336507E-2</v>
      </c>
      <c r="L251" s="5">
        <f t="shared" si="21"/>
        <v>1.4613618974751269E-2</v>
      </c>
      <c r="M251" s="5">
        <f t="shared" si="21"/>
        <v>1.6337152458622845E-2</v>
      </c>
      <c r="N251" s="5">
        <f t="shared" si="20"/>
        <v>1.3525034575276361E-2</v>
      </c>
      <c r="O251" s="5">
        <f t="shared" si="18"/>
        <v>1.4422217705304136E-2</v>
      </c>
      <c r="P251" s="79">
        <f t="shared" si="19"/>
        <v>1.4285368412930613E-2</v>
      </c>
    </row>
    <row r="252" spans="1:16">
      <c r="A252" s="73">
        <v>45019</v>
      </c>
      <c r="B252" s="45">
        <v>1431.4</v>
      </c>
      <c r="C252" s="105">
        <v>1357.4</v>
      </c>
      <c r="D252" s="5">
        <v>69.8</v>
      </c>
      <c r="E252" s="5">
        <v>547.6</v>
      </c>
      <c r="F252" s="5">
        <v>657.1</v>
      </c>
      <c r="G252" s="5">
        <v>17398.05</v>
      </c>
      <c r="H252" s="5">
        <f t="shared" si="21"/>
        <v>9.2008319526211326E-3</v>
      </c>
      <c r="I252" s="5">
        <f t="shared" si="21"/>
        <v>-1.2764100512745884E-2</v>
      </c>
      <c r="J252" s="5">
        <f t="shared" si="21"/>
        <v>-3.5688793718772309E-3</v>
      </c>
      <c r="K252" s="5">
        <f t="shared" si="21"/>
        <v>4.9550376215820252E-3</v>
      </c>
      <c r="L252" s="5">
        <f t="shared" si="21"/>
        <v>-8.9736822260763627E-3</v>
      </c>
      <c r="M252" s="5">
        <f t="shared" si="21"/>
        <v>2.2062529702328243E-3</v>
      </c>
      <c r="N252" s="5">
        <f t="shared" si="20"/>
        <v>-1.7112432280151839E-3</v>
      </c>
      <c r="O252" s="5">
        <f t="shared" si="18"/>
        <v>4.3144230980470266E-3</v>
      </c>
      <c r="P252" s="79">
        <f t="shared" si="19"/>
        <v>3.3452016016452058E-3</v>
      </c>
    </row>
    <row r="253" spans="1:16">
      <c r="A253" s="73">
        <v>45021</v>
      </c>
      <c r="B253" s="45">
        <v>1430.5</v>
      </c>
      <c r="C253" s="105">
        <v>1364.8</v>
      </c>
      <c r="D253" s="5">
        <v>68.099999999999994</v>
      </c>
      <c r="E253" s="5">
        <v>548.04999999999995</v>
      </c>
      <c r="F253" s="5">
        <v>691.1</v>
      </c>
      <c r="G253" s="5">
        <v>17557.05</v>
      </c>
      <c r="H253" s="5">
        <f t="shared" si="21"/>
        <v>-6.2875506497142022E-4</v>
      </c>
      <c r="I253" s="5">
        <f t="shared" si="21"/>
        <v>5.4515986444672636E-3</v>
      </c>
      <c r="J253" s="5">
        <f t="shared" si="21"/>
        <v>-2.4355300859598895E-2</v>
      </c>
      <c r="K253" s="5">
        <f t="shared" si="21"/>
        <v>8.2176771365948095E-4</v>
      </c>
      <c r="L253" s="5">
        <f t="shared" si="21"/>
        <v>5.1742504945974738E-2</v>
      </c>
      <c r="M253" s="5">
        <f t="shared" si="21"/>
        <v>9.1389552277410403E-3</v>
      </c>
      <c r="N253" s="5">
        <f t="shared" si="20"/>
        <v>2.4026274784995246E-2</v>
      </c>
      <c r="O253" s="5">
        <f t="shared" si="18"/>
        <v>1.1638241337297468E-3</v>
      </c>
      <c r="P253" s="79">
        <f t="shared" si="19"/>
        <v>-1.4879007467638551E-4</v>
      </c>
    </row>
    <row r="254" spans="1:16">
      <c r="A254" s="73">
        <v>45022</v>
      </c>
      <c r="B254" s="45">
        <v>1402.75</v>
      </c>
      <c r="C254" s="105">
        <v>1367.25</v>
      </c>
      <c r="D254" s="5">
        <v>70.599999999999994</v>
      </c>
      <c r="E254" s="5">
        <v>525.9</v>
      </c>
      <c r="F254" s="5">
        <v>689.15</v>
      </c>
      <c r="G254" s="5">
        <v>17599.150000000001</v>
      </c>
      <c r="H254" s="5">
        <f t="shared" si="21"/>
        <v>-1.9398811604334151E-2</v>
      </c>
      <c r="I254" s="5">
        <f t="shared" si="21"/>
        <v>1.7951348182884273E-3</v>
      </c>
      <c r="J254" s="5">
        <f t="shared" si="21"/>
        <v>3.6710719530102791E-2</v>
      </c>
      <c r="K254" s="5">
        <f t="shared" si="21"/>
        <v>-4.0416020436091563E-2</v>
      </c>
      <c r="L254" s="5">
        <f t="shared" si="21"/>
        <v>-2.8215887715237237E-3</v>
      </c>
      <c r="M254" s="5">
        <f t="shared" si="21"/>
        <v>2.3978971410346375E-3</v>
      </c>
      <c r="N254" s="5">
        <f t="shared" si="20"/>
        <v>-1.1591412822267669E-2</v>
      </c>
      <c r="O254" s="5">
        <f t="shared" si="18"/>
        <v>-2.5688135653802742E-2</v>
      </c>
      <c r="P254" s="79">
        <f t="shared" si="19"/>
        <v>-2.0987013219894206E-2</v>
      </c>
    </row>
    <row r="255" spans="1:16">
      <c r="A255" s="73">
        <v>45026</v>
      </c>
      <c r="B255" s="45">
        <v>1404</v>
      </c>
      <c r="C255" s="105">
        <v>1358.7</v>
      </c>
      <c r="D255" s="5">
        <v>71.3</v>
      </c>
      <c r="E255" s="5">
        <v>523.20000000000005</v>
      </c>
      <c r="F255" s="5">
        <v>686.25</v>
      </c>
      <c r="G255" s="5">
        <v>17624.05</v>
      </c>
      <c r="H255" s="5">
        <f t="shared" si="21"/>
        <v>8.9110675458919974E-4</v>
      </c>
      <c r="I255" s="5">
        <f t="shared" si="21"/>
        <v>-6.2534284147010089E-3</v>
      </c>
      <c r="J255" s="5">
        <f t="shared" si="21"/>
        <v>9.9150141643059905E-3</v>
      </c>
      <c r="K255" s="5">
        <f t="shared" si="21"/>
        <v>-5.1340559041641604E-3</v>
      </c>
      <c r="L255" s="5">
        <f t="shared" si="21"/>
        <v>-4.2080824203728903E-3</v>
      </c>
      <c r="M255" s="5">
        <f t="shared" si="21"/>
        <v>1.4148410576645925E-3</v>
      </c>
      <c r="N255" s="5">
        <f t="shared" si="20"/>
        <v>-2.5585345904710561E-3</v>
      </c>
      <c r="O255" s="5">
        <f t="shared" si="18"/>
        <v>-2.5713110905660344E-3</v>
      </c>
      <c r="P255" s="79">
        <f t="shared" si="19"/>
        <v>-2.0443153852018657E-3</v>
      </c>
    </row>
    <row r="256" spans="1:16">
      <c r="A256" s="73">
        <v>45027</v>
      </c>
      <c r="B256" s="45">
        <v>1389.2</v>
      </c>
      <c r="C256" s="105">
        <v>1354.15</v>
      </c>
      <c r="D256" s="5">
        <v>71.95</v>
      </c>
      <c r="E256" s="5">
        <v>521.85</v>
      </c>
      <c r="F256" s="5">
        <v>691.65</v>
      </c>
      <c r="G256" s="5">
        <v>17722.3</v>
      </c>
      <c r="H256" s="5">
        <f t="shared" si="21"/>
        <v>-1.0541310541310508E-2</v>
      </c>
      <c r="I256" s="5">
        <f t="shared" si="21"/>
        <v>-3.3487892838742579E-3</v>
      </c>
      <c r="J256" s="5">
        <f t="shared" si="21"/>
        <v>9.11640953716698E-3</v>
      </c>
      <c r="K256" s="5">
        <f t="shared" si="21"/>
        <v>-2.5802752293578412E-3</v>
      </c>
      <c r="L256" s="5">
        <f t="shared" si="21"/>
        <v>7.8688524590163605E-3</v>
      </c>
      <c r="M256" s="5">
        <f t="shared" si="21"/>
        <v>5.5747685690859935E-3</v>
      </c>
      <c r="N256" s="5">
        <f t="shared" si="20"/>
        <v>2.2361290371575131E-4</v>
      </c>
      <c r="O256" s="5">
        <f t="shared" si="18"/>
        <v>-5.0483989343123497E-3</v>
      </c>
      <c r="P256" s="79">
        <f t="shared" si="19"/>
        <v>-5.0451648301193244E-3</v>
      </c>
    </row>
    <row r="257" spans="1:16">
      <c r="A257" s="73">
        <v>45028</v>
      </c>
      <c r="B257" s="45">
        <v>1392.6</v>
      </c>
      <c r="C257" s="105">
        <v>1363.25</v>
      </c>
      <c r="D257" s="5">
        <v>71.650000000000006</v>
      </c>
      <c r="E257" s="5">
        <v>517.65</v>
      </c>
      <c r="F257" s="5">
        <v>710.45</v>
      </c>
      <c r="G257" s="5">
        <v>17812.400000000001</v>
      </c>
      <c r="H257" s="5">
        <f t="shared" si="21"/>
        <v>2.4474517708032418E-3</v>
      </c>
      <c r="I257" s="5">
        <f t="shared" si="21"/>
        <v>6.7200827087101934E-3</v>
      </c>
      <c r="J257" s="5">
        <f t="shared" si="21"/>
        <v>-4.1695621959693839E-3</v>
      </c>
      <c r="K257" s="5">
        <f t="shared" si="21"/>
        <v>-8.0482897384306709E-3</v>
      </c>
      <c r="L257" s="5">
        <f t="shared" si="21"/>
        <v>2.7181377864526957E-2</v>
      </c>
      <c r="M257" s="5">
        <f t="shared" si="21"/>
        <v>5.0839902270022616E-3</v>
      </c>
      <c r="N257" s="5">
        <f t="shared" si="20"/>
        <v>1.2772036191199548E-2</v>
      </c>
      <c r="O257" s="5">
        <f t="shared" si="18"/>
        <v>-1.8738041679335423E-3</v>
      </c>
      <c r="P257" s="79">
        <f t="shared" si="19"/>
        <v>-1.2152852155060886E-3</v>
      </c>
    </row>
    <row r="258" spans="1:16">
      <c r="A258" s="73">
        <v>45029</v>
      </c>
      <c r="B258" s="45">
        <v>1400.45</v>
      </c>
      <c r="C258" s="105">
        <v>1361.8</v>
      </c>
      <c r="D258" s="5">
        <v>71.8</v>
      </c>
      <c r="E258" s="5">
        <v>527.15</v>
      </c>
      <c r="F258" s="5">
        <v>703.65</v>
      </c>
      <c r="G258" s="5">
        <v>17828</v>
      </c>
      <c r="H258" s="5">
        <f t="shared" si="21"/>
        <v>5.6369381013931762E-3</v>
      </c>
      <c r="I258" s="5">
        <f t="shared" si="21"/>
        <v>-1.0636346964973742E-3</v>
      </c>
      <c r="J258" s="5">
        <f t="shared" si="21"/>
        <v>2.0935101186321209E-3</v>
      </c>
      <c r="K258" s="5">
        <f t="shared" si="21"/>
        <v>1.8352168453588332E-2</v>
      </c>
      <c r="L258" s="5">
        <f t="shared" si="21"/>
        <v>-9.5713984094588887E-3</v>
      </c>
      <c r="M258" s="5">
        <f t="shared" si="21"/>
        <v>8.7579439042456621E-4</v>
      </c>
      <c r="N258" s="5">
        <f t="shared" si="20"/>
        <v>-3.1961946677936618E-4</v>
      </c>
      <c r="O258" s="5">
        <f t="shared" si="18"/>
        <v>1.0739624658890527E-2</v>
      </c>
      <c r="P258" s="79">
        <f t="shared" si="19"/>
        <v>9.2749090349853024E-3</v>
      </c>
    </row>
    <row r="259" spans="1:16">
      <c r="A259" s="73">
        <v>45033</v>
      </c>
      <c r="B259" s="45">
        <v>1408.85</v>
      </c>
      <c r="C259" s="105">
        <v>1363.3</v>
      </c>
      <c r="D259" s="5">
        <v>72.650000000000006</v>
      </c>
      <c r="E259" s="5">
        <v>524.1</v>
      </c>
      <c r="F259" s="5">
        <v>718.45</v>
      </c>
      <c r="G259" s="5">
        <v>17706.849999999999</v>
      </c>
      <c r="H259" s="5">
        <f t="shared" si="21"/>
        <v>5.9980720482701016E-3</v>
      </c>
      <c r="I259" s="5">
        <f t="shared" si="21"/>
        <v>1.1014833308855927E-3</v>
      </c>
      <c r="J259" s="5">
        <f t="shared" si="21"/>
        <v>1.1838440111420732E-2</v>
      </c>
      <c r="K259" s="5">
        <f t="shared" si="21"/>
        <v>-5.7858294603053296E-3</v>
      </c>
      <c r="L259" s="5">
        <f t="shared" si="21"/>
        <v>2.1033184111419127E-2</v>
      </c>
      <c r="M259" s="5">
        <f t="shared" si="21"/>
        <v>-6.7954902400718786E-3</v>
      </c>
      <c r="N259" s="5">
        <f t="shared" si="20"/>
        <v>1.1314597124373611E-2</v>
      </c>
      <c r="O259" s="5">
        <f t="shared" si="18"/>
        <v>3.1442354739577528E-4</v>
      </c>
      <c r="P259" s="79">
        <f t="shared" si="19"/>
        <v>1.1151662736982452E-3</v>
      </c>
    </row>
    <row r="260" spans="1:16">
      <c r="A260" s="73">
        <v>45034</v>
      </c>
      <c r="B260" s="45">
        <v>1421.4</v>
      </c>
      <c r="C260" s="105">
        <v>1361.1</v>
      </c>
      <c r="D260" s="5">
        <v>75.45</v>
      </c>
      <c r="E260" s="5">
        <v>520.9</v>
      </c>
      <c r="F260" s="5">
        <v>716.2</v>
      </c>
      <c r="G260" s="5">
        <v>17660.150000000001</v>
      </c>
      <c r="H260" s="5">
        <f t="shared" si="21"/>
        <v>8.9079745892040908E-3</v>
      </c>
      <c r="I260" s="5">
        <f t="shared" si="21"/>
        <v>-1.613731387075512E-3</v>
      </c>
      <c r="J260" s="5">
        <f t="shared" si="21"/>
        <v>3.8540949759119023E-2</v>
      </c>
      <c r="K260" s="5">
        <f t="shared" si="21"/>
        <v>-6.1057050181263983E-3</v>
      </c>
      <c r="L260" s="5">
        <f t="shared" si="21"/>
        <v>-3.1317419444637758E-3</v>
      </c>
      <c r="M260" s="5">
        <f t="shared" si="21"/>
        <v>-2.637397391404857E-3</v>
      </c>
      <c r="N260" s="5">
        <f t="shared" si="20"/>
        <v>1.2873979760248436E-3</v>
      </c>
      <c r="O260" s="5">
        <f t="shared" ref="O260:O323" si="22">$V$86*H260 +$V$87*I260 + $V$88*J260 + $V$89*K260+ $V$90*L260</f>
        <v>1.1775888883986153E-3</v>
      </c>
      <c r="P260" s="79">
        <f t="shared" ref="P260:P323" si="23">$V$104*H260 +$V$105*I260 + $V$106*J260 + $V$107*K260+ $V$108*L260</f>
        <v>3.1154349489785588E-3</v>
      </c>
    </row>
    <row r="261" spans="1:16">
      <c r="A261" s="73">
        <v>45035</v>
      </c>
      <c r="B261" s="45">
        <v>1431.05</v>
      </c>
      <c r="C261" s="105">
        <v>1359.4</v>
      </c>
      <c r="D261" s="5">
        <v>75.400000000000006</v>
      </c>
      <c r="E261" s="5">
        <v>520.04999999999995</v>
      </c>
      <c r="F261" s="5">
        <v>707.55</v>
      </c>
      <c r="G261" s="5">
        <v>17618.75</v>
      </c>
      <c r="H261" s="5">
        <f t="shared" si="21"/>
        <v>6.7890811875614627E-3</v>
      </c>
      <c r="I261" s="5">
        <f t="shared" si="21"/>
        <v>-1.2489897876716025E-3</v>
      </c>
      <c r="J261" s="5">
        <f t="shared" si="21"/>
        <v>-6.6269052352547586E-4</v>
      </c>
      <c r="K261" s="5">
        <f t="shared" si="21"/>
        <v>-1.6317911307353096E-3</v>
      </c>
      <c r="L261" s="5">
        <f t="shared" si="21"/>
        <v>-1.2077631946383819E-2</v>
      </c>
      <c r="M261" s="5">
        <f t="shared" si="21"/>
        <v>-2.3442609490860185E-3</v>
      </c>
      <c r="N261" s="5">
        <f t="shared" ref="N261:N324" si="24">((H261 *0.3 ) + (I261 * 0.064462757 ) + (J261 * 0.026806099 ) + (K261 * 0.137093997) + (L261 * 0.471637147))</f>
        <v>-3.9815217587798775E-3</v>
      </c>
      <c r="O261" s="5">
        <f t="shared" si="22"/>
        <v>1.3191118411512159E-3</v>
      </c>
      <c r="P261" s="79">
        <f t="shared" si="23"/>
        <v>1.7038039329185001E-3</v>
      </c>
    </row>
    <row r="262" spans="1:16">
      <c r="A262" s="73">
        <v>45036</v>
      </c>
      <c r="B262" s="45">
        <v>1458.85</v>
      </c>
      <c r="C262" s="105">
        <v>1393.7</v>
      </c>
      <c r="D262" s="5">
        <v>76.25</v>
      </c>
      <c r="E262" s="5">
        <v>525.29999999999995</v>
      </c>
      <c r="F262" s="5">
        <v>719.8</v>
      </c>
      <c r="G262" s="5">
        <v>17624.45</v>
      </c>
      <c r="H262" s="5">
        <f t="shared" si="21"/>
        <v>1.9426295377519973E-2</v>
      </c>
      <c r="I262" s="5">
        <f t="shared" si="21"/>
        <v>2.523171987641603E-2</v>
      </c>
      <c r="J262" s="5">
        <f t="shared" si="21"/>
        <v>1.1273209549071541E-2</v>
      </c>
      <c r="K262" s="5">
        <f t="shared" si="21"/>
        <v>1.0095183155465821E-2</v>
      </c>
      <c r="L262" s="5">
        <f t="shared" si="21"/>
        <v>1.7313264080277013E-2</v>
      </c>
      <c r="M262" s="5">
        <f t="shared" si="21"/>
        <v>3.2351897836116228E-4</v>
      </c>
      <c r="N262" s="5">
        <f t="shared" si="24"/>
        <v>1.7306153096870936E-2</v>
      </c>
      <c r="O262" s="5">
        <f t="shared" si="22"/>
        <v>1.5173094698863408E-2</v>
      </c>
      <c r="P262" s="79">
        <f t="shared" si="23"/>
        <v>1.6153075016577239E-2</v>
      </c>
    </row>
    <row r="263" spans="1:16">
      <c r="A263" s="73">
        <v>45037</v>
      </c>
      <c r="B263" s="45">
        <v>1481.3</v>
      </c>
      <c r="C263" s="105">
        <v>1383.35</v>
      </c>
      <c r="D263" s="5">
        <v>75.25</v>
      </c>
      <c r="E263" s="5">
        <v>525.15</v>
      </c>
      <c r="F263" s="5">
        <v>740.3</v>
      </c>
      <c r="G263" s="5">
        <v>17624.05</v>
      </c>
      <c r="H263" s="5">
        <f t="shared" si="21"/>
        <v>1.538883367035682E-2</v>
      </c>
      <c r="I263" s="5">
        <f t="shared" si="21"/>
        <v>-7.4262753820765843E-3</v>
      </c>
      <c r="J263" s="5">
        <f t="shared" si="21"/>
        <v>-1.3114754098360656E-2</v>
      </c>
      <c r="K263" s="5">
        <f t="shared" si="21"/>
        <v>-2.8555111364929998E-4</v>
      </c>
      <c r="L263" s="5">
        <f t="shared" si="21"/>
        <v>2.8480133370380661E-2</v>
      </c>
      <c r="M263" s="5">
        <f t="shared" si="21"/>
        <v>-2.2695743697048997E-5</v>
      </c>
      <c r="N263" s="5">
        <f t="shared" si="24"/>
        <v>1.7179518024483694E-2</v>
      </c>
      <c r="O263" s="5">
        <f t="shared" si="22"/>
        <v>5.1408355348647253E-3</v>
      </c>
      <c r="P263" s="79">
        <f t="shared" si="23"/>
        <v>4.2469081320485845E-3</v>
      </c>
    </row>
    <row r="264" spans="1:16">
      <c r="A264" s="73">
        <v>45040</v>
      </c>
      <c r="B264" s="45">
        <v>1481.4</v>
      </c>
      <c r="C264" s="105">
        <v>1384</v>
      </c>
      <c r="D264" s="5">
        <v>76.55</v>
      </c>
      <c r="E264" s="5">
        <v>524.85</v>
      </c>
      <c r="F264" s="5">
        <v>750.85</v>
      </c>
      <c r="G264" s="5">
        <v>17743.400000000001</v>
      </c>
      <c r="H264" s="5">
        <f t="shared" si="21"/>
        <v>6.7508269763138075E-5</v>
      </c>
      <c r="I264" s="5">
        <f t="shared" si="21"/>
        <v>4.6987385694154842E-4</v>
      </c>
      <c r="J264" s="5">
        <f t="shared" si="21"/>
        <v>1.727574750830561E-2</v>
      </c>
      <c r="K264" s="5">
        <f t="shared" si="21"/>
        <v>-5.712653527562688E-4</v>
      </c>
      <c r="L264" s="5">
        <f t="shared" si="21"/>
        <v>1.4250979332703051E-2</v>
      </c>
      <c r="M264" s="5">
        <f t="shared" si="21"/>
        <v>6.7719962210730329E-3</v>
      </c>
      <c r="N264" s="5">
        <f t="shared" si="24"/>
        <v>7.1566114270713195E-3</v>
      </c>
      <c r="O264" s="5">
        <f t="shared" si="22"/>
        <v>5.8559369582729111E-4</v>
      </c>
      <c r="P264" s="79">
        <f t="shared" si="23"/>
        <v>1.0036524007985817E-3</v>
      </c>
    </row>
    <row r="265" spans="1:16">
      <c r="A265" s="73">
        <v>45041</v>
      </c>
      <c r="B265" s="45">
        <v>1471.65</v>
      </c>
      <c r="C265" s="105">
        <v>1381.3</v>
      </c>
      <c r="D265" s="5">
        <v>77.099999999999994</v>
      </c>
      <c r="E265" s="5">
        <v>526.4</v>
      </c>
      <c r="F265" s="5">
        <v>740.15</v>
      </c>
      <c r="G265" s="5">
        <v>17769.25</v>
      </c>
      <c r="H265" s="5">
        <f t="shared" si="21"/>
        <v>-6.581611988659376E-3</v>
      </c>
      <c r="I265" s="5">
        <f t="shared" si="21"/>
        <v>-1.9508670520231542E-3</v>
      </c>
      <c r="J265" s="5">
        <f t="shared" si="21"/>
        <v>7.1848465055518902E-3</v>
      </c>
      <c r="K265" s="5">
        <f t="shared" si="21"/>
        <v>2.9532247308754014E-3</v>
      </c>
      <c r="L265" s="5">
        <f t="shared" si="21"/>
        <v>-1.4250516081774049E-2</v>
      </c>
      <c r="M265" s="5">
        <f t="shared" si="21"/>
        <v>1.4568797411994624E-3</v>
      </c>
      <c r="N265" s="5">
        <f t="shared" si="24"/>
        <v>-8.2238475242746318E-3</v>
      </c>
      <c r="O265" s="5">
        <f t="shared" si="22"/>
        <v>-1.3104472431409689E-3</v>
      </c>
      <c r="P265" s="79">
        <f t="shared" si="23"/>
        <v>-1.4030057105158438E-3</v>
      </c>
    </row>
    <row r="266" spans="1:16">
      <c r="A266" s="73">
        <v>45042</v>
      </c>
      <c r="B266" s="45">
        <v>1473.8</v>
      </c>
      <c r="C266" s="105">
        <v>1373.5</v>
      </c>
      <c r="D266" s="5">
        <v>77.5</v>
      </c>
      <c r="E266" s="5">
        <v>533.65</v>
      </c>
      <c r="F266" s="5">
        <v>742.85</v>
      </c>
      <c r="G266" s="5">
        <v>17813.599999999999</v>
      </c>
      <c r="H266" s="5">
        <f t="shared" si="21"/>
        <v>1.4609451975672635E-3</v>
      </c>
      <c r="I266" s="5">
        <f t="shared" si="21"/>
        <v>-5.6468544125099218E-3</v>
      </c>
      <c r="J266" s="5">
        <f t="shared" si="21"/>
        <v>5.1880674448768578E-3</v>
      </c>
      <c r="K266" s="5">
        <f t="shared" si="21"/>
        <v>1.3772796352583588E-2</v>
      </c>
      <c r="L266" s="5">
        <f t="shared" si="21"/>
        <v>3.6479092075931171E-3</v>
      </c>
      <c r="M266" s="5">
        <f t="shared" si="21"/>
        <v>2.495884744713398E-3</v>
      </c>
      <c r="N266" s="5">
        <f t="shared" si="24"/>
        <v>3.8220007980351743E-3</v>
      </c>
      <c r="O266" s="5">
        <f t="shared" si="22"/>
        <v>6.9178868648053712E-3</v>
      </c>
      <c r="P266" s="79">
        <f t="shared" si="23"/>
        <v>5.4427401926171364E-3</v>
      </c>
    </row>
    <row r="267" spans="1:16">
      <c r="A267" s="73">
        <v>45043</v>
      </c>
      <c r="B267" s="45">
        <v>1475.7</v>
      </c>
      <c r="C267" s="105">
        <v>1382.3</v>
      </c>
      <c r="D267" s="5">
        <v>77.3</v>
      </c>
      <c r="E267" s="5">
        <v>530.4</v>
      </c>
      <c r="F267" s="5">
        <v>743.05</v>
      </c>
      <c r="G267" s="5">
        <v>17915.05</v>
      </c>
      <c r="H267" s="5">
        <f t="shared" si="21"/>
        <v>1.2891844212241084E-3</v>
      </c>
      <c r="I267" s="5">
        <f t="shared" si="21"/>
        <v>6.4069894430287258E-3</v>
      </c>
      <c r="J267" s="5">
        <f t="shared" si="21"/>
        <v>-2.5806451612903594E-3</v>
      </c>
      <c r="K267" s="5">
        <f t="shared" si="21"/>
        <v>-6.0901339829476254E-3</v>
      </c>
      <c r="L267" s="5">
        <f t="shared" si="21"/>
        <v>2.6923335801296597E-4</v>
      </c>
      <c r="M267" s="5">
        <f t="shared" si="21"/>
        <v>5.6950868998967494E-3</v>
      </c>
      <c r="N267" s="5">
        <f t="shared" si="24"/>
        <v>2.2650143119983213E-5</v>
      </c>
      <c r="O267" s="5">
        <f t="shared" si="22"/>
        <v>-1.9392826389199864E-3</v>
      </c>
      <c r="P267" s="79">
        <f t="shared" si="23"/>
        <v>-1.0628835380426878E-3</v>
      </c>
    </row>
    <row r="268" spans="1:16">
      <c r="A268" s="73">
        <v>45044</v>
      </c>
      <c r="B268" s="45">
        <v>1474.65</v>
      </c>
      <c r="C268" s="105">
        <v>1367.75</v>
      </c>
      <c r="D268" s="5">
        <v>78.400000000000006</v>
      </c>
      <c r="E268" s="5">
        <v>532.9</v>
      </c>
      <c r="F268" s="5">
        <v>754.3</v>
      </c>
      <c r="G268" s="5">
        <v>18065</v>
      </c>
      <c r="H268" s="5">
        <f t="shared" si="21"/>
        <v>-7.1152673307579763E-4</v>
      </c>
      <c r="I268" s="5">
        <f t="shared" si="21"/>
        <v>-1.052593503580985E-2</v>
      </c>
      <c r="J268" s="5">
        <f t="shared" si="21"/>
        <v>1.423027166882288E-2</v>
      </c>
      <c r="K268" s="5">
        <f t="shared" si="21"/>
        <v>4.7134238310708905E-3</v>
      </c>
      <c r="L268" s="5">
        <f t="shared" si="21"/>
        <v>1.5140300114393379E-2</v>
      </c>
      <c r="M268" s="5">
        <f t="shared" si="21"/>
        <v>8.37005757728841E-3</v>
      </c>
      <c r="N268" s="5">
        <f t="shared" si="24"/>
        <v>7.2763793220502531E-3</v>
      </c>
      <c r="O268" s="5">
        <f t="shared" si="22"/>
        <v>1.7618992558965003E-3</v>
      </c>
      <c r="P268" s="79">
        <f t="shared" si="23"/>
        <v>9.3817208014763519E-4</v>
      </c>
    </row>
    <row r="269" spans="1:16">
      <c r="A269" s="73">
        <v>45048</v>
      </c>
      <c r="B269" s="45">
        <v>1491.05</v>
      </c>
      <c r="C269" s="105">
        <v>1406.5</v>
      </c>
      <c r="D269" s="5">
        <v>81.599999999999994</v>
      </c>
      <c r="E269" s="5">
        <v>536.45000000000005</v>
      </c>
      <c r="F269" s="5">
        <v>781.9</v>
      </c>
      <c r="G269" s="5">
        <v>18147.650000000001</v>
      </c>
      <c r="H269" s="5">
        <f t="shared" si="21"/>
        <v>1.1121283016308861E-2</v>
      </c>
      <c r="I269" s="5">
        <f t="shared" si="21"/>
        <v>2.8331200877353316E-2</v>
      </c>
      <c r="J269" s="5">
        <f t="shared" si="21"/>
        <v>4.0816326530612096E-2</v>
      </c>
      <c r="K269" s="5">
        <f t="shared" si="21"/>
        <v>6.6616626008633301E-3</v>
      </c>
      <c r="L269" s="5">
        <f t="shared" si="21"/>
        <v>3.6590216094392183E-2</v>
      </c>
      <c r="M269" s="5">
        <f t="shared" si="21"/>
        <v>4.5751453086078859E-3</v>
      </c>
      <c r="N269" s="5">
        <f t="shared" si="24"/>
        <v>2.4427397791853964E-2</v>
      </c>
      <c r="O269" s="5">
        <f t="shared" si="22"/>
        <v>1.1963688272962734E-2</v>
      </c>
      <c r="P269" s="79">
        <f t="shared" si="23"/>
        <v>1.3914608578750707E-2</v>
      </c>
    </row>
    <row r="270" spans="1:16">
      <c r="A270" s="73">
        <v>45049</v>
      </c>
      <c r="B270" s="45">
        <v>1506.25</v>
      </c>
      <c r="C270" s="105">
        <v>1390.15</v>
      </c>
      <c r="D270" s="5">
        <v>86.95</v>
      </c>
      <c r="E270" s="5">
        <v>537.95000000000005</v>
      </c>
      <c r="F270" s="5">
        <v>782.8</v>
      </c>
      <c r="G270" s="5">
        <v>18089.849999999999</v>
      </c>
      <c r="H270" s="5">
        <f t="shared" si="21"/>
        <v>1.0194158478924279E-2</v>
      </c>
      <c r="I270" s="5">
        <f t="shared" si="21"/>
        <v>-1.1624600071098407E-2</v>
      </c>
      <c r="J270" s="5">
        <f t="shared" si="21"/>
        <v>6.5563725490196192E-2</v>
      </c>
      <c r="K270" s="5">
        <f t="shared" si="21"/>
        <v>2.7961599403485875E-3</v>
      </c>
      <c r="L270" s="5">
        <f t="shared" si="21"/>
        <v>1.1510423327790987E-3</v>
      </c>
      <c r="M270" s="5">
        <f t="shared" si="21"/>
        <v>-3.1849853837826333E-3</v>
      </c>
      <c r="N270" s="5">
        <f t="shared" si="24"/>
        <v>4.9926125547527346E-3</v>
      </c>
      <c r="O270" s="5">
        <f t="shared" si="22"/>
        <v>5.8708872902163032E-3</v>
      </c>
      <c r="P270" s="79">
        <f t="shared" si="23"/>
        <v>7.2243843568885304E-3</v>
      </c>
    </row>
    <row r="271" spans="1:16">
      <c r="A271" s="73">
        <v>45050</v>
      </c>
      <c r="B271" s="45">
        <v>1505.05</v>
      </c>
      <c r="C271" s="105">
        <v>1404.95</v>
      </c>
      <c r="D271" s="5">
        <v>86.05</v>
      </c>
      <c r="E271" s="5">
        <v>530.4</v>
      </c>
      <c r="F271" s="5">
        <v>787.85</v>
      </c>
      <c r="G271" s="5">
        <v>18255.8</v>
      </c>
      <c r="H271" s="5">
        <f t="shared" si="21"/>
        <v>-7.9668049792534139E-4</v>
      </c>
      <c r="I271" s="5">
        <f t="shared" si="21"/>
        <v>1.0646333129518364E-2</v>
      </c>
      <c r="J271" s="5">
        <f t="shared" si="21"/>
        <v>-1.0350776308223182E-2</v>
      </c>
      <c r="K271" s="5">
        <f t="shared" si="21"/>
        <v>-1.4034761594943894E-2</v>
      </c>
      <c r="L271" s="5">
        <f t="shared" si="21"/>
        <v>6.4512008175780129E-3</v>
      </c>
      <c r="M271" s="5">
        <f t="shared" si="21"/>
        <v>9.1736526284076844E-3</v>
      </c>
      <c r="N271" s="5">
        <f t="shared" si="24"/>
        <v>1.2883682859801118E-3</v>
      </c>
      <c r="O271" s="5">
        <f t="shared" si="22"/>
        <v>-6.2445896903224156E-3</v>
      </c>
      <c r="P271" s="79">
        <f t="shared" si="23"/>
        <v>-4.7609714717439288E-3</v>
      </c>
    </row>
    <row r="272" spans="1:16">
      <c r="A272" s="73">
        <v>45051</v>
      </c>
      <c r="B272" s="45">
        <v>1478.1</v>
      </c>
      <c r="C272" s="105">
        <v>1416.8</v>
      </c>
      <c r="D272" s="5">
        <v>80.75</v>
      </c>
      <c r="E272" s="5">
        <v>505</v>
      </c>
      <c r="F272" s="5">
        <v>780</v>
      </c>
      <c r="G272" s="5">
        <v>18069</v>
      </c>
      <c r="H272" s="5">
        <f t="shared" si="21"/>
        <v>-1.7906381847779176E-2</v>
      </c>
      <c r="I272" s="5">
        <f t="shared" si="21"/>
        <v>8.434463859923776E-3</v>
      </c>
      <c r="J272" s="5">
        <f t="shared" si="21"/>
        <v>-6.159209761766412E-2</v>
      </c>
      <c r="K272" s="5">
        <f t="shared" si="21"/>
        <v>-4.7888386123680203E-2</v>
      </c>
      <c r="L272" s="5">
        <f t="shared" si="21"/>
        <v>-9.9638256013200761E-3</v>
      </c>
      <c r="M272" s="5">
        <f t="shared" si="21"/>
        <v>-1.0232364508813598E-2</v>
      </c>
      <c r="N272" s="5">
        <f t="shared" si="24"/>
        <v>-1.7743770169849786E-2</v>
      </c>
      <c r="O272" s="5">
        <f t="shared" si="22"/>
        <v>-3.1000902888064431E-2</v>
      </c>
      <c r="P272" s="79">
        <f t="shared" si="23"/>
        <v>-2.8188653348410812E-2</v>
      </c>
    </row>
    <row r="273" spans="1:16">
      <c r="A273" s="73">
        <v>45054</v>
      </c>
      <c r="B273" s="45">
        <v>1501.5</v>
      </c>
      <c r="C273" s="105">
        <v>1421.5</v>
      </c>
      <c r="D273" s="5">
        <v>81.599999999999994</v>
      </c>
      <c r="E273" s="5">
        <v>513.9</v>
      </c>
      <c r="F273" s="5">
        <v>768.55</v>
      </c>
      <c r="G273" s="5">
        <v>18264.400000000001</v>
      </c>
      <c r="H273" s="5">
        <f t="shared" si="21"/>
        <v>1.5831134564643863E-2</v>
      </c>
      <c r="I273" s="5">
        <f t="shared" si="21"/>
        <v>3.3173348390740016E-3</v>
      </c>
      <c r="J273" s="5">
        <f t="shared" si="21"/>
        <v>1.0526315789473615E-2</v>
      </c>
      <c r="K273" s="5">
        <f t="shared" si="21"/>
        <v>1.762376237623758E-2</v>
      </c>
      <c r="L273" s="5">
        <f t="shared" si="21"/>
        <v>-1.4679487179487237E-2</v>
      </c>
      <c r="M273" s="5">
        <f t="shared" si="21"/>
        <v>1.0814101499806378E-2</v>
      </c>
      <c r="N273" s="5">
        <f t="shared" si="24"/>
        <v>7.3807495575010235E-4</v>
      </c>
      <c r="O273" s="5">
        <f t="shared" si="22"/>
        <v>1.4695469254728019E-2</v>
      </c>
      <c r="P273" s="79">
        <f t="shared" si="23"/>
        <v>1.4103761224989735E-2</v>
      </c>
    </row>
    <row r="274" spans="1:16">
      <c r="A274" s="73">
        <v>45055</v>
      </c>
      <c r="B274" s="45">
        <v>1499.3</v>
      </c>
      <c r="C274" s="105">
        <v>1432.95</v>
      </c>
      <c r="D274" s="5">
        <v>79.400000000000006</v>
      </c>
      <c r="E274" s="5">
        <v>517.9</v>
      </c>
      <c r="F274" s="5">
        <v>763.35</v>
      </c>
      <c r="G274" s="5">
        <v>18265.95</v>
      </c>
      <c r="H274" s="5">
        <f t="shared" si="21"/>
        <v>-1.4652014652014956E-3</v>
      </c>
      <c r="I274" s="5">
        <f t="shared" si="21"/>
        <v>8.0548716144917664E-3</v>
      </c>
      <c r="J274" s="5">
        <f t="shared" si="21"/>
        <v>-2.6960784313725353E-2</v>
      </c>
      <c r="K274" s="5">
        <f t="shared" si="21"/>
        <v>7.7836154893948239E-3</v>
      </c>
      <c r="L274" s="5">
        <f t="shared" si="21"/>
        <v>-6.7659878992907844E-3</v>
      </c>
      <c r="M274" s="5">
        <f t="shared" si="21"/>
        <v>8.4864545235500337E-5</v>
      </c>
      <c r="N274" s="5">
        <f t="shared" si="24"/>
        <v>-2.7670389323464183E-3</v>
      </c>
      <c r="O274" s="5">
        <f t="shared" si="22"/>
        <v>3.0999478563038915E-3</v>
      </c>
      <c r="P274" s="79">
        <f t="shared" si="23"/>
        <v>2.0347360748722019E-3</v>
      </c>
    </row>
    <row r="275" spans="1:16">
      <c r="A275" s="73">
        <v>45056</v>
      </c>
      <c r="B275" s="45">
        <v>1497.55</v>
      </c>
      <c r="C275" s="105">
        <v>1440.65</v>
      </c>
      <c r="D275" s="5">
        <v>80.599999999999994</v>
      </c>
      <c r="E275" s="5">
        <v>514.29999999999995</v>
      </c>
      <c r="F275" s="5">
        <v>758.7</v>
      </c>
      <c r="G275" s="5">
        <v>18315.099999999999</v>
      </c>
      <c r="H275" s="5">
        <f t="shared" si="21"/>
        <v>-1.1672113653038085E-3</v>
      </c>
      <c r="I275" s="5">
        <f t="shared" si="21"/>
        <v>5.3735301301511187E-3</v>
      </c>
      <c r="J275" s="5">
        <f t="shared" si="21"/>
        <v>1.511335012594444E-2</v>
      </c>
      <c r="K275" s="5">
        <f t="shared" si="21"/>
        <v>-6.9511488704383523E-3</v>
      </c>
      <c r="L275" s="5">
        <f t="shared" si="21"/>
        <v>-6.09157005305558E-3</v>
      </c>
      <c r="M275" s="5">
        <f t="shared" si="21"/>
        <v>2.690799000325623E-3</v>
      </c>
      <c r="N275" s="5">
        <f t="shared" si="24"/>
        <v>-3.4246123858455045E-3</v>
      </c>
      <c r="O275" s="5">
        <f t="shared" si="22"/>
        <v>-3.0199789447857847E-3</v>
      </c>
      <c r="P275" s="79">
        <f t="shared" si="23"/>
        <v>-1.5208347734798264E-3</v>
      </c>
    </row>
    <row r="276" spans="1:16">
      <c r="A276" s="73">
        <v>45057</v>
      </c>
      <c r="B276" s="45">
        <v>1529.45</v>
      </c>
      <c r="C276" s="105">
        <v>1471.4</v>
      </c>
      <c r="D276" s="5">
        <v>81.05</v>
      </c>
      <c r="E276" s="5">
        <v>520.20000000000005</v>
      </c>
      <c r="F276" s="5">
        <v>759.05</v>
      </c>
      <c r="G276" s="5">
        <v>18297</v>
      </c>
      <c r="H276" s="5">
        <f t="shared" si="21"/>
        <v>2.1301459049781372E-2</v>
      </c>
      <c r="I276" s="5">
        <f t="shared" si="21"/>
        <v>2.1344531982091415E-2</v>
      </c>
      <c r="J276" s="5">
        <f t="shared" si="21"/>
        <v>5.5831265508685217E-3</v>
      </c>
      <c r="K276" s="5">
        <f t="shared" ref="K276:M339" si="25">(E276 - E275) / E275</f>
        <v>1.1471903558234671E-2</v>
      </c>
      <c r="L276" s="5">
        <f t="shared" si="25"/>
        <v>4.6131540793450509E-4</v>
      </c>
      <c r="M276" s="5">
        <f t="shared" si="25"/>
        <v>-9.8825559237997857E-4</v>
      </c>
      <c r="N276" s="5">
        <f t="shared" si="24"/>
        <v>9.706329531289094E-3</v>
      </c>
      <c r="O276" s="5">
        <f t="shared" si="22"/>
        <v>1.5637418652743172E-2</v>
      </c>
      <c r="P276" s="79">
        <f t="shared" si="23"/>
        <v>1.6376743317444618E-2</v>
      </c>
    </row>
    <row r="277" spans="1:16">
      <c r="A277" s="73">
        <v>45058</v>
      </c>
      <c r="B277" s="45">
        <v>1524.45</v>
      </c>
      <c r="C277" s="105">
        <v>1486.15</v>
      </c>
      <c r="D277" s="5">
        <v>80.95</v>
      </c>
      <c r="E277" s="5">
        <v>518.35</v>
      </c>
      <c r="F277" s="5">
        <v>749.8</v>
      </c>
      <c r="G277" s="5">
        <v>18314.8</v>
      </c>
      <c r="H277" s="5">
        <f t="shared" ref="H277:M340" si="26">(B277 - B276) / B276</f>
        <v>-3.2691490405047565E-3</v>
      </c>
      <c r="I277" s="5">
        <f t="shared" si="26"/>
        <v>1.0024466494495038E-2</v>
      </c>
      <c r="J277" s="5">
        <f t="shared" si="26"/>
        <v>-1.2338062924120213E-3</v>
      </c>
      <c r="K277" s="5">
        <f t="shared" si="25"/>
        <v>-3.5563244905805892E-3</v>
      </c>
      <c r="L277" s="5">
        <f t="shared" si="25"/>
        <v>-1.2186285488439497E-2</v>
      </c>
      <c r="M277" s="5">
        <f t="shared" si="25"/>
        <v>9.7283707711642744E-4</v>
      </c>
      <c r="N277" s="5">
        <f t="shared" si="24"/>
        <v>-6.602669157421158E-3</v>
      </c>
      <c r="O277" s="5">
        <f t="shared" si="22"/>
        <v>-2.299461764674879E-3</v>
      </c>
      <c r="P277" s="79">
        <f t="shared" si="23"/>
        <v>-1.3309203594271493E-3</v>
      </c>
    </row>
    <row r="278" spans="1:16">
      <c r="A278" s="73">
        <v>45061</v>
      </c>
      <c r="B278" s="45">
        <v>1541.2</v>
      </c>
      <c r="C278" s="105">
        <v>1511.3</v>
      </c>
      <c r="D278" s="5">
        <v>80.45</v>
      </c>
      <c r="E278" s="5">
        <v>533.04999999999995</v>
      </c>
      <c r="F278" s="5">
        <v>753.55</v>
      </c>
      <c r="G278" s="5">
        <v>18398.849999999999</v>
      </c>
      <c r="H278" s="5">
        <f t="shared" si="26"/>
        <v>1.0987569287283939E-2</v>
      </c>
      <c r="I278" s="5">
        <f t="shared" si="26"/>
        <v>1.692292164317186E-2</v>
      </c>
      <c r="J278" s="5">
        <f t="shared" si="26"/>
        <v>-6.1766522544780727E-3</v>
      </c>
      <c r="K278" s="5">
        <f t="shared" si="25"/>
        <v>2.8359216745442135E-2</v>
      </c>
      <c r="L278" s="5">
        <f t="shared" si="25"/>
        <v>5.0013336889837296E-3</v>
      </c>
      <c r="M278" s="5">
        <f t="shared" si="25"/>
        <v>4.5891847030816212E-3</v>
      </c>
      <c r="N278" s="5">
        <f t="shared" si="24"/>
        <v>1.0468290147666164E-2</v>
      </c>
      <c r="O278" s="5">
        <f t="shared" si="22"/>
        <v>1.9371136281267552E-2</v>
      </c>
      <c r="P278" s="79">
        <f t="shared" si="23"/>
        <v>1.7611308604646953E-2</v>
      </c>
    </row>
    <row r="279" spans="1:16">
      <c r="A279" s="73">
        <v>45062</v>
      </c>
      <c r="B279" s="45">
        <v>1543.2</v>
      </c>
      <c r="C279" s="105">
        <v>1500.2</v>
      </c>
      <c r="D279" s="5">
        <v>81.599999999999994</v>
      </c>
      <c r="E279" s="5">
        <v>530.75</v>
      </c>
      <c r="F279" s="5">
        <v>809.45</v>
      </c>
      <c r="G279" s="5">
        <v>18286.5</v>
      </c>
      <c r="H279" s="5">
        <f t="shared" si="26"/>
        <v>1.2976901116013495E-3</v>
      </c>
      <c r="I279" s="5">
        <f t="shared" si="26"/>
        <v>-7.3446701515251173E-3</v>
      </c>
      <c r="J279" s="5">
        <f t="shared" si="26"/>
        <v>1.429459291485384E-2</v>
      </c>
      <c r="K279" s="5">
        <f t="shared" si="25"/>
        <v>-4.3147922333738953E-3</v>
      </c>
      <c r="L279" s="5">
        <f t="shared" si="25"/>
        <v>7.4182204233295856E-2</v>
      </c>
      <c r="M279" s="5">
        <f t="shared" si="25"/>
        <v>-6.1063599083637597E-3</v>
      </c>
      <c r="N279" s="5">
        <f t="shared" si="24"/>
        <v>3.4694582668362957E-2</v>
      </c>
      <c r="O279" s="5">
        <f t="shared" si="22"/>
        <v>-2.5554658105194999E-4</v>
      </c>
      <c r="P279" s="79">
        <f t="shared" si="23"/>
        <v>-8.6998331815758064E-4</v>
      </c>
    </row>
    <row r="280" spans="1:16">
      <c r="A280" s="73">
        <v>45063</v>
      </c>
      <c r="B280" s="45">
        <v>1532.15</v>
      </c>
      <c r="C280" s="105">
        <v>1505.55</v>
      </c>
      <c r="D280" s="5">
        <v>82.25</v>
      </c>
      <c r="E280" s="5">
        <v>523.95000000000005</v>
      </c>
      <c r="F280" s="5">
        <v>800.15</v>
      </c>
      <c r="G280" s="5">
        <v>18181.75</v>
      </c>
      <c r="H280" s="5">
        <f t="shared" si="26"/>
        <v>-7.1604458268532626E-3</v>
      </c>
      <c r="I280" s="5">
        <f t="shared" si="26"/>
        <v>3.5661911745100048E-3</v>
      </c>
      <c r="J280" s="5">
        <f t="shared" si="26"/>
        <v>7.9656862745098745E-3</v>
      </c>
      <c r="K280" s="5">
        <f t="shared" si="25"/>
        <v>-1.2812058407913244E-2</v>
      </c>
      <c r="L280" s="5">
        <f t="shared" si="25"/>
        <v>-1.1489282846377253E-2</v>
      </c>
      <c r="M280" s="5">
        <f t="shared" si="25"/>
        <v>-5.7282694884204198E-3</v>
      </c>
      <c r="N280" s="5">
        <f t="shared" si="24"/>
        <v>-8.8799471377602329E-3</v>
      </c>
      <c r="O280" s="5">
        <f t="shared" si="22"/>
        <v>-8.5732224611948602E-3</v>
      </c>
      <c r="P280" s="79">
        <f t="shared" si="23"/>
        <v>-6.8967137962184224E-3</v>
      </c>
    </row>
    <row r="281" spans="1:16">
      <c r="A281" s="73">
        <v>45064</v>
      </c>
      <c r="B281" s="45">
        <v>1525.55</v>
      </c>
      <c r="C281" s="105">
        <v>1490.7</v>
      </c>
      <c r="D281" s="5">
        <v>81.650000000000006</v>
      </c>
      <c r="E281" s="5">
        <v>523.45000000000005</v>
      </c>
      <c r="F281" s="5">
        <v>781.95</v>
      </c>
      <c r="G281" s="5">
        <v>18129.95</v>
      </c>
      <c r="H281" s="5">
        <f t="shared" si="26"/>
        <v>-4.3076722253043995E-3</v>
      </c>
      <c r="I281" s="5">
        <f t="shared" si="26"/>
        <v>-9.863505031383819E-3</v>
      </c>
      <c r="J281" s="5">
        <f t="shared" si="26"/>
        <v>-7.2948328267476515E-3</v>
      </c>
      <c r="K281" s="5">
        <f t="shared" si="25"/>
        <v>-9.5428953144383998E-4</v>
      </c>
      <c r="L281" s="5">
        <f t="shared" si="25"/>
        <v>-2.2745735174654669E-2</v>
      </c>
      <c r="M281" s="5">
        <f t="shared" si="25"/>
        <v>-2.8490106837900241E-3</v>
      </c>
      <c r="N281" s="5">
        <f t="shared" si="24"/>
        <v>-1.2982237416892507E-2</v>
      </c>
      <c r="O281" s="5">
        <f t="shared" si="22"/>
        <v>-3.6972996068848503E-3</v>
      </c>
      <c r="P281" s="79">
        <f t="shared" si="23"/>
        <v>-4.1495037003561304E-3</v>
      </c>
    </row>
    <row r="282" spans="1:16">
      <c r="A282" s="73">
        <v>45065</v>
      </c>
      <c r="B282" s="45">
        <v>1534.15</v>
      </c>
      <c r="C282" s="105">
        <v>1493.1</v>
      </c>
      <c r="D282" s="5">
        <v>80.05</v>
      </c>
      <c r="E282" s="5">
        <v>519.1</v>
      </c>
      <c r="F282" s="5">
        <v>771.6</v>
      </c>
      <c r="G282" s="5">
        <v>18203.400000000001</v>
      </c>
      <c r="H282" s="5">
        <f t="shared" si="26"/>
        <v>5.6373111336895784E-3</v>
      </c>
      <c r="I282" s="5">
        <f t="shared" si="26"/>
        <v>1.6099818877036718E-3</v>
      </c>
      <c r="J282" s="5">
        <f t="shared" si="26"/>
        <v>-1.9595835884874568E-2</v>
      </c>
      <c r="K282" s="5">
        <f t="shared" si="25"/>
        <v>-8.3102493074792665E-3</v>
      </c>
      <c r="L282" s="5">
        <f t="shared" si="25"/>
        <v>-1.3236140418185334E-2</v>
      </c>
      <c r="M282" s="5">
        <f t="shared" si="25"/>
        <v>4.0513073670915105E-3</v>
      </c>
      <c r="N282" s="5">
        <f t="shared" si="24"/>
        <v>-6.112251503162516E-3</v>
      </c>
      <c r="O282" s="5">
        <f t="shared" si="22"/>
        <v>-2.6265632384903561E-3</v>
      </c>
      <c r="P282" s="79">
        <f t="shared" si="23"/>
        <v>-2.0564521089941452E-3</v>
      </c>
    </row>
    <row r="283" spans="1:16">
      <c r="A283" s="73">
        <v>45068</v>
      </c>
      <c r="B283" s="45">
        <v>1531</v>
      </c>
      <c r="C283" s="105">
        <v>1496.25</v>
      </c>
      <c r="D283" s="5">
        <v>79.3</v>
      </c>
      <c r="E283" s="5">
        <v>522.25</v>
      </c>
      <c r="F283" s="5">
        <v>739.75</v>
      </c>
      <c r="G283" s="5">
        <v>18314.400000000001</v>
      </c>
      <c r="H283" s="5">
        <f t="shared" si="26"/>
        <v>-2.0532542450217325E-3</v>
      </c>
      <c r="I283" s="5">
        <f t="shared" si="26"/>
        <v>2.1097046413502719E-3</v>
      </c>
      <c r="J283" s="5">
        <f t="shared" si="26"/>
        <v>-9.3691442848219866E-3</v>
      </c>
      <c r="K283" s="5">
        <f t="shared" si="25"/>
        <v>6.0681949528028842E-3</v>
      </c>
      <c r="L283" s="5">
        <f t="shared" si="25"/>
        <v>-4.1277864178330771E-2</v>
      </c>
      <c r="M283" s="5">
        <f t="shared" si="25"/>
        <v>6.0977619565575659E-3</v>
      </c>
      <c r="N283" s="5">
        <f t="shared" si="24"/>
        <v>-1.9367390099780057E-2</v>
      </c>
      <c r="O283" s="5">
        <f t="shared" si="22"/>
        <v>1.2033586953083208E-3</v>
      </c>
      <c r="P283" s="79">
        <f t="shared" si="23"/>
        <v>1.0151997514466248E-3</v>
      </c>
    </row>
    <row r="284" spans="1:16">
      <c r="A284" s="73">
        <v>45069</v>
      </c>
      <c r="B284" s="45">
        <v>1527.35</v>
      </c>
      <c r="C284" s="105">
        <v>1503.65</v>
      </c>
      <c r="D284" s="5">
        <v>80.45</v>
      </c>
      <c r="E284" s="5">
        <v>525.75</v>
      </c>
      <c r="F284" s="5">
        <v>770.4</v>
      </c>
      <c r="G284" s="5">
        <v>18348</v>
      </c>
      <c r="H284" s="5">
        <f t="shared" si="26"/>
        <v>-2.3840627041150169E-3</v>
      </c>
      <c r="I284" s="5">
        <f t="shared" si="26"/>
        <v>4.9456975772765857E-3</v>
      </c>
      <c r="J284" s="5">
        <f t="shared" si="26"/>
        <v>1.4501891551071951E-2</v>
      </c>
      <c r="K284" s="5">
        <f t="shared" si="25"/>
        <v>6.7017711823839157E-3</v>
      </c>
      <c r="L284" s="5">
        <f t="shared" si="25"/>
        <v>4.1432916525853299E-2</v>
      </c>
      <c r="M284" s="5">
        <f t="shared" si="25"/>
        <v>1.8346219368365079E-3</v>
      </c>
      <c r="N284" s="5">
        <f t="shared" si="24"/>
        <v>2.0452408771005293E-2</v>
      </c>
      <c r="O284" s="5">
        <f t="shared" si="22"/>
        <v>4.1584533093778336E-3</v>
      </c>
      <c r="P284" s="79">
        <f t="shared" si="23"/>
        <v>3.6031157021943383E-3</v>
      </c>
    </row>
    <row r="285" spans="1:16">
      <c r="A285" s="73">
        <v>45070</v>
      </c>
      <c r="B285" s="45">
        <v>1535</v>
      </c>
      <c r="C285" s="105">
        <v>1498.5</v>
      </c>
      <c r="D285" s="5">
        <v>80</v>
      </c>
      <c r="E285" s="5">
        <v>526.70000000000005</v>
      </c>
      <c r="F285" s="5">
        <v>757.5</v>
      </c>
      <c r="G285" s="5">
        <v>18285.400000000001</v>
      </c>
      <c r="H285" s="5">
        <f t="shared" si="26"/>
        <v>5.0086751563165558E-3</v>
      </c>
      <c r="I285" s="5">
        <f t="shared" si="26"/>
        <v>-3.4249991686895825E-3</v>
      </c>
      <c r="J285" s="5">
        <f t="shared" si="26"/>
        <v>-5.5935363579863624E-3</v>
      </c>
      <c r="K285" s="5">
        <f t="shared" si="25"/>
        <v>1.8069424631479705E-3</v>
      </c>
      <c r="L285" s="5">
        <f t="shared" si="25"/>
        <v>-1.6744548286604332E-2</v>
      </c>
      <c r="M285" s="5">
        <f t="shared" si="25"/>
        <v>-3.4118160017439802E-3</v>
      </c>
      <c r="N285" s="5">
        <f t="shared" si="24"/>
        <v>-6.5177532486895787E-3</v>
      </c>
      <c r="O285" s="5">
        <f t="shared" si="22"/>
        <v>1.8831859715552374E-3</v>
      </c>
      <c r="P285" s="79">
        <f t="shared" si="23"/>
        <v>1.696115791043762E-3</v>
      </c>
    </row>
    <row r="286" spans="1:16">
      <c r="A286" s="73">
        <v>45071</v>
      </c>
      <c r="B286" s="45">
        <v>1560.8</v>
      </c>
      <c r="C286" s="105">
        <v>1515.25</v>
      </c>
      <c r="D286" s="5">
        <v>81.900000000000006</v>
      </c>
      <c r="E286" s="5">
        <v>530.15</v>
      </c>
      <c r="F286" s="5">
        <v>754.1</v>
      </c>
      <c r="G286" s="5">
        <v>18321.150000000001</v>
      </c>
      <c r="H286" s="5">
        <f t="shared" si="26"/>
        <v>1.6807817589576519E-2</v>
      </c>
      <c r="I286" s="5">
        <f t="shared" si="26"/>
        <v>1.1177844511177844E-2</v>
      </c>
      <c r="J286" s="5">
        <f t="shared" si="26"/>
        <v>2.375000000000007E-2</v>
      </c>
      <c r="K286" s="5">
        <f t="shared" si="25"/>
        <v>6.5502183406112233E-3</v>
      </c>
      <c r="L286" s="5">
        <f t="shared" si="25"/>
        <v>-4.4884488448844583E-3</v>
      </c>
      <c r="M286" s="5">
        <f t="shared" si="25"/>
        <v>1.9551117284828333E-3</v>
      </c>
      <c r="N286" s="5">
        <f t="shared" si="24"/>
        <v>5.1806212085111466E-3</v>
      </c>
      <c r="O286" s="5">
        <f t="shared" si="22"/>
        <v>1.1015206945061336E-2</v>
      </c>
      <c r="P286" s="79">
        <f t="shared" si="23"/>
        <v>1.2198431136148193E-2</v>
      </c>
    </row>
    <row r="287" spans="1:16">
      <c r="A287" s="73">
        <v>45072</v>
      </c>
      <c r="B287" s="45">
        <v>1581.9</v>
      </c>
      <c r="C287" s="105">
        <v>1530.2</v>
      </c>
      <c r="D287" s="5">
        <v>78.95</v>
      </c>
      <c r="E287" s="5">
        <v>542.1</v>
      </c>
      <c r="F287" s="5">
        <v>768.8</v>
      </c>
      <c r="G287" s="5">
        <v>18499.349999999999</v>
      </c>
      <c r="H287" s="5">
        <f t="shared" si="26"/>
        <v>1.351870835468999E-2</v>
      </c>
      <c r="I287" s="5">
        <f t="shared" si="26"/>
        <v>9.8663586866853947E-3</v>
      </c>
      <c r="J287" s="5">
        <f t="shared" si="26"/>
        <v>-3.6019536019536051E-2</v>
      </c>
      <c r="K287" s="5">
        <f t="shared" si="25"/>
        <v>2.2540790342356024E-2</v>
      </c>
      <c r="L287" s="5">
        <f t="shared" si="25"/>
        <v>1.9493435883834943E-2</v>
      </c>
      <c r="M287" s="5">
        <f t="shared" si="25"/>
        <v>9.7264636772253412E-3</v>
      </c>
      <c r="N287" s="5">
        <f t="shared" si="24"/>
        <v>1.6010117469479807E-2</v>
      </c>
      <c r="O287" s="5">
        <f t="shared" si="22"/>
        <v>1.6323134912815822E-2</v>
      </c>
      <c r="P287" s="79">
        <f t="shared" si="23"/>
        <v>1.3615353621486593E-2</v>
      </c>
    </row>
    <row r="288" spans="1:16">
      <c r="A288" s="73">
        <v>45075</v>
      </c>
      <c r="B288" s="45">
        <v>1576.6</v>
      </c>
      <c r="C288" s="105">
        <v>1537.9</v>
      </c>
      <c r="D288" s="5">
        <v>83</v>
      </c>
      <c r="E288" s="5">
        <v>548.35</v>
      </c>
      <c r="F288" s="5">
        <v>774.5</v>
      </c>
      <c r="G288" s="5">
        <v>18598.650000000001</v>
      </c>
      <c r="H288" s="5">
        <f t="shared" si="26"/>
        <v>-3.3504014160188264E-3</v>
      </c>
      <c r="I288" s="5">
        <f t="shared" si="26"/>
        <v>5.0320219579140279E-3</v>
      </c>
      <c r="J288" s="5">
        <f t="shared" si="26"/>
        <v>5.1298290056998062E-2</v>
      </c>
      <c r="K288" s="5">
        <f t="shared" si="25"/>
        <v>1.1529238147943183E-2</v>
      </c>
      <c r="L288" s="5">
        <f t="shared" si="25"/>
        <v>7.4141519250781034E-3</v>
      </c>
      <c r="M288" s="5">
        <f t="shared" si="25"/>
        <v>5.3677561644059337E-3</v>
      </c>
      <c r="N288" s="5">
        <f t="shared" si="24"/>
        <v>5.7717434271194364E-3</v>
      </c>
      <c r="O288" s="5">
        <f t="shared" si="22"/>
        <v>6.4045868699545922E-3</v>
      </c>
      <c r="P288" s="79">
        <f t="shared" si="23"/>
        <v>7.038590039002055E-3</v>
      </c>
    </row>
    <row r="289" spans="1:16">
      <c r="A289" s="73">
        <v>45076</v>
      </c>
      <c r="B289" s="45">
        <v>1576.25</v>
      </c>
      <c r="C289" s="105">
        <v>1558.35</v>
      </c>
      <c r="D289" s="5">
        <v>82.05</v>
      </c>
      <c r="E289" s="5">
        <v>549.9</v>
      </c>
      <c r="F289" s="5">
        <v>799.75</v>
      </c>
      <c r="G289" s="5">
        <v>18633.849999999999</v>
      </c>
      <c r="H289" s="5">
        <f t="shared" si="26"/>
        <v>-2.2199670176323042E-4</v>
      </c>
      <c r="I289" s="5">
        <f t="shared" si="26"/>
        <v>1.3297353534039805E-2</v>
      </c>
      <c r="J289" s="5">
        <f t="shared" si="26"/>
        <v>-1.1445783132530155E-2</v>
      </c>
      <c r="K289" s="5">
        <f t="shared" si="25"/>
        <v>2.8266618035925131E-3</v>
      </c>
      <c r="L289" s="5">
        <f t="shared" si="25"/>
        <v>3.2601678502259521E-2</v>
      </c>
      <c r="M289" s="5">
        <f t="shared" si="25"/>
        <v>1.8926104851694659E-3</v>
      </c>
      <c r="N289" s="5">
        <f t="shared" si="24"/>
        <v>1.6247449264334437E-2</v>
      </c>
      <c r="O289" s="5">
        <f t="shared" si="22"/>
        <v>2.9546057770319049E-3</v>
      </c>
      <c r="P289" s="79">
        <f t="shared" si="23"/>
        <v>2.5902862723440139E-3</v>
      </c>
    </row>
    <row r="290" spans="1:16">
      <c r="A290" s="73">
        <v>45077</v>
      </c>
      <c r="B290" s="45">
        <v>1584.15</v>
      </c>
      <c r="C290" s="105">
        <v>1560.45</v>
      </c>
      <c r="D290" s="5">
        <v>81.900000000000006</v>
      </c>
      <c r="E290" s="5">
        <v>555.4</v>
      </c>
      <c r="F290" s="5">
        <v>808.2</v>
      </c>
      <c r="G290" s="5">
        <v>18534.400000000001</v>
      </c>
      <c r="H290" s="5">
        <f t="shared" si="26"/>
        <v>5.0118953211737297E-3</v>
      </c>
      <c r="I290" s="5">
        <f t="shared" si="26"/>
        <v>1.3475791702763414E-3</v>
      </c>
      <c r="J290" s="5">
        <f t="shared" si="26"/>
        <v>-1.8281535648993477E-3</v>
      </c>
      <c r="K290" s="5">
        <f t="shared" si="25"/>
        <v>1.000181851245681E-2</v>
      </c>
      <c r="L290" s="5">
        <f t="shared" si="25"/>
        <v>1.056580181306664E-2</v>
      </c>
      <c r="M290" s="5">
        <f t="shared" si="25"/>
        <v>-5.3370613158309791E-3</v>
      </c>
      <c r="N290" s="5">
        <f t="shared" si="24"/>
        <v>7.8958454995194851E-3</v>
      </c>
      <c r="O290" s="5">
        <f t="shared" si="22"/>
        <v>7.0241170102629744E-3</v>
      </c>
      <c r="P290" s="79">
        <f t="shared" si="23"/>
        <v>6.0501788784644286E-3</v>
      </c>
    </row>
    <row r="291" spans="1:16">
      <c r="A291" s="73">
        <v>45078</v>
      </c>
      <c r="B291" s="45">
        <v>1577.85</v>
      </c>
      <c r="C291" s="105">
        <v>1562.4</v>
      </c>
      <c r="D291" s="5">
        <v>82</v>
      </c>
      <c r="E291" s="5">
        <v>556.9</v>
      </c>
      <c r="F291" s="5">
        <v>815.35</v>
      </c>
      <c r="G291" s="5">
        <v>18487.75</v>
      </c>
      <c r="H291" s="5">
        <f t="shared" si="26"/>
        <v>-3.976896127260791E-3</v>
      </c>
      <c r="I291" s="5">
        <f t="shared" si="26"/>
        <v>1.2496395270595311E-3</v>
      </c>
      <c r="J291" s="5">
        <f t="shared" si="26"/>
        <v>1.2210012210011516E-3</v>
      </c>
      <c r="K291" s="5">
        <f t="shared" si="25"/>
        <v>2.700756211739287E-3</v>
      </c>
      <c r="L291" s="5">
        <f t="shared" si="25"/>
        <v>8.8468200940361019E-3</v>
      </c>
      <c r="M291" s="5">
        <f t="shared" si="25"/>
        <v>-2.5169414709945537E-3</v>
      </c>
      <c r="N291" s="5">
        <f t="shared" si="24"/>
        <v>3.4629631037648495E-3</v>
      </c>
      <c r="O291" s="5">
        <f t="shared" si="22"/>
        <v>1.8535824754447916E-4</v>
      </c>
      <c r="P291" s="79">
        <f t="shared" si="23"/>
        <v>-1.7523454563952279E-4</v>
      </c>
    </row>
    <row r="292" spans="1:16">
      <c r="A292" s="73">
        <v>45079</v>
      </c>
      <c r="B292" s="45">
        <v>1557.9</v>
      </c>
      <c r="C292" s="105">
        <v>1597.3</v>
      </c>
      <c r="D292" s="5">
        <v>83.2</v>
      </c>
      <c r="E292" s="5">
        <v>557.20000000000005</v>
      </c>
      <c r="F292" s="5">
        <v>838.4</v>
      </c>
      <c r="G292" s="5">
        <v>18534.099999999999</v>
      </c>
      <c r="H292" s="5">
        <f t="shared" si="26"/>
        <v>-1.264378743226531E-2</v>
      </c>
      <c r="I292" s="5">
        <f t="shared" si="26"/>
        <v>2.2337429595494025E-2</v>
      </c>
      <c r="J292" s="5">
        <f t="shared" si="26"/>
        <v>1.4634146341463448E-2</v>
      </c>
      <c r="K292" s="5">
        <f t="shared" si="25"/>
        <v>5.3869635482145484E-4</v>
      </c>
      <c r="L292" s="5">
        <f t="shared" si="25"/>
        <v>2.8270068068927397E-2</v>
      </c>
      <c r="M292" s="5">
        <f t="shared" si="25"/>
        <v>2.5070654893104105E-3</v>
      </c>
      <c r="N292" s="5">
        <f t="shared" si="24"/>
        <v>1.1446146727925623E-2</v>
      </c>
      <c r="O292" s="5">
        <f t="shared" si="22"/>
        <v>-1.2875552105852946E-3</v>
      </c>
      <c r="P292" s="79">
        <f t="shared" si="23"/>
        <v>-3.0622220234392112E-4</v>
      </c>
    </row>
    <row r="293" spans="1:16">
      <c r="A293" s="73">
        <v>45082</v>
      </c>
      <c r="B293" s="45">
        <v>1576.7</v>
      </c>
      <c r="C293" s="105">
        <v>1599.05</v>
      </c>
      <c r="D293" s="5">
        <v>85.6</v>
      </c>
      <c r="E293" s="5">
        <v>552.25</v>
      </c>
      <c r="F293" s="5">
        <v>986.1</v>
      </c>
      <c r="G293" s="5">
        <v>18593.849999999999</v>
      </c>
      <c r="H293" s="5">
        <f t="shared" si="26"/>
        <v>1.206752679889592E-2</v>
      </c>
      <c r="I293" s="5">
        <f t="shared" si="26"/>
        <v>1.0955988230138358E-3</v>
      </c>
      <c r="J293" s="5">
        <f t="shared" si="26"/>
        <v>2.8846153846153744E-2</v>
      </c>
      <c r="K293" s="5">
        <f t="shared" si="25"/>
        <v>-8.88370423546311E-3</v>
      </c>
      <c r="L293" s="5">
        <f t="shared" si="25"/>
        <v>0.17616889312977105</v>
      </c>
      <c r="M293" s="5">
        <f t="shared" si="25"/>
        <v>3.2237875051931309E-3</v>
      </c>
      <c r="N293" s="5">
        <f t="shared" si="24"/>
        <v>8.6334027840203081E-2</v>
      </c>
      <c r="O293" s="5">
        <f t="shared" si="22"/>
        <v>4.9909890514556101E-3</v>
      </c>
      <c r="P293" s="79">
        <f t="shared" si="23"/>
        <v>4.47445855353607E-3</v>
      </c>
    </row>
    <row r="294" spans="1:16">
      <c r="A294" s="73">
        <v>45083</v>
      </c>
      <c r="B294" s="45">
        <v>1577.9</v>
      </c>
      <c r="C294" s="105">
        <v>1602.65</v>
      </c>
      <c r="D294" s="5">
        <v>83.85</v>
      </c>
      <c r="E294" s="5">
        <v>547.5</v>
      </c>
      <c r="F294" s="45">
        <v>1027</v>
      </c>
      <c r="G294" s="5">
        <v>18599</v>
      </c>
      <c r="H294" s="5">
        <f t="shared" si="26"/>
        <v>7.6108327519505638E-4</v>
      </c>
      <c r="I294" s="5">
        <f t="shared" si="26"/>
        <v>2.2513367311842261E-3</v>
      </c>
      <c r="J294" s="5">
        <f t="shared" si="26"/>
        <v>-2.0443925233644862E-2</v>
      </c>
      <c r="K294" s="5">
        <f t="shared" si="25"/>
        <v>-8.6011770031688538E-3</v>
      </c>
      <c r="L294" s="5">
        <f t="shared" si="25"/>
        <v>4.1476523679140023E-2</v>
      </c>
      <c r="M294" s="5">
        <f t="shared" si="25"/>
        <v>2.7697330031174045E-4</v>
      </c>
      <c r="N294" s="5">
        <f t="shared" si="24"/>
        <v>1.8208130032662983E-2</v>
      </c>
      <c r="O294" s="5">
        <f t="shared" si="22"/>
        <v>-3.3169260378132109E-3</v>
      </c>
      <c r="P294" s="79">
        <f t="shared" si="23"/>
        <v>-3.6164988836158009E-3</v>
      </c>
    </row>
    <row r="295" spans="1:16">
      <c r="A295" s="73">
        <v>45084</v>
      </c>
      <c r="B295" s="45">
        <v>1592.3</v>
      </c>
      <c r="C295" s="105">
        <v>1602.85</v>
      </c>
      <c r="D295" s="5">
        <v>84.2</v>
      </c>
      <c r="E295" s="5">
        <v>556.5</v>
      </c>
      <c r="F295" s="45">
        <v>1029.1500000000001</v>
      </c>
      <c r="G295" s="5">
        <v>18726.400000000001</v>
      </c>
      <c r="H295" s="5">
        <f t="shared" si="26"/>
        <v>9.1260536155649049E-3</v>
      </c>
      <c r="I295" s="5">
        <f t="shared" si="26"/>
        <v>1.2479331107841267E-4</v>
      </c>
      <c r="J295" s="5">
        <f t="shared" si="26"/>
        <v>4.1741204531903229E-3</v>
      </c>
      <c r="K295" s="5">
        <f t="shared" si="25"/>
        <v>1.643835616438356E-2</v>
      </c>
      <c r="L295" s="5">
        <f t="shared" si="25"/>
        <v>2.0934761441091443E-3</v>
      </c>
      <c r="M295" s="5">
        <f t="shared" si="25"/>
        <v>6.8498306360557804E-3</v>
      </c>
      <c r="N295" s="5">
        <f t="shared" si="24"/>
        <v>6.0987135582680181E-3</v>
      </c>
      <c r="O295" s="5">
        <f t="shared" si="22"/>
        <v>1.1533700727159424E-2</v>
      </c>
      <c r="P295" s="79">
        <f t="shared" si="23"/>
        <v>1.0285201397359991E-2</v>
      </c>
    </row>
    <row r="296" spans="1:16">
      <c r="A296" s="73">
        <v>45085</v>
      </c>
      <c r="B296" s="45">
        <v>1581.2</v>
      </c>
      <c r="C296" s="105">
        <v>1588.6</v>
      </c>
      <c r="D296" s="5">
        <v>84.3</v>
      </c>
      <c r="E296" s="5">
        <v>552.1</v>
      </c>
      <c r="F296" s="45">
        <v>1007.1</v>
      </c>
      <c r="G296" s="5">
        <v>18634.55</v>
      </c>
      <c r="H296" s="5">
        <f t="shared" si="26"/>
        <v>-6.9710481693147711E-3</v>
      </c>
      <c r="I296" s="5">
        <f t="shared" si="26"/>
        <v>-8.8904139501512942E-3</v>
      </c>
      <c r="J296" s="5">
        <f t="shared" si="26"/>
        <v>1.1876484560569395E-3</v>
      </c>
      <c r="K296" s="5">
        <f t="shared" si="25"/>
        <v>-7.9065588499550362E-3</v>
      </c>
      <c r="L296" s="5">
        <f t="shared" si="25"/>
        <v>-2.1425448185395778E-2</v>
      </c>
      <c r="M296" s="5">
        <f t="shared" si="25"/>
        <v>-4.9048402255640264E-3</v>
      </c>
      <c r="N296" s="5">
        <f t="shared" si="24"/>
        <v>-1.3821557833414636E-2</v>
      </c>
      <c r="O296" s="5">
        <f t="shared" si="22"/>
        <v>-7.7039188811014311E-3</v>
      </c>
      <c r="P296" s="79">
        <f t="shared" si="23"/>
        <v>-7.2538566021346776E-3</v>
      </c>
    </row>
    <row r="297" spans="1:16">
      <c r="A297" s="73">
        <v>45086</v>
      </c>
      <c r="B297" s="45">
        <v>1575.1</v>
      </c>
      <c r="C297" s="105">
        <v>1598.4</v>
      </c>
      <c r="D297" s="5">
        <v>85.8</v>
      </c>
      <c r="E297" s="5">
        <v>549.95000000000005</v>
      </c>
      <c r="F297" s="45">
        <v>1034.95</v>
      </c>
      <c r="G297" s="5">
        <v>18563.400000000001</v>
      </c>
      <c r="H297" s="5">
        <f t="shared" si="26"/>
        <v>-3.8578294965849586E-3</v>
      </c>
      <c r="I297" s="5">
        <f t="shared" si="26"/>
        <v>6.1689537957951542E-3</v>
      </c>
      <c r="J297" s="5">
        <f t="shared" si="26"/>
        <v>1.7793594306049824E-2</v>
      </c>
      <c r="K297" s="5">
        <f t="shared" si="25"/>
        <v>-3.8942220612207521E-3</v>
      </c>
      <c r="L297" s="5">
        <f t="shared" si="25"/>
        <v>2.7653659020951269E-2</v>
      </c>
      <c r="M297" s="5">
        <f t="shared" si="25"/>
        <v>-3.8181764518058028E-3</v>
      </c>
      <c r="N297" s="5">
        <f t="shared" si="24"/>
        <v>1.2225914148214828E-2</v>
      </c>
      <c r="O297" s="5">
        <f t="shared" si="22"/>
        <v>-1.6318641753646206E-3</v>
      </c>
      <c r="P297" s="79">
        <f t="shared" si="23"/>
        <v>-8.4414784240873528E-4</v>
      </c>
    </row>
    <row r="298" spans="1:16">
      <c r="A298" s="73">
        <v>45089</v>
      </c>
      <c r="B298" s="45">
        <v>1573.4</v>
      </c>
      <c r="C298" s="105">
        <v>1595.35</v>
      </c>
      <c r="D298" s="5">
        <v>85.8</v>
      </c>
      <c r="E298" s="5">
        <v>553.6</v>
      </c>
      <c r="F298" s="45">
        <v>1045.5</v>
      </c>
      <c r="G298" s="5">
        <v>18601.5</v>
      </c>
      <c r="H298" s="5">
        <f t="shared" si="26"/>
        <v>-1.0792965525997194E-3</v>
      </c>
      <c r="I298" s="5">
        <f t="shared" si="26"/>
        <v>-1.9081581581582719E-3</v>
      </c>
      <c r="J298" s="5">
        <f t="shared" si="26"/>
        <v>0</v>
      </c>
      <c r="K298" s="5">
        <f t="shared" si="25"/>
        <v>6.6369669969996853E-3</v>
      </c>
      <c r="L298" s="5">
        <f t="shared" si="25"/>
        <v>1.0193729165660132E-2</v>
      </c>
      <c r="M298" s="5">
        <f t="shared" si="25"/>
        <v>2.0524257409740964E-3</v>
      </c>
      <c r="N298" s="5">
        <f t="shared" si="24"/>
        <v>5.2708355731115684E-3</v>
      </c>
      <c r="O298" s="5">
        <f t="shared" si="22"/>
        <v>2.8687027326553807E-3</v>
      </c>
      <c r="P298" s="79">
        <f t="shared" si="23"/>
        <v>1.9628480692489869E-3</v>
      </c>
    </row>
    <row r="299" spans="1:16">
      <c r="A299" s="73">
        <v>45090</v>
      </c>
      <c r="B299" s="45">
        <v>1599.4</v>
      </c>
      <c r="C299" s="105">
        <v>1685.65</v>
      </c>
      <c r="D299" s="5">
        <v>85.1</v>
      </c>
      <c r="E299" s="5">
        <v>560.45000000000005</v>
      </c>
      <c r="F299" s="45">
        <v>1037.95</v>
      </c>
      <c r="G299" s="5">
        <v>18716.150000000001</v>
      </c>
      <c r="H299" s="5">
        <f t="shared" si="26"/>
        <v>1.6524723528664038E-2</v>
      </c>
      <c r="I299" s="5">
        <f t="shared" si="26"/>
        <v>5.6601999561224928E-2</v>
      </c>
      <c r="J299" s="5">
        <f t="shared" si="26"/>
        <v>-8.1585081585081928E-3</v>
      </c>
      <c r="K299" s="5">
        <f t="shared" si="25"/>
        <v>1.2373554913294837E-2</v>
      </c>
      <c r="L299" s="5">
        <f t="shared" si="25"/>
        <v>-7.2214251554279813E-3</v>
      </c>
      <c r="M299" s="5">
        <f t="shared" si="25"/>
        <v>6.1634814396689221E-3</v>
      </c>
      <c r="N299" s="5">
        <f t="shared" si="24"/>
        <v>6.6778879672217753E-3</v>
      </c>
      <c r="O299" s="5">
        <f t="shared" si="22"/>
        <v>1.7075500677495026E-2</v>
      </c>
      <c r="P299" s="79">
        <f t="shared" si="23"/>
        <v>1.9286498373245628E-2</v>
      </c>
    </row>
    <row r="300" spans="1:16">
      <c r="A300" s="73">
        <v>45091</v>
      </c>
      <c r="B300" s="45">
        <v>1603.2</v>
      </c>
      <c r="C300" s="105">
        <v>1711.2</v>
      </c>
      <c r="D300" s="5">
        <v>83.85</v>
      </c>
      <c r="E300" s="5">
        <v>562.35</v>
      </c>
      <c r="F300" s="45">
        <v>1030.3</v>
      </c>
      <c r="G300" s="5">
        <v>18755.900000000001</v>
      </c>
      <c r="H300" s="5">
        <f t="shared" si="26"/>
        <v>2.3758909591096375E-3</v>
      </c>
      <c r="I300" s="5">
        <f t="shared" si="26"/>
        <v>1.5157357695844306E-2</v>
      </c>
      <c r="J300" s="5">
        <f t="shared" si="26"/>
        <v>-1.4688601645123386E-2</v>
      </c>
      <c r="K300" s="5">
        <f t="shared" si="25"/>
        <v>3.3901329288963818E-3</v>
      </c>
      <c r="L300" s="5">
        <f t="shared" si="25"/>
        <v>-7.3702972204827697E-3</v>
      </c>
      <c r="M300" s="5">
        <f t="shared" si="25"/>
        <v>2.1238342287275961E-3</v>
      </c>
      <c r="N300" s="5">
        <f t="shared" si="24"/>
        <v>-1.7152308362553589E-3</v>
      </c>
      <c r="O300" s="5">
        <f t="shared" si="22"/>
        <v>3.3847537604941684E-3</v>
      </c>
      <c r="P300" s="79">
        <f t="shared" si="23"/>
        <v>3.6109624668067704E-3</v>
      </c>
    </row>
    <row r="301" spans="1:16">
      <c r="A301" s="73">
        <v>45092</v>
      </c>
      <c r="B301" s="45">
        <v>1614.6</v>
      </c>
      <c r="C301" s="105">
        <v>1685.05</v>
      </c>
      <c r="D301" s="5">
        <v>84.55</v>
      </c>
      <c r="E301" s="5">
        <v>569.04999999999995</v>
      </c>
      <c r="F301" s="45">
        <v>1054.55</v>
      </c>
      <c r="G301" s="5">
        <v>18688.099999999999</v>
      </c>
      <c r="H301" s="5">
        <f t="shared" si="26"/>
        <v>7.1107784431136871E-3</v>
      </c>
      <c r="I301" s="5">
        <f t="shared" si="26"/>
        <v>-1.528167367928944E-2</v>
      </c>
      <c r="J301" s="5">
        <f t="shared" si="26"/>
        <v>8.3482409063804757E-3</v>
      </c>
      <c r="K301" s="5">
        <f t="shared" si="25"/>
        <v>1.1914288254645562E-2</v>
      </c>
      <c r="L301" s="5">
        <f t="shared" si="25"/>
        <v>2.3536833931864506E-2</v>
      </c>
      <c r="M301" s="5">
        <f t="shared" si="25"/>
        <v>-3.6148625232595025E-3</v>
      </c>
      <c r="N301" s="5">
        <f t="shared" si="24"/>
        <v>1.4106141091481941E-2</v>
      </c>
      <c r="O301" s="5">
        <f t="shared" si="22"/>
        <v>7.7335852802068259E-3</v>
      </c>
      <c r="P301" s="79">
        <f t="shared" si="23"/>
        <v>5.8212239496104254E-3</v>
      </c>
    </row>
    <row r="302" spans="1:16">
      <c r="A302" s="73">
        <v>45093</v>
      </c>
      <c r="B302" s="45">
        <v>1616.1</v>
      </c>
      <c r="C302" s="105">
        <v>1714.25</v>
      </c>
      <c r="D302" s="5">
        <v>86.75</v>
      </c>
      <c r="E302" s="5">
        <v>570.9</v>
      </c>
      <c r="F302" s="45">
        <v>1187.5999999999999</v>
      </c>
      <c r="G302" s="5">
        <v>18826</v>
      </c>
      <c r="H302" s="5">
        <f t="shared" si="26"/>
        <v>9.2902266815310299E-4</v>
      </c>
      <c r="I302" s="5">
        <f t="shared" si="26"/>
        <v>1.7328862645025398E-2</v>
      </c>
      <c r="J302" s="5">
        <f t="shared" si="26"/>
        <v>2.6020106445890041E-2</v>
      </c>
      <c r="K302" s="5">
        <f t="shared" si="25"/>
        <v>3.2510324224585235E-3</v>
      </c>
      <c r="L302" s="5">
        <f t="shared" si="25"/>
        <v>0.1261675596225878</v>
      </c>
      <c r="M302" s="5">
        <f t="shared" si="25"/>
        <v>7.3790272954447735E-3</v>
      </c>
      <c r="N302" s="5">
        <f t="shared" si="24"/>
        <v>6.2044275505118783E-2</v>
      </c>
      <c r="O302" s="5">
        <f t="shared" si="22"/>
        <v>7.0864859487877107E-3</v>
      </c>
      <c r="P302" s="79">
        <f t="shared" si="23"/>
        <v>6.7433680451224739E-3</v>
      </c>
    </row>
    <row r="303" spans="1:16">
      <c r="A303" s="73">
        <v>45096</v>
      </c>
      <c r="B303" s="45">
        <v>1626.2</v>
      </c>
      <c r="C303" s="105">
        <v>1708.45</v>
      </c>
      <c r="D303" s="5">
        <v>87.35</v>
      </c>
      <c r="E303" s="5">
        <v>569.15</v>
      </c>
      <c r="F303" s="45">
        <v>1218.0999999999999</v>
      </c>
      <c r="G303" s="5">
        <v>18755.45</v>
      </c>
      <c r="H303" s="5">
        <f t="shared" si="26"/>
        <v>6.2496132665058705E-3</v>
      </c>
      <c r="I303" s="5">
        <f t="shared" si="26"/>
        <v>-3.3834038209129094E-3</v>
      </c>
      <c r="J303" s="5">
        <f t="shared" si="26"/>
        <v>6.9164265129682346E-3</v>
      </c>
      <c r="K303" s="5">
        <f t="shared" si="25"/>
        <v>-3.0653354352776318E-3</v>
      </c>
      <c r="L303" s="5">
        <f t="shared" si="25"/>
        <v>2.5682047827551367E-2</v>
      </c>
      <c r="M303" s="5">
        <f t="shared" si="25"/>
        <v>-3.7474768936576687E-3</v>
      </c>
      <c r="N303" s="5">
        <f t="shared" si="24"/>
        <v>1.353455153498016E-2</v>
      </c>
      <c r="O303" s="5">
        <f t="shared" si="22"/>
        <v>1.2738183435115765E-3</v>
      </c>
      <c r="P303" s="79">
        <f t="shared" si="23"/>
        <v>1.3478562868981191E-3</v>
      </c>
    </row>
    <row r="304" spans="1:16">
      <c r="A304" s="73">
        <v>45097</v>
      </c>
      <c r="B304" s="45">
        <v>1640.8</v>
      </c>
      <c r="C304" s="105">
        <v>1719.45</v>
      </c>
      <c r="D304" s="5">
        <v>87.95</v>
      </c>
      <c r="E304" s="5">
        <v>572.1</v>
      </c>
      <c r="F304" s="45">
        <v>1306.8499999999999</v>
      </c>
      <c r="G304" s="5">
        <v>18816.7</v>
      </c>
      <c r="H304" s="5">
        <f t="shared" si="26"/>
        <v>8.9779854876398408E-3</v>
      </c>
      <c r="I304" s="5">
        <f t="shared" si="26"/>
        <v>6.4385846820217158E-3</v>
      </c>
      <c r="J304" s="5">
        <f t="shared" si="26"/>
        <v>6.868918145392199E-3</v>
      </c>
      <c r="K304" s="5">
        <f t="shared" si="25"/>
        <v>5.1831678819292725E-3</v>
      </c>
      <c r="L304" s="5">
        <f t="shared" si="25"/>
        <v>7.2859371151793778E-2</v>
      </c>
      <c r="M304" s="5">
        <f t="shared" si="25"/>
        <v>3.2657174314665869E-3</v>
      </c>
      <c r="N304" s="5">
        <f t="shared" si="24"/>
        <v>3.8366340610203144E-2</v>
      </c>
      <c r="O304" s="5">
        <f t="shared" si="22"/>
        <v>8.2649827014868345E-3</v>
      </c>
      <c r="P304" s="79">
        <f t="shared" si="23"/>
        <v>7.4768972523002169E-3</v>
      </c>
    </row>
    <row r="305" spans="1:16">
      <c r="A305" s="73">
        <v>45098</v>
      </c>
      <c r="B305" s="45">
        <v>1650.05</v>
      </c>
      <c r="C305" s="105">
        <v>1700.8</v>
      </c>
      <c r="D305" s="5">
        <v>86.9</v>
      </c>
      <c r="E305" s="5">
        <v>567.1</v>
      </c>
      <c r="F305" s="45">
        <v>1220.0999999999999</v>
      </c>
      <c r="G305" s="5">
        <v>18856.849999999999</v>
      </c>
      <c r="H305" s="5">
        <f t="shared" si="26"/>
        <v>5.637493905411994E-3</v>
      </c>
      <c r="I305" s="5">
        <f t="shared" si="26"/>
        <v>-1.0846491610689518E-2</v>
      </c>
      <c r="J305" s="5">
        <f t="shared" si="26"/>
        <v>-1.1938601478112531E-2</v>
      </c>
      <c r="K305" s="5">
        <f t="shared" si="25"/>
        <v>-8.7397308162908572E-3</v>
      </c>
      <c r="L305" s="5">
        <f t="shared" si="25"/>
        <v>-6.6380992462792221E-2</v>
      </c>
      <c r="M305" s="5">
        <f t="shared" si="25"/>
        <v>2.1337428985952808E-3</v>
      </c>
      <c r="N305" s="5">
        <f t="shared" si="24"/>
        <v>-3.1833880445011863E-2</v>
      </c>
      <c r="O305" s="5">
        <f t="shared" si="22"/>
        <v>-4.9836271954255109E-3</v>
      </c>
      <c r="P305" s="79">
        <f t="shared" si="23"/>
        <v>-4.0511693892556853E-3</v>
      </c>
    </row>
    <row r="306" spans="1:16">
      <c r="A306" s="73">
        <v>45099</v>
      </c>
      <c r="B306" s="45">
        <v>1636.5</v>
      </c>
      <c r="C306" s="105">
        <v>1710.7</v>
      </c>
      <c r="D306" s="5">
        <v>85.75</v>
      </c>
      <c r="E306" s="5">
        <v>562.65</v>
      </c>
      <c r="F306" s="45">
        <v>1229.8499999999999</v>
      </c>
      <c r="G306" s="5">
        <v>18771.25</v>
      </c>
      <c r="H306" s="5">
        <f t="shared" si="26"/>
        <v>-8.2118723675039876E-3</v>
      </c>
      <c r="I306" s="5">
        <f t="shared" si="26"/>
        <v>5.8207902163688215E-3</v>
      </c>
      <c r="J306" s="5">
        <f t="shared" si="26"/>
        <v>-1.3233601841196842E-2</v>
      </c>
      <c r="K306" s="5">
        <f t="shared" si="25"/>
        <v>-7.8469405748546033E-3</v>
      </c>
      <c r="L306" s="5">
        <f t="shared" si="25"/>
        <v>7.9911482665355298E-3</v>
      </c>
      <c r="M306" s="5">
        <f t="shared" si="25"/>
        <v>-4.5394644386521901E-3</v>
      </c>
      <c r="N306" s="5">
        <f t="shared" si="24"/>
        <v>2.5007515598737687E-4</v>
      </c>
      <c r="O306" s="5">
        <f t="shared" si="22"/>
        <v>-6.4896371800034977E-3</v>
      </c>
      <c r="P306" s="79">
        <f t="shared" si="23"/>
        <v>-6.1323528575954397E-3</v>
      </c>
    </row>
    <row r="307" spans="1:16">
      <c r="A307" s="73">
        <v>45100</v>
      </c>
      <c r="B307" s="45">
        <v>1625.5</v>
      </c>
      <c r="C307" s="105">
        <v>1724.95</v>
      </c>
      <c r="D307" s="5">
        <v>84.65</v>
      </c>
      <c r="E307" s="5">
        <v>563.35</v>
      </c>
      <c r="F307" s="45">
        <v>1173.05</v>
      </c>
      <c r="G307" s="5">
        <v>18665.5</v>
      </c>
      <c r="H307" s="5">
        <f t="shared" si="26"/>
        <v>-6.7216620837152463E-3</v>
      </c>
      <c r="I307" s="5">
        <f t="shared" si="26"/>
        <v>8.3299234231601089E-3</v>
      </c>
      <c r="J307" s="5">
        <f t="shared" si="26"/>
        <v>-1.2827988338192353E-2</v>
      </c>
      <c r="K307" s="5">
        <f t="shared" si="25"/>
        <v>1.2441126810629087E-3</v>
      </c>
      <c r="L307" s="5">
        <f t="shared" si="25"/>
        <v>-4.6184494043989069E-2</v>
      </c>
      <c r="M307" s="5">
        <f t="shared" si="25"/>
        <v>-5.6336152360657917E-3</v>
      </c>
      <c r="N307" s="5">
        <f t="shared" si="24"/>
        <v>-2.3435159747403421E-2</v>
      </c>
      <c r="O307" s="5">
        <f t="shared" si="22"/>
        <v>-2.4870696549177209E-3</v>
      </c>
      <c r="P307" s="79">
        <f t="shared" si="23"/>
        <v>-2.0074937859782828E-3</v>
      </c>
    </row>
    <row r="308" spans="1:16">
      <c r="A308" s="73">
        <v>45103</v>
      </c>
      <c r="B308" s="45">
        <v>1643.3</v>
      </c>
      <c r="C308" s="105">
        <v>1753.65</v>
      </c>
      <c r="D308" s="5">
        <v>83.8</v>
      </c>
      <c r="E308" s="5">
        <v>569.54999999999995</v>
      </c>
      <c r="F308" s="45">
        <v>1257.0999999999999</v>
      </c>
      <c r="G308" s="5">
        <v>18691.2</v>
      </c>
      <c r="H308" s="5">
        <f t="shared" si="26"/>
        <v>1.0950476776376471E-2</v>
      </c>
      <c r="I308" s="5">
        <f t="shared" si="26"/>
        <v>1.6638163425026838E-2</v>
      </c>
      <c r="J308" s="5">
        <f t="shared" si="26"/>
        <v>-1.0041346721795729E-2</v>
      </c>
      <c r="K308" s="5">
        <f t="shared" si="25"/>
        <v>1.100559155054572E-2</v>
      </c>
      <c r="L308" s="5">
        <f t="shared" si="25"/>
        <v>7.1650824773027547E-2</v>
      </c>
      <c r="M308" s="5">
        <f t="shared" si="25"/>
        <v>1.3768717687713014E-3</v>
      </c>
      <c r="N308" s="5">
        <f t="shared" si="24"/>
        <v>3.9390506695550324E-2</v>
      </c>
      <c r="O308" s="5">
        <f t="shared" si="22"/>
        <v>1.2290048041082054E-2</v>
      </c>
      <c r="P308" s="79">
        <f t="shared" si="23"/>
        <v>1.1051209743588496E-2</v>
      </c>
    </row>
    <row r="309" spans="1:16">
      <c r="A309" s="73">
        <v>45104</v>
      </c>
      <c r="B309" s="45">
        <v>1662.85</v>
      </c>
      <c r="C309" s="105">
        <v>1742.85</v>
      </c>
      <c r="D309" s="5">
        <v>84.35</v>
      </c>
      <c r="E309" s="5">
        <v>570.6</v>
      </c>
      <c r="F309" s="45">
        <v>1244.7</v>
      </c>
      <c r="G309" s="5">
        <v>18817.400000000001</v>
      </c>
      <c r="H309" s="5">
        <f t="shared" si="26"/>
        <v>1.1896793038398317E-2</v>
      </c>
      <c r="I309" s="5">
        <f t="shared" si="26"/>
        <v>-6.1585835257891722E-3</v>
      </c>
      <c r="J309" s="5">
        <f t="shared" si="26"/>
        <v>6.5632458233889877E-3</v>
      </c>
      <c r="K309" s="5">
        <f t="shared" si="25"/>
        <v>1.8435607058205044E-3</v>
      </c>
      <c r="L309" s="5">
        <f t="shared" si="25"/>
        <v>-9.863972635430646E-3</v>
      </c>
      <c r="M309" s="5">
        <f t="shared" si="25"/>
        <v>6.7518404382811547E-3</v>
      </c>
      <c r="N309" s="5">
        <f t="shared" si="24"/>
        <v>-1.0515011504520604E-3</v>
      </c>
      <c r="O309" s="5">
        <f t="shared" si="22"/>
        <v>4.6848418424570125E-3</v>
      </c>
      <c r="P309" s="79">
        <f t="shared" si="23"/>
        <v>4.7704198093009888E-3</v>
      </c>
    </row>
    <row r="310" spans="1:16">
      <c r="A310" s="73">
        <v>45105</v>
      </c>
      <c r="B310" s="45">
        <v>1662.95</v>
      </c>
      <c r="C310" s="105">
        <v>1769.3</v>
      </c>
      <c r="D310" s="5">
        <v>85.05</v>
      </c>
      <c r="E310" s="5">
        <v>574.1</v>
      </c>
      <c r="F310" s="45">
        <v>1240.0999999999999</v>
      </c>
      <c r="G310" s="5">
        <v>18972.099999999999</v>
      </c>
      <c r="H310" s="5">
        <f t="shared" si="26"/>
        <v>6.0137715368275207E-5</v>
      </c>
      <c r="I310" s="5">
        <f t="shared" si="26"/>
        <v>1.5176291706113577E-2</v>
      </c>
      <c r="J310" s="5">
        <f t="shared" si="26"/>
        <v>8.2987551867220264E-3</v>
      </c>
      <c r="K310" s="5">
        <f t="shared" si="25"/>
        <v>6.1338941465124428E-3</v>
      </c>
      <c r="L310" s="5">
        <f t="shared" si="25"/>
        <v>-3.6956696392706164E-3</v>
      </c>
      <c r="M310" s="5">
        <f t="shared" si="25"/>
        <v>8.2211145004090404E-3</v>
      </c>
      <c r="N310" s="5">
        <f t="shared" si="24"/>
        <v>3.1670915293501327E-4</v>
      </c>
      <c r="O310" s="5">
        <f t="shared" si="22"/>
        <v>4.5744061057853931E-3</v>
      </c>
      <c r="P310" s="79">
        <f t="shared" si="23"/>
        <v>5.1652369379297982E-3</v>
      </c>
    </row>
    <row r="311" spans="1:16">
      <c r="A311" s="73">
        <v>45107</v>
      </c>
      <c r="B311" s="45">
        <v>1675.5</v>
      </c>
      <c r="C311" s="105">
        <v>1764.15</v>
      </c>
      <c r="D311" s="5">
        <v>87.65</v>
      </c>
      <c r="E311" s="5">
        <v>572.95000000000005</v>
      </c>
      <c r="F311" s="45">
        <v>1246.4000000000001</v>
      </c>
      <c r="G311" s="5">
        <v>19189.05</v>
      </c>
      <c r="H311" s="5">
        <f t="shared" si="26"/>
        <v>7.5468294296280429E-3</v>
      </c>
      <c r="I311" s="5">
        <f t="shared" si="26"/>
        <v>-2.9107556660825547E-3</v>
      </c>
      <c r="J311" s="5">
        <f t="shared" si="26"/>
        <v>3.0570252792475116E-2</v>
      </c>
      <c r="K311" s="5">
        <f t="shared" si="25"/>
        <v>-2.0031353422748253E-3</v>
      </c>
      <c r="L311" s="5">
        <f t="shared" si="25"/>
        <v>5.0802354648820111E-3</v>
      </c>
      <c r="M311" s="5">
        <f t="shared" si="25"/>
        <v>1.1435212759789414E-2</v>
      </c>
      <c r="N311" s="5">
        <f t="shared" si="24"/>
        <v>5.0172926466502251E-3</v>
      </c>
      <c r="O311" s="5">
        <f t="shared" si="22"/>
        <v>2.5058202985709485E-3</v>
      </c>
      <c r="P311" s="79">
        <f t="shared" si="23"/>
        <v>3.5826925696799041E-3</v>
      </c>
    </row>
    <row r="312" spans="1:16">
      <c r="A312" s="73">
        <v>45110</v>
      </c>
      <c r="B312" s="45">
        <v>1648.3</v>
      </c>
      <c r="C312" s="105">
        <v>1751.55</v>
      </c>
      <c r="D312" s="5">
        <v>88.3</v>
      </c>
      <c r="E312" s="5">
        <v>582.25</v>
      </c>
      <c r="F312" s="45">
        <v>1289.0999999999999</v>
      </c>
      <c r="G312" s="5">
        <v>19322.55</v>
      </c>
      <c r="H312" s="5">
        <f t="shared" si="26"/>
        <v>-1.6233960011936763E-2</v>
      </c>
      <c r="I312" s="5">
        <f t="shared" si="26"/>
        <v>-7.1422498086898146E-3</v>
      </c>
      <c r="J312" s="5">
        <f t="shared" si="26"/>
        <v>7.41585852823721E-3</v>
      </c>
      <c r="K312" s="5">
        <f t="shared" si="25"/>
        <v>1.6231782878087013E-2</v>
      </c>
      <c r="L312" s="5">
        <f t="shared" si="25"/>
        <v>3.4258664955070454E-2</v>
      </c>
      <c r="M312" s="5">
        <f t="shared" si="25"/>
        <v>6.9570927169401303E-3</v>
      </c>
      <c r="N312" s="5">
        <f t="shared" si="24"/>
        <v>1.3251132113077449E-2</v>
      </c>
      <c r="O312" s="5">
        <f t="shared" si="22"/>
        <v>2.1560568905720544E-3</v>
      </c>
      <c r="P312" s="79">
        <f t="shared" si="23"/>
        <v>-3.9067524731243127E-4</v>
      </c>
    </row>
    <row r="313" spans="1:16">
      <c r="A313" s="73">
        <v>45111</v>
      </c>
      <c r="B313" s="45">
        <v>1632.2</v>
      </c>
      <c r="C313" s="105">
        <v>1736.35</v>
      </c>
      <c r="D313" s="5">
        <v>86.9</v>
      </c>
      <c r="E313" s="5">
        <v>579.65</v>
      </c>
      <c r="F313" s="45">
        <v>1283.3</v>
      </c>
      <c r="G313" s="5">
        <v>19389</v>
      </c>
      <c r="H313" s="5">
        <f t="shared" si="26"/>
        <v>-9.7676393860340414E-3</v>
      </c>
      <c r="I313" s="5">
        <f t="shared" si="26"/>
        <v>-8.6780280323142615E-3</v>
      </c>
      <c r="J313" s="5">
        <f t="shared" si="26"/>
        <v>-1.5855039637598999E-2</v>
      </c>
      <c r="K313" s="5">
        <f t="shared" si="25"/>
        <v>-4.4654358093602796E-3</v>
      </c>
      <c r="L313" s="5">
        <f t="shared" si="25"/>
        <v>-4.4992630517414903E-3</v>
      </c>
      <c r="M313" s="5">
        <f t="shared" si="25"/>
        <v>3.4389870902132862E-3</v>
      </c>
      <c r="N313" s="5">
        <f t="shared" si="24"/>
        <v>-6.6489172230488787E-3</v>
      </c>
      <c r="O313" s="5">
        <f t="shared" si="22"/>
        <v>-7.141771529561013E-3</v>
      </c>
      <c r="P313" s="79">
        <f t="shared" si="23"/>
        <v>-7.8503050897388467E-3</v>
      </c>
    </row>
    <row r="314" spans="1:16">
      <c r="A314" s="73">
        <v>45112</v>
      </c>
      <c r="B314" s="45">
        <v>1658.9</v>
      </c>
      <c r="C314" s="105">
        <v>1731.7</v>
      </c>
      <c r="D314" s="5">
        <v>92.95</v>
      </c>
      <c r="E314" s="5">
        <v>592.45000000000005</v>
      </c>
      <c r="F314" s="45">
        <v>1302.75</v>
      </c>
      <c r="G314" s="5">
        <v>19398.5</v>
      </c>
      <c r="H314" s="5">
        <f t="shared" si="26"/>
        <v>1.6358289425315552E-2</v>
      </c>
      <c r="I314" s="5">
        <f t="shared" si="26"/>
        <v>-2.6780315028651271E-3</v>
      </c>
      <c r="J314" s="5">
        <f t="shared" si="26"/>
        <v>6.9620253164556931E-2</v>
      </c>
      <c r="K314" s="5">
        <f t="shared" si="25"/>
        <v>2.2082291037695278E-2</v>
      </c>
      <c r="L314" s="5">
        <f t="shared" si="25"/>
        <v>1.515623782435911E-2</v>
      </c>
      <c r="M314" s="5">
        <f t="shared" si="25"/>
        <v>4.8996853886224153E-4</v>
      </c>
      <c r="N314" s="5">
        <f t="shared" si="24"/>
        <v>1.6776695240330444E-2</v>
      </c>
      <c r="O314" s="5">
        <f t="shared" si="22"/>
        <v>1.878227026378337E-2</v>
      </c>
      <c r="P314" s="79">
        <f t="shared" si="23"/>
        <v>1.8872371504221525E-2</v>
      </c>
    </row>
    <row r="315" spans="1:16">
      <c r="A315" s="73">
        <v>45113</v>
      </c>
      <c r="B315" s="45">
        <v>1673.5</v>
      </c>
      <c r="C315" s="105">
        <v>1754.3</v>
      </c>
      <c r="D315" s="5">
        <v>93.1</v>
      </c>
      <c r="E315" s="5">
        <v>591.95000000000005</v>
      </c>
      <c r="F315" s="45">
        <v>1292.55</v>
      </c>
      <c r="G315" s="5">
        <v>19497.3</v>
      </c>
      <c r="H315" s="5">
        <f t="shared" si="26"/>
        <v>8.801012719271752E-3</v>
      </c>
      <c r="I315" s="5">
        <f t="shared" si="26"/>
        <v>1.3050759369405734E-2</v>
      </c>
      <c r="J315" s="5">
        <f t="shared" si="26"/>
        <v>1.6137708445399836E-3</v>
      </c>
      <c r="K315" s="5">
        <f t="shared" si="25"/>
        <v>-8.4395307620896269E-4</v>
      </c>
      <c r="L315" s="5">
        <f t="shared" si="25"/>
        <v>-7.8295912492804039E-3</v>
      </c>
      <c r="M315" s="5">
        <f t="shared" si="25"/>
        <v>5.0931773075237399E-3</v>
      </c>
      <c r="N315" s="5">
        <f t="shared" si="24"/>
        <v>-2.8357633278565473E-4</v>
      </c>
      <c r="O315" s="5">
        <f t="shared" si="22"/>
        <v>3.9515168372431415E-3</v>
      </c>
      <c r="P315" s="79">
        <f t="shared" si="23"/>
        <v>5.1171869395167839E-3</v>
      </c>
    </row>
    <row r="316" spans="1:16">
      <c r="A316" s="73">
        <v>45114</v>
      </c>
      <c r="B316" s="45">
        <v>1667.3</v>
      </c>
      <c r="C316" s="105">
        <v>1702.85</v>
      </c>
      <c r="D316" s="5">
        <v>91.6</v>
      </c>
      <c r="E316" s="5">
        <v>572.20000000000005</v>
      </c>
      <c r="F316" s="45">
        <v>1322.6</v>
      </c>
      <c r="G316" s="5">
        <v>19331.8</v>
      </c>
      <c r="H316" s="5">
        <f t="shared" si="26"/>
        <v>-3.704810277860798E-3</v>
      </c>
      <c r="I316" s="5">
        <f t="shared" si="26"/>
        <v>-2.9327937068916402E-2</v>
      </c>
      <c r="J316" s="5">
        <f t="shared" si="26"/>
        <v>-1.611170784103115E-2</v>
      </c>
      <c r="K316" s="5">
        <f t="shared" si="25"/>
        <v>-3.3364304417602839E-2</v>
      </c>
      <c r="L316" s="5">
        <f t="shared" si="25"/>
        <v>2.3248617074774637E-2</v>
      </c>
      <c r="M316" s="5">
        <f t="shared" si="25"/>
        <v>-8.4883547978438049E-3</v>
      </c>
      <c r="N316" s="5">
        <f t="shared" si="24"/>
        <v>2.9569707797194172E-3</v>
      </c>
      <c r="O316" s="5">
        <f t="shared" si="22"/>
        <v>-2.0251906613607991E-2</v>
      </c>
      <c r="P316" s="79">
        <f t="shared" si="23"/>
        <v>-1.9679158323374555E-2</v>
      </c>
    </row>
    <row r="317" spans="1:16">
      <c r="A317" s="73">
        <v>45117</v>
      </c>
      <c r="B317" s="45">
        <v>1670.5</v>
      </c>
      <c r="C317" s="105">
        <v>1676.65</v>
      </c>
      <c r="D317" s="5">
        <v>91.2</v>
      </c>
      <c r="E317" s="5">
        <v>572.70000000000005</v>
      </c>
      <c r="F317" s="45">
        <v>1447.15</v>
      </c>
      <c r="G317" s="5">
        <v>19355.900000000001</v>
      </c>
      <c r="H317" s="5">
        <f t="shared" si="26"/>
        <v>1.919270677142713E-3</v>
      </c>
      <c r="I317" s="5">
        <f t="shared" si="26"/>
        <v>-1.5385970578735543E-2</v>
      </c>
      <c r="J317" s="5">
        <f t="shared" si="26"/>
        <v>-4.3668122270741428E-3</v>
      </c>
      <c r="K317" s="5">
        <f t="shared" si="25"/>
        <v>8.7382034253757424E-4</v>
      </c>
      <c r="L317" s="5">
        <f t="shared" si="25"/>
        <v>9.4170573113564332E-2</v>
      </c>
      <c r="M317" s="5">
        <f t="shared" si="25"/>
        <v>1.2466505964267261E-3</v>
      </c>
      <c r="N317" s="5">
        <f t="shared" si="24"/>
        <v>4.4001037877698046E-2</v>
      </c>
      <c r="O317" s="5">
        <f t="shared" si="22"/>
        <v>1.6680843017218869E-3</v>
      </c>
      <c r="P317" s="79">
        <f t="shared" si="23"/>
        <v>-7.564458614163507E-4</v>
      </c>
    </row>
    <row r="318" spans="1:16">
      <c r="A318" s="73">
        <v>45118</v>
      </c>
      <c r="B318" s="45">
        <v>1696.55</v>
      </c>
      <c r="C318" s="105">
        <v>1693.05</v>
      </c>
      <c r="D318" s="5">
        <v>93.95</v>
      </c>
      <c r="E318" s="5">
        <v>581.65</v>
      </c>
      <c r="F318" s="45">
        <v>1591.85</v>
      </c>
      <c r="G318" s="5">
        <v>19439.400000000001</v>
      </c>
      <c r="H318" s="5">
        <f t="shared" si="26"/>
        <v>1.559413349296615E-2</v>
      </c>
      <c r="I318" s="5">
        <f t="shared" si="26"/>
        <v>9.7814093579458219E-3</v>
      </c>
      <c r="J318" s="5">
        <f t="shared" si="26"/>
        <v>3.0153508771929825E-2</v>
      </c>
      <c r="K318" s="5">
        <f t="shared" si="25"/>
        <v>1.5627728304522318E-2</v>
      </c>
      <c r="L318" s="5">
        <f t="shared" si="25"/>
        <v>9.9989634799433236E-2</v>
      </c>
      <c r="M318" s="5">
        <f t="shared" si="25"/>
        <v>4.3139301194984473E-3</v>
      </c>
      <c r="N318" s="5">
        <f t="shared" si="24"/>
        <v>5.5418368427459959E-2</v>
      </c>
      <c r="O318" s="5">
        <f t="shared" si="22"/>
        <v>1.7347412770607706E-2</v>
      </c>
      <c r="P318" s="79">
        <f t="shared" si="23"/>
        <v>1.6239624885117949E-2</v>
      </c>
    </row>
    <row r="319" spans="1:16">
      <c r="A319" s="73">
        <v>45119</v>
      </c>
      <c r="B319" s="45">
        <v>1667.35</v>
      </c>
      <c r="C319" s="105">
        <v>1687.95</v>
      </c>
      <c r="D319" s="5">
        <v>94.3</v>
      </c>
      <c r="E319" s="5">
        <v>583.4</v>
      </c>
      <c r="F319" s="45">
        <v>1731.85</v>
      </c>
      <c r="G319" s="5">
        <v>19384.3</v>
      </c>
      <c r="H319" s="5">
        <f t="shared" si="26"/>
        <v>-1.7211399605080925E-2</v>
      </c>
      <c r="I319" s="5">
        <f t="shared" si="26"/>
        <v>-3.0123150527154598E-3</v>
      </c>
      <c r="J319" s="5">
        <f t="shared" si="26"/>
        <v>3.7253858435337341E-3</v>
      </c>
      <c r="K319" s="5">
        <f t="shared" si="25"/>
        <v>3.0086821971976275E-3</v>
      </c>
      <c r="L319" s="5">
        <f t="shared" si="25"/>
        <v>8.7947985048842547E-2</v>
      </c>
      <c r="M319" s="5">
        <f t="shared" si="25"/>
        <v>-2.8344496229308611E-3</v>
      </c>
      <c r="N319" s="5">
        <f t="shared" si="24"/>
        <v>3.6634270067911361E-2</v>
      </c>
      <c r="O319" s="5">
        <f t="shared" si="22"/>
        <v>-3.1377013492620812E-3</v>
      </c>
      <c r="P319" s="79">
        <f t="shared" si="23"/>
        <v>-5.1297328469517896E-3</v>
      </c>
    </row>
    <row r="320" spans="1:16">
      <c r="A320" s="73">
        <v>45120</v>
      </c>
      <c r="B320" s="45">
        <v>1659.2</v>
      </c>
      <c r="C320" s="105">
        <v>1666</v>
      </c>
      <c r="D320" s="5">
        <v>91.8</v>
      </c>
      <c r="E320" s="5">
        <v>577.70000000000005</v>
      </c>
      <c r="F320" s="45">
        <v>1722.05</v>
      </c>
      <c r="G320" s="5">
        <v>19413.75</v>
      </c>
      <c r="H320" s="5">
        <f t="shared" si="26"/>
        <v>-4.887995921672033E-3</v>
      </c>
      <c r="I320" s="5">
        <f t="shared" si="26"/>
        <v>-1.3003939690156726E-2</v>
      </c>
      <c r="J320" s="5">
        <f t="shared" si="26"/>
        <v>-2.6511134676564158E-2</v>
      </c>
      <c r="K320" s="5">
        <f t="shared" si="25"/>
        <v>-9.7703119643468145E-3</v>
      </c>
      <c r="L320" s="5">
        <f t="shared" si="25"/>
        <v>-5.6586886855096892E-3</v>
      </c>
      <c r="M320" s="5">
        <f t="shared" si="25"/>
        <v>1.5192707500400185E-3</v>
      </c>
      <c r="N320" s="5">
        <f t="shared" si="24"/>
        <v>-7.023627588057346E-3</v>
      </c>
      <c r="O320" s="5">
        <f t="shared" si="22"/>
        <v>-8.6341334521652189E-3</v>
      </c>
      <c r="P320" s="79">
        <f t="shared" si="23"/>
        <v>-9.3004668329127894E-3</v>
      </c>
    </row>
    <row r="321" spans="1:16">
      <c r="A321" s="73">
        <v>45121</v>
      </c>
      <c r="B321" s="45">
        <v>1681.1</v>
      </c>
      <c r="C321" s="105">
        <v>1687.65</v>
      </c>
      <c r="D321" s="5">
        <v>92.1</v>
      </c>
      <c r="E321" s="5">
        <v>586.5</v>
      </c>
      <c r="F321" s="45">
        <v>1638.85</v>
      </c>
      <c r="G321" s="5">
        <v>19564.5</v>
      </c>
      <c r="H321" s="5">
        <f t="shared" si="26"/>
        <v>1.3199132111861056E-2</v>
      </c>
      <c r="I321" s="5">
        <f t="shared" si="26"/>
        <v>1.2995198079231747E-2</v>
      </c>
      <c r="J321" s="5">
        <f t="shared" si="26"/>
        <v>3.2679738562091196E-3</v>
      </c>
      <c r="K321" s="5">
        <f t="shared" si="25"/>
        <v>1.5232819802665663E-2</v>
      </c>
      <c r="L321" s="5">
        <f t="shared" si="25"/>
        <v>-4.8314508870241892E-2</v>
      </c>
      <c r="M321" s="5">
        <f t="shared" si="25"/>
        <v>7.7651149314274673E-3</v>
      </c>
      <c r="N321" s="5">
        <f t="shared" si="24"/>
        <v>-1.5813541409713239E-2</v>
      </c>
      <c r="O321" s="5">
        <f t="shared" si="22"/>
        <v>1.2520542923930835E-2</v>
      </c>
      <c r="P321" s="79">
        <f t="shared" si="23"/>
        <v>1.2905946497465621E-2</v>
      </c>
    </row>
    <row r="322" spans="1:16">
      <c r="A322" s="73">
        <v>45124</v>
      </c>
      <c r="B322" s="45">
        <v>1692.95</v>
      </c>
      <c r="C322" s="105">
        <v>1694.3</v>
      </c>
      <c r="D322" s="5">
        <v>93</v>
      </c>
      <c r="E322" s="5">
        <v>582.25</v>
      </c>
      <c r="F322" s="45">
        <v>1720.75</v>
      </c>
      <c r="G322" s="5">
        <v>19711.45</v>
      </c>
      <c r="H322" s="5">
        <f t="shared" si="26"/>
        <v>7.0489560406877269E-3</v>
      </c>
      <c r="I322" s="5">
        <f t="shared" si="26"/>
        <v>3.9403904838087658E-3</v>
      </c>
      <c r="J322" s="5">
        <f t="shared" si="26"/>
        <v>9.7719869706841007E-3</v>
      </c>
      <c r="K322" s="5">
        <f t="shared" si="25"/>
        <v>-7.246376811594203E-3</v>
      </c>
      <c r="L322" s="5">
        <f t="shared" si="25"/>
        <v>4.9974067181255209E-2</v>
      </c>
      <c r="M322" s="5">
        <f t="shared" si="25"/>
        <v>7.511053183061194E-3</v>
      </c>
      <c r="N322" s="5">
        <f t="shared" si="24"/>
        <v>2.5206835805096035E-2</v>
      </c>
      <c r="O322" s="5">
        <f t="shared" si="22"/>
        <v>8.5162662853724468E-4</v>
      </c>
      <c r="P322" s="79">
        <f t="shared" si="23"/>
        <v>1.4822383156885078E-3</v>
      </c>
    </row>
    <row r="323" spans="1:16">
      <c r="A323" s="73">
        <v>45125</v>
      </c>
      <c r="B323" s="45">
        <v>1692.45</v>
      </c>
      <c r="C323" s="105">
        <v>1690.3</v>
      </c>
      <c r="D323" s="5">
        <v>94.85</v>
      </c>
      <c r="E323" s="5">
        <v>577</v>
      </c>
      <c r="F323" s="45">
        <v>1738.4</v>
      </c>
      <c r="G323" s="5">
        <v>19749.25</v>
      </c>
      <c r="H323" s="5">
        <f t="shared" si="26"/>
        <v>-2.9534244957027671E-4</v>
      </c>
      <c r="I323" s="5">
        <f t="shared" si="26"/>
        <v>-2.360856991087765E-3</v>
      </c>
      <c r="J323" s="5">
        <f t="shared" si="26"/>
        <v>1.9892473118279509E-2</v>
      </c>
      <c r="K323" s="5">
        <f t="shared" si="25"/>
        <v>-9.0167453842851016E-3</v>
      </c>
      <c r="L323" s="5">
        <f t="shared" si="25"/>
        <v>1.0257155310184566E-2</v>
      </c>
      <c r="M323" s="5">
        <f t="shared" si="25"/>
        <v>1.9176671427012864E-3</v>
      </c>
      <c r="N323" s="5">
        <f t="shared" si="24"/>
        <v>3.8939633205325175E-3</v>
      </c>
      <c r="O323" s="5">
        <f t="shared" si="22"/>
        <v>-3.9312796318084443E-3</v>
      </c>
      <c r="P323" s="79">
        <f t="shared" si="23"/>
        <v>-2.7418606438279636E-3</v>
      </c>
    </row>
    <row r="324" spans="1:16">
      <c r="A324" s="73">
        <v>45126</v>
      </c>
      <c r="B324" s="45">
        <v>1700.3</v>
      </c>
      <c r="C324" s="105">
        <v>1716.45</v>
      </c>
      <c r="D324" s="5">
        <v>94.95</v>
      </c>
      <c r="E324" s="5">
        <v>574.54999999999995</v>
      </c>
      <c r="F324" s="45">
        <v>1733</v>
      </c>
      <c r="G324" s="5">
        <v>19833.150000000001</v>
      </c>
      <c r="H324" s="5">
        <f t="shared" si="26"/>
        <v>4.6382463292858923E-3</v>
      </c>
      <c r="I324" s="5">
        <f t="shared" si="26"/>
        <v>1.547062651600313E-2</v>
      </c>
      <c r="J324" s="5">
        <f t="shared" si="26"/>
        <v>1.0542962572483768E-3</v>
      </c>
      <c r="K324" s="5">
        <f t="shared" si="25"/>
        <v>-4.2461005199307547E-3</v>
      </c>
      <c r="L324" s="5">
        <f t="shared" si="25"/>
        <v>-3.1063046479521922E-3</v>
      </c>
      <c r="M324" s="5">
        <f t="shared" si="25"/>
        <v>4.248262592250412E-3</v>
      </c>
      <c r="N324" s="5">
        <f t="shared" si="24"/>
        <v>3.6985115255766684E-4</v>
      </c>
      <c r="O324" s="5">
        <f t="shared" ref="O324:O387" si="27">$V$86*H324 +$V$87*I324 + $V$88*J324 + $V$89*K324+ $V$90*L324</f>
        <v>1.0753860344567463E-3</v>
      </c>
      <c r="P324" s="79">
        <f t="shared" ref="P324:P387" si="28">$V$104*H324 +$V$105*I324 + $V$106*J324 + $V$107*K324+ $V$108*L324</f>
        <v>2.5223028835429551E-3</v>
      </c>
    </row>
    <row r="325" spans="1:16">
      <c r="A325" s="73">
        <v>45127</v>
      </c>
      <c r="B325" s="45">
        <v>1698</v>
      </c>
      <c r="C325" s="105">
        <v>1714.75</v>
      </c>
      <c r="D325" s="5">
        <v>95.75</v>
      </c>
      <c r="E325" s="5">
        <v>578.5</v>
      </c>
      <c r="F325" s="45">
        <v>1819.65</v>
      </c>
      <c r="G325" s="5">
        <v>19979.150000000001</v>
      </c>
      <c r="H325" s="5">
        <f t="shared" si="26"/>
        <v>-1.3527024642709842E-3</v>
      </c>
      <c r="I325" s="5">
        <f t="shared" si="26"/>
        <v>-9.9041626613070323E-4</v>
      </c>
      <c r="J325" s="5">
        <f t="shared" si="26"/>
        <v>8.4254870984728503E-3</v>
      </c>
      <c r="K325" s="5">
        <f t="shared" si="25"/>
        <v>6.8749456096075983E-3</v>
      </c>
      <c r="L325" s="5">
        <f t="shared" si="25"/>
        <v>5.0000000000000051E-2</v>
      </c>
      <c r="M325" s="5">
        <f t="shared" si="25"/>
        <v>7.3614125844860745E-3</v>
      </c>
      <c r="N325" s="5">
        <f t="shared" ref="N325:N388" si="29">((H325 *0.3 ) + (I325 * 0.064462757 ) + (J325 * 0.026806099 ) + (K325 * 0.137093997) + (L325 * 0.471637147))</f>
        <v>2.4280569861689891E-2</v>
      </c>
      <c r="O325" s="5">
        <f t="shared" si="27"/>
        <v>4.0896733944234577E-3</v>
      </c>
      <c r="P325" s="79">
        <f t="shared" si="28"/>
        <v>2.8891927889936617E-3</v>
      </c>
    </row>
    <row r="326" spans="1:16">
      <c r="A326" s="73">
        <v>45128</v>
      </c>
      <c r="B326" s="45">
        <v>1683.65</v>
      </c>
      <c r="C326" s="105">
        <v>1713.9</v>
      </c>
      <c r="D326" s="5">
        <v>94.5</v>
      </c>
      <c r="E326" s="5">
        <v>565.20000000000005</v>
      </c>
      <c r="F326" s="45">
        <v>1864.6</v>
      </c>
      <c r="G326" s="5">
        <v>19745</v>
      </c>
      <c r="H326" s="5">
        <f t="shared" si="26"/>
        <v>-8.4511189634864006E-3</v>
      </c>
      <c r="I326" s="5">
        <f t="shared" si="26"/>
        <v>-4.9569908149870768E-4</v>
      </c>
      <c r="J326" s="5">
        <f t="shared" si="26"/>
        <v>-1.3054830287206266E-2</v>
      </c>
      <c r="K326" s="5">
        <f t="shared" si="25"/>
        <v>-2.2990492653413921E-2</v>
      </c>
      <c r="L326" s="5">
        <f t="shared" si="25"/>
        <v>2.470255268870377E-2</v>
      </c>
      <c r="M326" s="5">
        <f t="shared" si="25"/>
        <v>-1.1719717805812631E-2</v>
      </c>
      <c r="N326" s="5">
        <f t="shared" si="29"/>
        <v>5.58154405127303E-3</v>
      </c>
      <c r="O326" s="5">
        <f t="shared" si="27"/>
        <v>-1.4144560080060575E-2</v>
      </c>
      <c r="P326" s="79">
        <f t="shared" si="28"/>
        <v>-1.2957678019370127E-2</v>
      </c>
    </row>
    <row r="327" spans="1:16">
      <c r="A327" s="73">
        <v>45131</v>
      </c>
      <c r="B327" s="45">
        <v>1685.3</v>
      </c>
      <c r="C327" s="105">
        <v>1709.2</v>
      </c>
      <c r="D327" s="5">
        <v>98.05</v>
      </c>
      <c r="E327" s="5">
        <v>565.29999999999995</v>
      </c>
      <c r="F327" s="45">
        <v>1955</v>
      </c>
      <c r="G327" s="5">
        <v>19672.349999999999</v>
      </c>
      <c r="H327" s="5">
        <f t="shared" si="26"/>
        <v>9.8001366079640269E-4</v>
      </c>
      <c r="I327" s="5">
        <f t="shared" si="26"/>
        <v>-2.7422836804948045E-3</v>
      </c>
      <c r="J327" s="5">
        <f t="shared" si="26"/>
        <v>3.7566137566137539E-2</v>
      </c>
      <c r="K327" s="5">
        <f t="shared" si="25"/>
        <v>1.7692852087740455E-4</v>
      </c>
      <c r="L327" s="5">
        <f t="shared" si="25"/>
        <v>4.8482248203368064E-2</v>
      </c>
      <c r="M327" s="5">
        <f t="shared" si="25"/>
        <v>-3.6794125094961488E-3</v>
      </c>
      <c r="N327" s="5">
        <f t="shared" si="29"/>
        <v>2.4014515595256389E-2</v>
      </c>
      <c r="O327" s="5">
        <f t="shared" si="27"/>
        <v>2.3068827528822176E-3</v>
      </c>
      <c r="P327" s="79">
        <f t="shared" si="28"/>
        <v>2.6318797776561536E-3</v>
      </c>
    </row>
    <row r="328" spans="1:16">
      <c r="A328" s="73">
        <v>45132</v>
      </c>
      <c r="B328" s="45">
        <v>1701</v>
      </c>
      <c r="C328" s="105">
        <v>1709.45</v>
      </c>
      <c r="D328" s="5">
        <v>97.75</v>
      </c>
      <c r="E328" s="5">
        <v>568.35</v>
      </c>
      <c r="F328" s="45">
        <v>1860</v>
      </c>
      <c r="G328" s="5">
        <v>19680.599999999999</v>
      </c>
      <c r="H328" s="5">
        <f t="shared" si="26"/>
        <v>9.3158488103008644E-3</v>
      </c>
      <c r="I328" s="5">
        <f t="shared" si="26"/>
        <v>1.4626725953662532E-4</v>
      </c>
      <c r="J328" s="5">
        <f t="shared" si="26"/>
        <v>-3.0596634370218985E-3</v>
      </c>
      <c r="K328" s="5">
        <f t="shared" si="25"/>
        <v>5.395365292765025E-3</v>
      </c>
      <c r="L328" s="5">
        <f t="shared" si="25"/>
        <v>-4.859335038363171E-2</v>
      </c>
      <c r="M328" s="5">
        <f t="shared" si="25"/>
        <v>4.1937033450502868E-4</v>
      </c>
      <c r="N328" s="5">
        <f t="shared" si="29"/>
        <v>-1.9456591151947845E-2</v>
      </c>
      <c r="O328" s="5">
        <f t="shared" si="27"/>
        <v>4.9164099697760989E-3</v>
      </c>
      <c r="P328" s="79">
        <f t="shared" si="28"/>
        <v>5.230169262855279E-3</v>
      </c>
    </row>
    <row r="329" spans="1:16">
      <c r="A329" s="73">
        <v>45133</v>
      </c>
      <c r="B329" s="45">
        <v>1707.15</v>
      </c>
      <c r="C329" s="105">
        <v>1706.6</v>
      </c>
      <c r="D329" s="5">
        <v>101.2</v>
      </c>
      <c r="E329" s="5">
        <v>575</v>
      </c>
      <c r="F329" s="45">
        <v>1863.5</v>
      </c>
      <c r="G329" s="5">
        <v>19778.3</v>
      </c>
      <c r="H329" s="5">
        <f t="shared" si="26"/>
        <v>3.6155202821870022E-3</v>
      </c>
      <c r="I329" s="5">
        <f t="shared" si="26"/>
        <v>-1.6672029015181119E-3</v>
      </c>
      <c r="J329" s="5">
        <f t="shared" si="26"/>
        <v>3.5294117647058851E-2</v>
      </c>
      <c r="K329" s="5">
        <f t="shared" si="25"/>
        <v>1.1700536641154178E-2</v>
      </c>
      <c r="L329" s="5">
        <f t="shared" si="25"/>
        <v>1.881720430107527E-3</v>
      </c>
      <c r="M329" s="5">
        <f t="shared" si="25"/>
        <v>4.9642795443228726E-3</v>
      </c>
      <c r="N329" s="5">
        <f t="shared" si="29"/>
        <v>4.4148437911988581E-3</v>
      </c>
      <c r="O329" s="5">
        <f t="shared" si="27"/>
        <v>7.8748229370467736E-3</v>
      </c>
      <c r="P329" s="79">
        <f t="shared" si="28"/>
        <v>7.8408413793824867E-3</v>
      </c>
    </row>
    <row r="330" spans="1:16">
      <c r="A330" s="73">
        <v>45134</v>
      </c>
      <c r="B330" s="45">
        <v>1703.15</v>
      </c>
      <c r="C330" s="105">
        <v>1709.05</v>
      </c>
      <c r="D330" s="5">
        <v>103.5</v>
      </c>
      <c r="E330" s="5">
        <v>573.79999999999995</v>
      </c>
      <c r="F330" s="45">
        <v>1902.15</v>
      </c>
      <c r="G330" s="5">
        <v>19659.900000000001</v>
      </c>
      <c r="H330" s="5">
        <f t="shared" si="26"/>
        <v>-2.3430864306007086E-3</v>
      </c>
      <c r="I330" s="5">
        <f t="shared" si="26"/>
        <v>1.4356029532403877E-3</v>
      </c>
      <c r="J330" s="5">
        <f t="shared" si="26"/>
        <v>2.27272727272727E-2</v>
      </c>
      <c r="K330" s="5">
        <f t="shared" si="25"/>
        <v>-2.0869565217392096E-3</v>
      </c>
      <c r="L330" s="5">
        <f t="shared" si="25"/>
        <v>2.074054199087743E-2</v>
      </c>
      <c r="M330" s="5">
        <f t="shared" si="25"/>
        <v>-5.9863587871555098E-3</v>
      </c>
      <c r="N330" s="5">
        <f t="shared" si="29"/>
        <v>9.4947473585509628E-3</v>
      </c>
      <c r="O330" s="5">
        <f t="shared" si="27"/>
        <v>-6.576594623447134E-4</v>
      </c>
      <c r="P330" s="79">
        <f t="shared" si="28"/>
        <v>-1.6813829406814377E-5</v>
      </c>
    </row>
    <row r="331" spans="1:16">
      <c r="A331" s="73">
        <v>45135</v>
      </c>
      <c r="B331" s="45">
        <v>1715.75</v>
      </c>
      <c r="C331" s="105">
        <v>1730.65</v>
      </c>
      <c r="D331" s="5">
        <v>103.1</v>
      </c>
      <c r="E331" s="5">
        <v>581.70000000000005</v>
      </c>
      <c r="F331" s="45">
        <v>1961.5</v>
      </c>
      <c r="G331" s="5">
        <v>19646.05</v>
      </c>
      <c r="H331" s="5">
        <f t="shared" si="26"/>
        <v>7.3980565422892336E-3</v>
      </c>
      <c r="I331" s="5">
        <f t="shared" si="26"/>
        <v>1.2638600392030741E-2</v>
      </c>
      <c r="J331" s="5">
        <f t="shared" si="26"/>
        <v>-3.8647342995169632E-3</v>
      </c>
      <c r="K331" s="5">
        <f t="shared" si="25"/>
        <v>1.3767863367026999E-2</v>
      </c>
      <c r="L331" s="5">
        <f t="shared" si="25"/>
        <v>3.1201535105012699E-2</v>
      </c>
      <c r="M331" s="5">
        <f t="shared" si="25"/>
        <v>-7.0447967690589379E-4</v>
      </c>
      <c r="N331" s="5">
        <f t="shared" si="29"/>
        <v>1.9533831956420947E-2</v>
      </c>
      <c r="O331" s="5">
        <f t="shared" si="27"/>
        <v>1.1204272770974345E-2</v>
      </c>
      <c r="P331" s="79">
        <f t="shared" si="28"/>
        <v>1.0192834819092811E-2</v>
      </c>
    </row>
    <row r="332" spans="1:16">
      <c r="A332" s="73">
        <v>45138</v>
      </c>
      <c r="B332" s="45">
        <v>1736.4</v>
      </c>
      <c r="C332" s="105">
        <v>1757.1</v>
      </c>
      <c r="D332" s="5">
        <v>104.05</v>
      </c>
      <c r="E332" s="5">
        <v>575.6</v>
      </c>
      <c r="F332" s="45">
        <v>1897</v>
      </c>
      <c r="G332" s="5">
        <v>19753.8</v>
      </c>
      <c r="H332" s="5">
        <f t="shared" si="26"/>
        <v>1.2035552965175632E-2</v>
      </c>
      <c r="I332" s="5">
        <f t="shared" si="26"/>
        <v>1.5283275070060276E-2</v>
      </c>
      <c r="J332" s="5">
        <f t="shared" si="26"/>
        <v>9.2143549951503676E-3</v>
      </c>
      <c r="K332" s="5">
        <f t="shared" si="25"/>
        <v>-1.0486505071342654E-2</v>
      </c>
      <c r="L332" s="5">
        <f t="shared" si="25"/>
        <v>-3.2882997705837372E-2</v>
      </c>
      <c r="M332" s="5">
        <f t="shared" si="25"/>
        <v>5.4845630546598431E-3</v>
      </c>
      <c r="N332" s="5">
        <f t="shared" si="29"/>
        <v>-1.2103611268800529E-2</v>
      </c>
      <c r="O332" s="5">
        <f t="shared" si="27"/>
        <v>3.311227252802613E-4</v>
      </c>
      <c r="P332" s="79">
        <f t="shared" si="28"/>
        <v>3.2082437580666697E-3</v>
      </c>
    </row>
    <row r="333" spans="1:16">
      <c r="A333" s="73">
        <v>45139</v>
      </c>
      <c r="B333" s="45">
        <v>1762</v>
      </c>
      <c r="C333" s="105">
        <v>1707.6</v>
      </c>
      <c r="D333" s="5">
        <v>104.7</v>
      </c>
      <c r="E333" s="5">
        <v>568.75</v>
      </c>
      <c r="F333" s="45">
        <v>1859.75</v>
      </c>
      <c r="G333" s="5">
        <v>19733.55</v>
      </c>
      <c r="H333" s="5">
        <f t="shared" si="26"/>
        <v>1.4743146740382348E-2</v>
      </c>
      <c r="I333" s="5">
        <f t="shared" si="26"/>
        <v>-2.8171418815093052E-2</v>
      </c>
      <c r="J333" s="5">
        <f t="shared" si="26"/>
        <v>6.2469966362326355E-3</v>
      </c>
      <c r="K333" s="5">
        <f t="shared" si="25"/>
        <v>-1.1900625434329435E-2</v>
      </c>
      <c r="L333" s="5">
        <f t="shared" si="25"/>
        <v>-1.9636267791249343E-2</v>
      </c>
      <c r="M333" s="5">
        <f t="shared" si="25"/>
        <v>-1.0251192175682654E-3</v>
      </c>
      <c r="N333" s="5">
        <f t="shared" si="29"/>
        <v>-8.1183033194092633E-3</v>
      </c>
      <c r="O333" s="5">
        <f t="shared" si="27"/>
        <v>-3.2303635046351939E-3</v>
      </c>
      <c r="P333" s="79">
        <f t="shared" si="28"/>
        <v>-2.8899772573222678E-3</v>
      </c>
    </row>
    <row r="334" spans="1:16">
      <c r="A334" s="73">
        <v>45140</v>
      </c>
      <c r="B334" s="45">
        <v>1757</v>
      </c>
      <c r="C334" s="105">
        <v>1690.9</v>
      </c>
      <c r="D334" s="5">
        <v>100.55</v>
      </c>
      <c r="E334" s="5">
        <v>565.65</v>
      </c>
      <c r="F334" s="45">
        <v>1811.95</v>
      </c>
      <c r="G334" s="5">
        <v>19526.55</v>
      </c>
      <c r="H334" s="5">
        <f t="shared" si="26"/>
        <v>-2.8376844494892167E-3</v>
      </c>
      <c r="I334" s="5">
        <f t="shared" si="26"/>
        <v>-9.7798079175449859E-3</v>
      </c>
      <c r="J334" s="5">
        <f t="shared" si="26"/>
        <v>-3.963705826170015E-2</v>
      </c>
      <c r="K334" s="5">
        <f t="shared" si="25"/>
        <v>-5.4505494505494908E-3</v>
      </c>
      <c r="L334" s="5">
        <f t="shared" si="25"/>
        <v>-2.5702379352063424E-2</v>
      </c>
      <c r="M334" s="5">
        <f t="shared" si="25"/>
        <v>-1.0489749690248334E-2</v>
      </c>
      <c r="N334" s="5">
        <f t="shared" si="29"/>
        <v>-1.5413688102714932E-2</v>
      </c>
      <c r="O334" s="5">
        <f t="shared" si="27"/>
        <v>-6.2827184935970873E-3</v>
      </c>
      <c r="P334" s="79">
        <f t="shared" si="28"/>
        <v>-7.2522954437598845E-3</v>
      </c>
    </row>
    <row r="335" spans="1:16">
      <c r="A335" s="73">
        <v>45141</v>
      </c>
      <c r="B335" s="45">
        <v>1748.45</v>
      </c>
      <c r="C335" s="105">
        <v>1687.45</v>
      </c>
      <c r="D335" s="5">
        <v>100.75</v>
      </c>
      <c r="E335" s="5">
        <v>555.04999999999995</v>
      </c>
      <c r="F335" s="45">
        <v>1847.4</v>
      </c>
      <c r="G335" s="5">
        <v>19381.650000000001</v>
      </c>
      <c r="H335" s="5">
        <f t="shared" si="26"/>
        <v>-4.8662492885600201E-3</v>
      </c>
      <c r="I335" s="5">
        <f t="shared" si="26"/>
        <v>-2.0403335501804039E-3</v>
      </c>
      <c r="J335" s="5">
        <f t="shared" si="26"/>
        <v>1.9890601690701428E-3</v>
      </c>
      <c r="K335" s="5">
        <f t="shared" si="25"/>
        <v>-1.8739503226376776E-2</v>
      </c>
      <c r="L335" s="5">
        <f t="shared" si="25"/>
        <v>1.9564557520902918E-2</v>
      </c>
      <c r="M335" s="5">
        <f t="shared" si="25"/>
        <v>-7.4206657089961013E-3</v>
      </c>
      <c r="N335" s="5">
        <f t="shared" si="29"/>
        <v>5.1202173237744758E-3</v>
      </c>
      <c r="O335" s="5">
        <f t="shared" si="27"/>
        <v>-1.0598869402975934E-2</v>
      </c>
      <c r="P335" s="79">
        <f t="shared" si="28"/>
        <v>-9.2731641661675818E-3</v>
      </c>
    </row>
    <row r="336" spans="1:16">
      <c r="A336" s="73">
        <v>45142</v>
      </c>
      <c r="B336" s="45">
        <v>1759.15</v>
      </c>
      <c r="C336" s="105">
        <v>1700.95</v>
      </c>
      <c r="D336" s="5">
        <v>98.95</v>
      </c>
      <c r="E336" s="5">
        <v>569.70000000000005</v>
      </c>
      <c r="F336" s="45">
        <v>1843.85</v>
      </c>
      <c r="G336" s="5">
        <v>19517</v>
      </c>
      <c r="H336" s="5">
        <f t="shared" si="26"/>
        <v>6.1197060253367526E-3</v>
      </c>
      <c r="I336" s="5">
        <f t="shared" si="26"/>
        <v>8.0002370440605645E-3</v>
      </c>
      <c r="J336" s="5">
        <f t="shared" si="26"/>
        <v>-1.7866004962779129E-2</v>
      </c>
      <c r="K336" s="5">
        <f t="shared" si="25"/>
        <v>2.6394018556886934E-2</v>
      </c>
      <c r="L336" s="5">
        <f t="shared" si="25"/>
        <v>-1.9216195734546831E-3</v>
      </c>
      <c r="M336" s="5">
        <f t="shared" si="25"/>
        <v>6.9834095652330187E-3</v>
      </c>
      <c r="N336" s="5">
        <f t="shared" si="29"/>
        <v>4.5848655739602288E-3</v>
      </c>
      <c r="O336" s="5">
        <f t="shared" si="27"/>
        <v>1.5296431693986857E-2</v>
      </c>
      <c r="P336" s="79">
        <f t="shared" si="28"/>
        <v>1.284986605462167E-2</v>
      </c>
    </row>
    <row r="337" spans="1:16">
      <c r="A337" s="73">
        <v>45145</v>
      </c>
      <c r="B337" s="45">
        <v>1765.4</v>
      </c>
      <c r="C337" s="105">
        <v>1689.8</v>
      </c>
      <c r="D337" s="5">
        <v>96.6</v>
      </c>
      <c r="E337" s="5">
        <v>565.29999999999995</v>
      </c>
      <c r="F337" s="45">
        <v>1810.45</v>
      </c>
      <c r="G337" s="5">
        <v>19597.3</v>
      </c>
      <c r="H337" s="5">
        <f t="shared" si="26"/>
        <v>3.5528522297700593E-3</v>
      </c>
      <c r="I337" s="5">
        <f t="shared" si="26"/>
        <v>-6.5551603515682944E-3</v>
      </c>
      <c r="J337" s="5">
        <f t="shared" si="26"/>
        <v>-2.3749368367862643E-2</v>
      </c>
      <c r="K337" s="5">
        <f t="shared" si="25"/>
        <v>-7.7233631736002995E-3</v>
      </c>
      <c r="L337" s="5">
        <f t="shared" si="25"/>
        <v>-1.8114271768310798E-2</v>
      </c>
      <c r="M337" s="5">
        <f t="shared" si="25"/>
        <v>4.1143618383972574E-3</v>
      </c>
      <c r="N337" s="5">
        <f t="shared" si="29"/>
        <v>-9.5955261441047768E-3</v>
      </c>
      <c r="O337" s="5">
        <f t="shared" si="27"/>
        <v>-4.106621406940022E-3</v>
      </c>
      <c r="P337" s="79">
        <f t="shared" si="28"/>
        <v>-4.1543119317072373E-3</v>
      </c>
    </row>
    <row r="338" spans="1:16">
      <c r="A338" s="73">
        <v>45146</v>
      </c>
      <c r="B338" s="45">
        <v>1755.95</v>
      </c>
      <c r="C338" s="105">
        <v>1713.7</v>
      </c>
      <c r="D338" s="5">
        <v>98.85</v>
      </c>
      <c r="E338" s="5">
        <v>562.4</v>
      </c>
      <c r="F338" s="45">
        <v>1819.1</v>
      </c>
      <c r="G338" s="5">
        <v>19570.849999999999</v>
      </c>
      <c r="H338" s="5">
        <f t="shared" si="26"/>
        <v>-5.3528945281522853E-3</v>
      </c>
      <c r="I338" s="5">
        <f t="shared" si="26"/>
        <v>1.4143685643271448E-2</v>
      </c>
      <c r="J338" s="5">
        <f t="shared" si="26"/>
        <v>2.3291925465838512E-2</v>
      </c>
      <c r="K338" s="5">
        <f t="shared" si="25"/>
        <v>-5.1300194586944587E-3</v>
      </c>
      <c r="L338" s="5">
        <f t="shared" si="25"/>
        <v>4.7778176696400693E-3</v>
      </c>
      <c r="M338" s="5">
        <f t="shared" si="25"/>
        <v>-1.3496757206350226E-3</v>
      </c>
      <c r="N338" s="5">
        <f t="shared" si="29"/>
        <v>1.4803396945138295E-3</v>
      </c>
      <c r="O338" s="5">
        <f t="shared" si="27"/>
        <v>-2.393939280477569E-3</v>
      </c>
      <c r="P338" s="79">
        <f t="shared" si="28"/>
        <v>-5.6461174156647903E-4</v>
      </c>
    </row>
    <row r="339" spans="1:16">
      <c r="A339" s="73">
        <v>45147</v>
      </c>
      <c r="B339" s="45">
        <v>1700.3</v>
      </c>
      <c r="C339" s="105">
        <v>1787.9</v>
      </c>
      <c r="D339" s="5">
        <v>101.25</v>
      </c>
      <c r="E339" s="5">
        <v>572.15</v>
      </c>
      <c r="F339" s="45">
        <v>1818.4</v>
      </c>
      <c r="G339" s="5">
        <v>19632.55</v>
      </c>
      <c r="H339" s="5">
        <f t="shared" si="26"/>
        <v>-3.1692246362367997E-2</v>
      </c>
      <c r="I339" s="5">
        <f t="shared" si="26"/>
        <v>4.3298126860010527E-2</v>
      </c>
      <c r="J339" s="5">
        <f t="shared" si="26"/>
        <v>2.4279210925644976E-2</v>
      </c>
      <c r="K339" s="5">
        <f t="shared" si="25"/>
        <v>1.7336415362731152E-2</v>
      </c>
      <c r="L339" s="5">
        <f t="shared" si="25"/>
        <v>-3.8480567313496682E-4</v>
      </c>
      <c r="M339" s="5">
        <f t="shared" si="25"/>
        <v>3.1526479432421551E-3</v>
      </c>
      <c r="N339" s="5">
        <f t="shared" si="29"/>
        <v>-3.8704965207614185E-3</v>
      </c>
      <c r="O339" s="5">
        <f t="shared" si="27"/>
        <v>1.4039103803803132E-3</v>
      </c>
      <c r="P339" s="79">
        <f t="shared" si="28"/>
        <v>2.2962139537658632E-3</v>
      </c>
    </row>
    <row r="340" spans="1:16">
      <c r="A340" s="73">
        <v>45148</v>
      </c>
      <c r="B340" s="45">
        <v>1645.9</v>
      </c>
      <c r="C340" s="105">
        <v>1895.45</v>
      </c>
      <c r="D340" s="5">
        <v>99.85</v>
      </c>
      <c r="E340" s="5">
        <v>571.54999999999995</v>
      </c>
      <c r="F340" s="45">
        <v>1794.2</v>
      </c>
      <c r="G340" s="5">
        <v>19543.099999999999</v>
      </c>
      <c r="H340" s="5">
        <f t="shared" si="26"/>
        <v>-3.1994353937540354E-2</v>
      </c>
      <c r="I340" s="5">
        <f t="shared" si="26"/>
        <v>6.0154371049834975E-2</v>
      </c>
      <c r="J340" s="5">
        <f t="shared" si="26"/>
        <v>-1.3827160493827217E-2</v>
      </c>
      <c r="K340" s="5">
        <f t="shared" si="26"/>
        <v>-1.0486760464913445E-3</v>
      </c>
      <c r="L340" s="5">
        <f t="shared" si="26"/>
        <v>-1.3308402991641027E-2</v>
      </c>
      <c r="M340" s="5">
        <f t="shared" si="26"/>
        <v>-4.5562089489139587E-3</v>
      </c>
      <c r="N340" s="5">
        <f t="shared" si="29"/>
        <v>-1.2511746219750675E-2</v>
      </c>
      <c r="O340" s="5">
        <f t="shared" si="27"/>
        <v>-7.3800547630298013E-3</v>
      </c>
      <c r="P340" s="79">
        <f t="shared" si="28"/>
        <v>-4.8264801612817746E-3</v>
      </c>
    </row>
    <row r="341" spans="1:16">
      <c r="A341" s="73">
        <v>45149</v>
      </c>
      <c r="B341" s="45">
        <v>1649.65</v>
      </c>
      <c r="C341" s="105">
        <v>1885.8</v>
      </c>
      <c r="D341" s="5">
        <v>103.05</v>
      </c>
      <c r="E341" s="5">
        <v>563.15</v>
      </c>
      <c r="F341" s="45">
        <v>1741.3</v>
      </c>
      <c r="G341" s="5">
        <v>19428.3</v>
      </c>
      <c r="H341" s="5">
        <f t="shared" ref="H341:M383" si="30">(B341 - B340) / B340</f>
        <v>2.2783887234947443E-3</v>
      </c>
      <c r="I341" s="5">
        <f t="shared" si="30"/>
        <v>-5.0911393072885546E-3</v>
      </c>
      <c r="J341" s="5">
        <f t="shared" si="30"/>
        <v>3.2048072108162275E-2</v>
      </c>
      <c r="K341" s="5">
        <f t="shared" si="30"/>
        <v>-1.469687691365581E-2</v>
      </c>
      <c r="L341" s="5">
        <f t="shared" si="30"/>
        <v>-2.9483892542637436E-2</v>
      </c>
      <c r="M341" s="5">
        <f t="shared" si="30"/>
        <v>-5.8741960077981119E-3</v>
      </c>
      <c r="N341" s="5">
        <f t="shared" si="29"/>
        <v>-1.4706141026054125E-2</v>
      </c>
      <c r="O341" s="5">
        <f t="shared" si="27"/>
        <v>-6.5435284548173937E-3</v>
      </c>
      <c r="P341" s="79">
        <f t="shared" si="28"/>
        <v>-3.9500228662307374E-3</v>
      </c>
    </row>
    <row r="342" spans="1:16">
      <c r="A342" s="73">
        <v>45152</v>
      </c>
      <c r="B342" s="45">
        <v>1646.9</v>
      </c>
      <c r="C342" s="105">
        <v>1929.6</v>
      </c>
      <c r="D342" s="5">
        <v>101.8</v>
      </c>
      <c r="E342" s="5">
        <v>564.85</v>
      </c>
      <c r="F342" s="45">
        <v>1863.1</v>
      </c>
      <c r="G342" s="5">
        <v>19434.55</v>
      </c>
      <c r="H342" s="5">
        <f t="shared" si="30"/>
        <v>-1.6670202770284605E-3</v>
      </c>
      <c r="I342" s="5">
        <f t="shared" si="30"/>
        <v>2.3226216990136789E-2</v>
      </c>
      <c r="J342" s="5">
        <f t="shared" si="30"/>
        <v>-1.2130033964095099E-2</v>
      </c>
      <c r="K342" s="5">
        <f t="shared" si="30"/>
        <v>3.0187339074847653E-3</v>
      </c>
      <c r="L342" s="5">
        <f t="shared" si="30"/>
        <v>6.9947740194107821E-2</v>
      </c>
      <c r="M342" s="5">
        <f t="shared" si="30"/>
        <v>3.2169567074834135E-4</v>
      </c>
      <c r="N342" s="5">
        <f t="shared" si="29"/>
        <v>3.4075763928943778E-2</v>
      </c>
      <c r="O342" s="5">
        <f t="shared" si="27"/>
        <v>4.2621086286029957E-3</v>
      </c>
      <c r="P342" s="79">
        <f t="shared" si="28"/>
        <v>3.8369943247663369E-3</v>
      </c>
    </row>
    <row r="343" spans="1:16">
      <c r="A343" s="73">
        <v>45154</v>
      </c>
      <c r="B343" s="45">
        <v>1647.15</v>
      </c>
      <c r="C343" s="105">
        <v>1956.55</v>
      </c>
      <c r="D343" s="5">
        <v>99.85</v>
      </c>
      <c r="E343" s="5">
        <v>565.35</v>
      </c>
      <c r="F343" s="45">
        <v>1935.7</v>
      </c>
      <c r="G343" s="5">
        <v>19465</v>
      </c>
      <c r="H343" s="5">
        <f t="shared" si="30"/>
        <v>1.5180035217681704E-4</v>
      </c>
      <c r="I343" s="5">
        <f t="shared" si="30"/>
        <v>1.3966625207296874E-2</v>
      </c>
      <c r="J343" s="5">
        <f t="shared" si="30"/>
        <v>-1.9155206286836965E-2</v>
      </c>
      <c r="K343" s="5">
        <f t="shared" si="30"/>
        <v>8.8519075860848007E-4</v>
      </c>
      <c r="L343" s="5">
        <f t="shared" si="30"/>
        <v>3.8967312543610189E-2</v>
      </c>
      <c r="M343" s="5">
        <f t="shared" si="30"/>
        <v>1.5667972759853318E-3</v>
      </c>
      <c r="N343" s="5">
        <f t="shared" si="29"/>
        <v>1.8932177369941443E-2</v>
      </c>
      <c r="O343" s="5">
        <f t="shared" si="27"/>
        <v>2.1438946501949642E-3</v>
      </c>
      <c r="P343" s="79">
        <f t="shared" si="28"/>
        <v>1.6715579070834916E-3</v>
      </c>
    </row>
    <row r="344" spans="1:16">
      <c r="A344" s="73">
        <v>45155</v>
      </c>
      <c r="B344" s="45">
        <v>1733.55</v>
      </c>
      <c r="C344" s="105">
        <v>1974.8</v>
      </c>
      <c r="D344" s="5">
        <v>99.9</v>
      </c>
      <c r="E344" s="5">
        <v>561.20000000000005</v>
      </c>
      <c r="F344" s="45">
        <v>1923.15</v>
      </c>
      <c r="G344" s="5">
        <v>19365.25</v>
      </c>
      <c r="H344" s="5">
        <f t="shared" si="30"/>
        <v>5.2454239140333217E-2</v>
      </c>
      <c r="I344" s="5">
        <f t="shared" si="30"/>
        <v>9.3276430451560144E-3</v>
      </c>
      <c r="J344" s="5">
        <f t="shared" si="30"/>
        <v>5.0075112669014895E-4</v>
      </c>
      <c r="K344" s="5">
        <f t="shared" si="30"/>
        <v>-7.340585478022423E-3</v>
      </c>
      <c r="L344" s="5">
        <f t="shared" si="30"/>
        <v>-6.4834426822337936E-3</v>
      </c>
      <c r="M344" s="5">
        <f t="shared" si="30"/>
        <v>-5.124582584125353E-3</v>
      </c>
      <c r="N344" s="5">
        <f t="shared" si="29"/>
        <v>1.228679790048999E-2</v>
      </c>
      <c r="O344" s="5">
        <f t="shared" si="27"/>
        <v>1.6628193267249659E-2</v>
      </c>
      <c r="P344" s="79">
        <f t="shared" si="28"/>
        <v>1.907286805805939E-2</v>
      </c>
    </row>
    <row r="345" spans="1:16">
      <c r="A345" s="73">
        <v>45156</v>
      </c>
      <c r="B345" s="45">
        <v>1723.05</v>
      </c>
      <c r="C345" s="105">
        <v>1974</v>
      </c>
      <c r="D345" s="5">
        <v>98</v>
      </c>
      <c r="E345" s="5">
        <v>565.5</v>
      </c>
      <c r="F345" s="45">
        <v>1872</v>
      </c>
      <c r="G345" s="5">
        <v>19310.150000000001</v>
      </c>
      <c r="H345" s="5">
        <f t="shared" si="30"/>
        <v>-6.0569351907934586E-3</v>
      </c>
      <c r="I345" s="5">
        <f t="shared" si="30"/>
        <v>-4.0510431436092492E-4</v>
      </c>
      <c r="J345" s="5">
        <f t="shared" si="30"/>
        <v>-1.9019019019019076E-2</v>
      </c>
      <c r="K345" s="5">
        <f t="shared" si="30"/>
        <v>7.6621525302921489E-3</v>
      </c>
      <c r="L345" s="5">
        <f t="shared" si="30"/>
        <v>-2.65969893144061E-2</v>
      </c>
      <c r="M345" s="5">
        <f t="shared" si="30"/>
        <v>-2.8453027975367498E-3</v>
      </c>
      <c r="N345" s="5">
        <f t="shared" si="29"/>
        <v>-1.384671344795561E-2</v>
      </c>
      <c r="O345" s="5">
        <f t="shared" si="27"/>
        <v>3.1812509749564713E-4</v>
      </c>
      <c r="P345" s="79">
        <f t="shared" si="28"/>
        <v>-7.6687677957957233E-4</v>
      </c>
    </row>
    <row r="346" spans="1:16">
      <c r="A346" s="73">
        <v>45159</v>
      </c>
      <c r="B346" s="45">
        <v>1732.65</v>
      </c>
      <c r="C346" s="105">
        <v>1999.95</v>
      </c>
      <c r="D346" s="5">
        <v>100.95</v>
      </c>
      <c r="E346" s="5">
        <v>567.75</v>
      </c>
      <c r="F346" s="45">
        <v>1868.1</v>
      </c>
      <c r="G346" s="5">
        <v>19393.599999999999</v>
      </c>
      <c r="H346" s="5">
        <f t="shared" si="30"/>
        <v>5.5715156263603125E-3</v>
      </c>
      <c r="I346" s="5">
        <f t="shared" si="30"/>
        <v>1.3145896656534978E-2</v>
      </c>
      <c r="J346" s="5">
        <f t="shared" si="30"/>
        <v>3.0102040816326558E-2</v>
      </c>
      <c r="K346" s="5">
        <f t="shared" si="30"/>
        <v>3.9787798408488064E-3</v>
      </c>
      <c r="L346" s="5">
        <f t="shared" si="30"/>
        <v>-2.0833333333333819E-3</v>
      </c>
      <c r="M346" s="5">
        <f t="shared" si="30"/>
        <v>4.3215614586109936E-3</v>
      </c>
      <c r="N346" s="5">
        <f t="shared" si="29"/>
        <v>2.8886831578315416E-3</v>
      </c>
      <c r="O346" s="5">
        <f t="shared" si="27"/>
        <v>6.0162244831717731E-3</v>
      </c>
      <c r="P346" s="79">
        <f t="shared" si="28"/>
        <v>7.4784433368108453E-3</v>
      </c>
    </row>
    <row r="347" spans="1:16">
      <c r="A347" s="73">
        <v>45160</v>
      </c>
      <c r="B347" s="45">
        <v>1730.6</v>
      </c>
      <c r="C347" s="105">
        <v>2027.85</v>
      </c>
      <c r="D347" s="5">
        <v>111.05</v>
      </c>
      <c r="E347" s="5">
        <v>574.75</v>
      </c>
      <c r="F347" s="45">
        <v>1867.35</v>
      </c>
      <c r="G347" s="5">
        <v>19396.45</v>
      </c>
      <c r="H347" s="5">
        <f t="shared" si="30"/>
        <v>-1.1831587452746843E-3</v>
      </c>
      <c r="I347" s="5">
        <f t="shared" si="30"/>
        <v>1.39503487587189E-2</v>
      </c>
      <c r="J347" s="5">
        <f t="shared" si="30"/>
        <v>0.10004952947003461</v>
      </c>
      <c r="K347" s="5">
        <f t="shared" si="30"/>
        <v>1.2329370321444297E-2</v>
      </c>
      <c r="L347" s="5">
        <f t="shared" si="30"/>
        <v>-4.0147743696804239E-4</v>
      </c>
      <c r="M347" s="5">
        <f t="shared" si="30"/>
        <v>1.4695569672480525E-4</v>
      </c>
      <c r="N347" s="5">
        <f t="shared" si="29"/>
        <v>4.7271988952968021E-3</v>
      </c>
      <c r="O347" s="5">
        <f t="shared" si="27"/>
        <v>9.6034869623801353E-3</v>
      </c>
      <c r="P347" s="79">
        <f t="shared" si="28"/>
        <v>1.2362527615074462E-2</v>
      </c>
    </row>
    <row r="348" spans="1:16">
      <c r="A348" s="73">
        <v>45161</v>
      </c>
      <c r="B348" s="45">
        <v>1726.85</v>
      </c>
      <c r="C348" s="105">
        <v>2050.9499999999998</v>
      </c>
      <c r="D348" s="5">
        <v>109.5</v>
      </c>
      <c r="E348" s="5">
        <v>567.29999999999995</v>
      </c>
      <c r="F348" s="45">
        <v>1873.85</v>
      </c>
      <c r="G348" s="5">
        <v>19444</v>
      </c>
      <c r="H348" s="5">
        <f t="shared" si="30"/>
        <v>-2.1668785392349476E-3</v>
      </c>
      <c r="I348" s="5">
        <f t="shared" si="30"/>
        <v>1.1391375101708663E-2</v>
      </c>
      <c r="J348" s="5">
        <f t="shared" si="30"/>
        <v>-1.3957676722197183E-2</v>
      </c>
      <c r="K348" s="5">
        <f t="shared" si="30"/>
        <v>-1.2962157459765195E-2</v>
      </c>
      <c r="L348" s="5">
        <f t="shared" si="30"/>
        <v>3.4808686105979062E-3</v>
      </c>
      <c r="M348" s="5">
        <f t="shared" si="30"/>
        <v>2.4514795233147959E-3</v>
      </c>
      <c r="N348" s="5">
        <f t="shared" si="29"/>
        <v>-4.2522201603672864E-4</v>
      </c>
      <c r="O348" s="5">
        <f t="shared" si="27"/>
        <v>-6.3273315888400222E-3</v>
      </c>
      <c r="P348" s="79">
        <f t="shared" si="28"/>
        <v>-5.0025690141776288E-3</v>
      </c>
    </row>
    <row r="349" spans="1:16">
      <c r="A349" s="73">
        <v>45162</v>
      </c>
      <c r="B349" s="45">
        <v>1710.55</v>
      </c>
      <c r="C349" s="105">
        <v>2069.0500000000002</v>
      </c>
      <c r="D349" s="5">
        <v>107.65</v>
      </c>
      <c r="E349" s="5">
        <v>564.9</v>
      </c>
      <c r="F349" s="45">
        <v>1858.65</v>
      </c>
      <c r="G349" s="5">
        <v>19386.7</v>
      </c>
      <c r="H349" s="5">
        <f t="shared" si="30"/>
        <v>-9.4391522135680323E-3</v>
      </c>
      <c r="I349" s="5">
        <f t="shared" si="30"/>
        <v>8.8251785757821333E-3</v>
      </c>
      <c r="J349" s="5">
        <f t="shared" si="30"/>
        <v>-1.6894977168949721E-2</v>
      </c>
      <c r="K349" s="5">
        <f t="shared" si="30"/>
        <v>-4.2305658381808168E-3</v>
      </c>
      <c r="L349" s="5">
        <f t="shared" si="30"/>
        <v>-8.1116418069748474E-3</v>
      </c>
      <c r="M349" s="5">
        <f t="shared" si="30"/>
        <v>-2.9469245011314168E-3</v>
      </c>
      <c r="N349" s="5">
        <f t="shared" si="29"/>
        <v>-7.1214755323071709E-3</v>
      </c>
      <c r="O349" s="5">
        <f t="shared" si="27"/>
        <v>-5.3667223775470275E-3</v>
      </c>
      <c r="P349" s="79">
        <f t="shared" si="28"/>
        <v>-5.0875022624176352E-3</v>
      </c>
    </row>
    <row r="350" spans="1:16">
      <c r="A350" s="73">
        <v>45163</v>
      </c>
      <c r="B350" s="45">
        <v>1702.4</v>
      </c>
      <c r="C350" s="105">
        <v>2014</v>
      </c>
      <c r="D350" s="5">
        <v>105.25</v>
      </c>
      <c r="E350" s="5">
        <v>558.04999999999995</v>
      </c>
      <c r="F350" s="45">
        <v>1839.35</v>
      </c>
      <c r="G350" s="5">
        <v>19265.8</v>
      </c>
      <c r="H350" s="5">
        <f t="shared" si="30"/>
        <v>-4.7645494139311123E-3</v>
      </c>
      <c r="I350" s="5">
        <f t="shared" si="30"/>
        <v>-2.6606413571445917E-2</v>
      </c>
      <c r="J350" s="5">
        <f t="shared" si="30"/>
        <v>-2.2294472828611293E-2</v>
      </c>
      <c r="K350" s="5">
        <f t="shared" si="30"/>
        <v>-1.2126040007080939E-2</v>
      </c>
      <c r="L350" s="5">
        <f t="shared" si="30"/>
        <v>-1.0383880773679919E-2</v>
      </c>
      <c r="M350" s="5">
        <f t="shared" si="30"/>
        <v>-6.2362341192674078E-3</v>
      </c>
      <c r="N350" s="5">
        <f t="shared" si="29"/>
        <v>-1.0301946637912701E-2</v>
      </c>
      <c r="O350" s="5">
        <f t="shared" si="27"/>
        <v>-1.1002203492513159E-2</v>
      </c>
      <c r="P350" s="79">
        <f t="shared" si="28"/>
        <v>-1.2004966646621276E-2</v>
      </c>
    </row>
    <row r="351" spans="1:16">
      <c r="A351" s="73">
        <v>45166</v>
      </c>
      <c r="B351" s="45">
        <v>1694</v>
      </c>
      <c r="C351" s="105">
        <v>2005.75</v>
      </c>
      <c r="D351" s="5">
        <v>109.55</v>
      </c>
      <c r="E351" s="5">
        <v>554.15</v>
      </c>
      <c r="F351" s="45">
        <v>1833.75</v>
      </c>
      <c r="G351" s="5">
        <v>19306.05</v>
      </c>
      <c r="H351" s="5">
        <f t="shared" si="30"/>
        <v>-4.934210526315843E-3</v>
      </c>
      <c r="I351" s="5">
        <f t="shared" si="30"/>
        <v>-4.0963257199602776E-3</v>
      </c>
      <c r="J351" s="5">
        <f t="shared" si="30"/>
        <v>4.0855106888361019E-2</v>
      </c>
      <c r="K351" s="5">
        <f t="shared" si="30"/>
        <v>-6.9886210913000226E-3</v>
      </c>
      <c r="L351" s="5">
        <f t="shared" si="30"/>
        <v>-3.0445537825861905E-3</v>
      </c>
      <c r="M351" s="5">
        <f t="shared" si="30"/>
        <v>2.0891943236200938E-3</v>
      </c>
      <c r="N351" s="5">
        <f t="shared" si="29"/>
        <v>-3.0431802263002463E-3</v>
      </c>
      <c r="O351" s="5">
        <f t="shared" si="27"/>
        <v>-4.549914773911869E-3</v>
      </c>
      <c r="P351" s="79">
        <f t="shared" si="28"/>
        <v>-2.8912660409954032E-3</v>
      </c>
    </row>
    <row r="352" spans="1:16">
      <c r="A352" s="73">
        <v>45167</v>
      </c>
      <c r="B352" s="45">
        <v>1690.45</v>
      </c>
      <c r="C352" s="105">
        <v>2049.3000000000002</v>
      </c>
      <c r="D352" s="5">
        <v>114.65</v>
      </c>
      <c r="E352" s="5">
        <v>550.15</v>
      </c>
      <c r="F352" s="45">
        <v>1818.45</v>
      </c>
      <c r="G352" s="5">
        <v>19342.650000000001</v>
      </c>
      <c r="H352" s="5">
        <f t="shared" si="30"/>
        <v>-2.0956316410861596E-3</v>
      </c>
      <c r="I352" s="5">
        <f t="shared" si="30"/>
        <v>2.1712576343013927E-2</v>
      </c>
      <c r="J352" s="5">
        <f t="shared" si="30"/>
        <v>4.6554084892743118E-2</v>
      </c>
      <c r="K352" s="5">
        <f t="shared" si="30"/>
        <v>-7.2182622033745382E-3</v>
      </c>
      <c r="L352" s="5">
        <f t="shared" si="30"/>
        <v>-8.3435582822085647E-3</v>
      </c>
      <c r="M352" s="5">
        <f t="shared" si="30"/>
        <v>1.8957787843708156E-3</v>
      </c>
      <c r="N352" s="5">
        <f t="shared" si="29"/>
        <v>-2.905815992096627E-3</v>
      </c>
      <c r="O352" s="5">
        <f t="shared" si="27"/>
        <v>-1.1397858512268426E-3</v>
      </c>
      <c r="P352" s="79">
        <f t="shared" si="28"/>
        <v>2.3077345154053821E-3</v>
      </c>
    </row>
    <row r="353" spans="1:16">
      <c r="A353" s="73">
        <v>45168</v>
      </c>
      <c r="B353" s="45">
        <v>1706.1</v>
      </c>
      <c r="C353" s="105">
        <v>2062.5500000000002</v>
      </c>
      <c r="D353" s="5">
        <v>118.7</v>
      </c>
      <c r="E353" s="5">
        <v>554.9</v>
      </c>
      <c r="F353" s="45">
        <v>1863.95</v>
      </c>
      <c r="G353" s="5">
        <v>19347.45</v>
      </c>
      <c r="H353" s="5">
        <f t="shared" si="30"/>
        <v>9.2578899109703704E-3</v>
      </c>
      <c r="I353" s="5">
        <f t="shared" si="30"/>
        <v>6.4656224076513925E-3</v>
      </c>
      <c r="J353" s="5">
        <f t="shared" si="30"/>
        <v>3.5324901875272541E-2</v>
      </c>
      <c r="K353" s="5">
        <f t="shared" si="30"/>
        <v>8.6340089066618206E-3</v>
      </c>
      <c r="L353" s="5">
        <f t="shared" si="30"/>
        <v>2.5021309356869862E-2</v>
      </c>
      <c r="M353" s="5">
        <f t="shared" si="30"/>
        <v>2.4815627641503477E-4</v>
      </c>
      <c r="N353" s="5">
        <f t="shared" si="29"/>
        <v>1.7125731386669514E-2</v>
      </c>
      <c r="O353" s="5">
        <f t="shared" si="27"/>
        <v>9.7613899231446932E-3</v>
      </c>
      <c r="P353" s="79">
        <f t="shared" si="28"/>
        <v>1.0255154059785358E-2</v>
      </c>
    </row>
    <row r="354" spans="1:16">
      <c r="A354" s="73">
        <v>45169</v>
      </c>
      <c r="B354" s="45">
        <v>1688.2</v>
      </c>
      <c r="C354" s="105">
        <v>2048.6</v>
      </c>
      <c r="D354" s="5">
        <v>121.25</v>
      </c>
      <c r="E354" s="5">
        <v>553.1</v>
      </c>
      <c r="F354" s="45">
        <v>1848.95</v>
      </c>
      <c r="G354" s="5">
        <v>19253.8</v>
      </c>
      <c r="H354" s="5">
        <f t="shared" si="30"/>
        <v>-1.0491764843795713E-2</v>
      </c>
      <c r="I354" s="5">
        <f t="shared" si="30"/>
        <v>-6.7634724006692066E-3</v>
      </c>
      <c r="J354" s="5">
        <f t="shared" si="30"/>
        <v>2.1482729570345385E-2</v>
      </c>
      <c r="K354" s="5">
        <f t="shared" si="30"/>
        <v>-3.2438277167056309E-3</v>
      </c>
      <c r="L354" s="5">
        <f t="shared" si="30"/>
        <v>-8.0474261648649376E-3</v>
      </c>
      <c r="M354" s="5">
        <f t="shared" si="30"/>
        <v>-4.8404311679317667E-3</v>
      </c>
      <c r="N354" s="5">
        <f t="shared" si="29"/>
        <v>-7.2478277796789621E-3</v>
      </c>
      <c r="O354" s="5">
        <f t="shared" si="27"/>
        <v>-5.6885873824249278E-3</v>
      </c>
      <c r="P354" s="79">
        <f t="shared" si="28"/>
        <v>-5.1895847837940623E-3</v>
      </c>
    </row>
    <row r="355" spans="1:16">
      <c r="A355" s="73">
        <v>45170</v>
      </c>
      <c r="B355" s="45">
        <v>1684.2</v>
      </c>
      <c r="C355" s="105">
        <v>2063.1</v>
      </c>
      <c r="D355" s="5">
        <v>136.15</v>
      </c>
      <c r="E355" s="5">
        <v>553.35</v>
      </c>
      <c r="F355" s="45">
        <v>1887.05</v>
      </c>
      <c r="G355" s="5">
        <v>19435.3</v>
      </c>
      <c r="H355" s="5">
        <f t="shared" si="30"/>
        <v>-2.3693875133278049E-3</v>
      </c>
      <c r="I355" s="5">
        <f t="shared" si="30"/>
        <v>7.0780044908718151E-3</v>
      </c>
      <c r="J355" s="5">
        <f t="shared" si="30"/>
        <v>0.12288659793814438</v>
      </c>
      <c r="K355" s="5">
        <f t="shared" si="30"/>
        <v>4.5199783041041403E-4</v>
      </c>
      <c r="L355" s="5">
        <f t="shared" si="30"/>
        <v>2.0606290056518515E-2</v>
      </c>
      <c r="M355" s="5">
        <f t="shared" si="30"/>
        <v>9.4267105714196681E-3</v>
      </c>
      <c r="N355" s="5">
        <f t="shared" si="29"/>
        <v>1.2820219781361884E-2</v>
      </c>
      <c r="O355" s="5">
        <f t="shared" si="27"/>
        <v>3.8497898963571276E-3</v>
      </c>
      <c r="P355" s="79">
        <f t="shared" si="28"/>
        <v>7.7311388593699869E-3</v>
      </c>
    </row>
    <row r="356" spans="1:16">
      <c r="A356" s="73">
        <v>45173</v>
      </c>
      <c r="B356" s="45">
        <v>1655.05</v>
      </c>
      <c r="C356" s="105">
        <v>2031.4</v>
      </c>
      <c r="D356" s="5">
        <v>138.75</v>
      </c>
      <c r="E356" s="5">
        <v>557.9</v>
      </c>
      <c r="F356" s="45">
        <v>1910.3</v>
      </c>
      <c r="G356" s="5">
        <v>19528.8</v>
      </c>
      <c r="H356" s="5">
        <f t="shared" si="30"/>
        <v>-1.7307920674504269E-2</v>
      </c>
      <c r="I356" s="5">
        <f t="shared" si="30"/>
        <v>-1.5365227085453841E-2</v>
      </c>
      <c r="J356" s="5">
        <f t="shared" si="30"/>
        <v>1.9096584649283835E-2</v>
      </c>
      <c r="K356" s="5">
        <f t="shared" si="30"/>
        <v>8.2226438962681014E-3</v>
      </c>
      <c r="L356" s="5">
        <f t="shared" si="30"/>
        <v>1.2320818208314566E-2</v>
      </c>
      <c r="M356" s="5">
        <f t="shared" si="30"/>
        <v>4.8108338950260607E-3</v>
      </c>
      <c r="N356" s="5">
        <f t="shared" si="29"/>
        <v>1.2672745025820529E-3</v>
      </c>
      <c r="O356" s="5">
        <f t="shared" si="27"/>
        <v>-3.0715759963227595E-3</v>
      </c>
      <c r="P356" s="79">
        <f t="shared" si="28"/>
        <v>-4.6567021564349947E-3</v>
      </c>
    </row>
    <row r="357" spans="1:16">
      <c r="A357" s="73">
        <v>45174</v>
      </c>
      <c r="B357" s="45">
        <v>1681.9</v>
      </c>
      <c r="C357" s="105">
        <v>2063.6999999999998</v>
      </c>
      <c r="D357" s="5">
        <v>138.4</v>
      </c>
      <c r="E357" s="5">
        <v>559.85</v>
      </c>
      <c r="F357" s="45">
        <v>1912.35</v>
      </c>
      <c r="G357" s="5">
        <v>19574.900000000001</v>
      </c>
      <c r="H357" s="5">
        <f t="shared" si="30"/>
        <v>1.622307483157617E-2</v>
      </c>
      <c r="I357" s="5">
        <f t="shared" si="30"/>
        <v>1.5900364280791439E-2</v>
      </c>
      <c r="J357" s="5">
        <f t="shared" si="30"/>
        <v>-2.5225225225224816E-3</v>
      </c>
      <c r="K357" s="5">
        <f t="shared" si="30"/>
        <v>3.4952500448109797E-3</v>
      </c>
      <c r="L357" s="5">
        <f t="shared" si="30"/>
        <v>1.0731298748887371E-3</v>
      </c>
      <c r="M357" s="5">
        <f t="shared" si="30"/>
        <v>2.3606161156856636E-3</v>
      </c>
      <c r="N357" s="5">
        <f t="shared" si="29"/>
        <v>6.8095904915590789E-3</v>
      </c>
      <c r="O357" s="5">
        <f t="shared" si="27"/>
        <v>9.1617291105392691E-3</v>
      </c>
      <c r="P357" s="79">
        <f t="shared" si="28"/>
        <v>9.974946942916587E-3</v>
      </c>
    </row>
    <row r="358" spans="1:16">
      <c r="A358" s="73">
        <v>45175</v>
      </c>
      <c r="B358" s="45">
        <v>1686.55</v>
      </c>
      <c r="C358" s="105">
        <v>2067.5</v>
      </c>
      <c r="D358" s="5">
        <v>135.55000000000001</v>
      </c>
      <c r="E358" s="5">
        <v>561.54999999999995</v>
      </c>
      <c r="F358" s="45">
        <v>1906</v>
      </c>
      <c r="G358" s="5">
        <v>19611.05</v>
      </c>
      <c r="H358" s="5">
        <f t="shared" si="30"/>
        <v>2.7647303644686744E-3</v>
      </c>
      <c r="I358" s="5">
        <f t="shared" si="30"/>
        <v>1.8413529098222524E-3</v>
      </c>
      <c r="J358" s="5">
        <f t="shared" si="30"/>
        <v>-2.0592485549132906E-2</v>
      </c>
      <c r="K358" s="5">
        <f t="shared" si="30"/>
        <v>3.0365276413323776E-3</v>
      </c>
      <c r="L358" s="5">
        <f t="shared" si="30"/>
        <v>-3.3205218709963704E-3</v>
      </c>
      <c r="M358" s="5">
        <f t="shared" si="30"/>
        <v>1.8467527292603187E-3</v>
      </c>
      <c r="N358" s="5">
        <f t="shared" si="29"/>
        <v>-7.5367816220500109E-4</v>
      </c>
      <c r="O358" s="5">
        <f t="shared" si="27"/>
        <v>2.0310010336257391E-3</v>
      </c>
      <c r="P358" s="79">
        <f t="shared" si="28"/>
        <v>1.3054223335349053E-3</v>
      </c>
    </row>
    <row r="359" spans="1:16">
      <c r="A359" s="73">
        <v>45176</v>
      </c>
      <c r="B359" s="45">
        <v>1731.25</v>
      </c>
      <c r="C359" s="105">
        <v>2087.75</v>
      </c>
      <c r="D359" s="5">
        <v>137.69999999999999</v>
      </c>
      <c r="E359" s="5">
        <v>566</v>
      </c>
      <c r="F359" s="45">
        <v>2087.9</v>
      </c>
      <c r="G359" s="5">
        <v>19727.05</v>
      </c>
      <c r="H359" s="5">
        <f t="shared" si="30"/>
        <v>2.6503809552044143E-2</v>
      </c>
      <c r="I359" s="5">
        <f t="shared" si="30"/>
        <v>9.7944377267230962E-3</v>
      </c>
      <c r="J359" s="5">
        <f t="shared" si="30"/>
        <v>1.5861305791220782E-2</v>
      </c>
      <c r="K359" s="5">
        <f t="shared" si="30"/>
        <v>7.9244947021637358E-3</v>
      </c>
      <c r="L359" s="5">
        <f t="shared" si="30"/>
        <v>9.5435466946484832E-2</v>
      </c>
      <c r="M359" s="5">
        <f t="shared" si="30"/>
        <v>5.9150325964188559E-3</v>
      </c>
      <c r="N359" s="5">
        <f t="shared" si="29"/>
        <v>5.5105011064229222E-2</v>
      </c>
      <c r="O359" s="5">
        <f t="shared" si="27"/>
        <v>1.715906714965203E-2</v>
      </c>
      <c r="P359" s="79">
        <f t="shared" si="28"/>
        <v>1.6626855738016515E-2</v>
      </c>
    </row>
    <row r="360" spans="1:16">
      <c r="A360" s="73">
        <v>45177</v>
      </c>
      <c r="B360" s="45">
        <v>1723.45</v>
      </c>
      <c r="C360" s="105">
        <v>2086.5500000000002</v>
      </c>
      <c r="D360" s="5">
        <v>145.30000000000001</v>
      </c>
      <c r="E360" s="5">
        <v>567.1</v>
      </c>
      <c r="F360" s="45">
        <v>2212.3000000000002</v>
      </c>
      <c r="G360" s="5">
        <v>19819.95</v>
      </c>
      <c r="H360" s="5">
        <f t="shared" si="30"/>
        <v>-4.5054151624548478E-3</v>
      </c>
      <c r="I360" s="5">
        <f t="shared" si="30"/>
        <v>-5.7478146329772149E-4</v>
      </c>
      <c r="J360" s="5">
        <f t="shared" si="30"/>
        <v>5.5192447349310267E-2</v>
      </c>
      <c r="K360" s="5">
        <f t="shared" si="30"/>
        <v>1.943462897526542E-3</v>
      </c>
      <c r="L360" s="5">
        <f t="shared" si="30"/>
        <v>5.9581397576512325E-2</v>
      </c>
      <c r="M360" s="5">
        <f t="shared" si="30"/>
        <v>4.709269759036524E-3</v>
      </c>
      <c r="N360" s="5">
        <f t="shared" si="29"/>
        <v>2.845805512506688E-2</v>
      </c>
      <c r="O360" s="5">
        <f t="shared" si="27"/>
        <v>2.0679271383696155E-3</v>
      </c>
      <c r="P360" s="79">
        <f t="shared" si="28"/>
        <v>2.6247246409521205E-3</v>
      </c>
    </row>
    <row r="361" spans="1:16">
      <c r="A361" s="73">
        <v>45180</v>
      </c>
      <c r="B361" s="45">
        <v>1717.7</v>
      </c>
      <c r="C361" s="105">
        <v>2085.75</v>
      </c>
      <c r="D361" s="5">
        <v>139.85</v>
      </c>
      <c r="E361" s="5">
        <v>569.70000000000005</v>
      </c>
      <c r="F361" s="45">
        <v>2272.25</v>
      </c>
      <c r="G361" s="5">
        <v>19996.349999999999</v>
      </c>
      <c r="H361" s="5">
        <f t="shared" si="30"/>
        <v>-3.3363311961472626E-3</v>
      </c>
      <c r="I361" s="5">
        <f t="shared" si="30"/>
        <v>-3.83408018020264E-4</v>
      </c>
      <c r="J361" s="5">
        <f t="shared" si="30"/>
        <v>-3.7508602890571348E-2</v>
      </c>
      <c r="K361" s="5">
        <f t="shared" si="30"/>
        <v>4.5847293246341434E-3</v>
      </c>
      <c r="L361" s="5">
        <f t="shared" si="30"/>
        <v>2.7098494779188995E-2</v>
      </c>
      <c r="M361" s="5">
        <f t="shared" si="30"/>
        <v>8.9001233605532706E-3</v>
      </c>
      <c r="N361" s="5">
        <f t="shared" si="29"/>
        <v>1.1378121414750286E-2</v>
      </c>
      <c r="O361" s="5">
        <f t="shared" si="27"/>
        <v>5.2475316653732406E-4</v>
      </c>
      <c r="P361" s="79">
        <f t="shared" si="28"/>
        <v>-1.5819660598282881E-3</v>
      </c>
    </row>
    <row r="362" spans="1:16">
      <c r="A362" s="73">
        <v>45181</v>
      </c>
      <c r="B362" s="45">
        <v>1700.85</v>
      </c>
      <c r="C362" s="105">
        <v>2057.4</v>
      </c>
      <c r="D362" s="5">
        <v>125.65</v>
      </c>
      <c r="E362" s="5">
        <v>565.70000000000005</v>
      </c>
      <c r="F362" s="45">
        <v>2071.85</v>
      </c>
      <c r="G362" s="5">
        <v>19993.2</v>
      </c>
      <c r="H362" s="5">
        <f t="shared" si="30"/>
        <v>-9.8096291552658421E-3</v>
      </c>
      <c r="I362" s="5">
        <f t="shared" si="30"/>
        <v>-1.3592233009708694E-2</v>
      </c>
      <c r="J362" s="5">
        <f t="shared" si="30"/>
        <v>-0.10153736145870568</v>
      </c>
      <c r="K362" s="5">
        <f t="shared" si="30"/>
        <v>-7.0212392487274001E-3</v>
      </c>
      <c r="L362" s="5">
        <f t="shared" si="30"/>
        <v>-8.8194520849378413E-2</v>
      </c>
      <c r="M362" s="5">
        <f t="shared" si="30"/>
        <v>-1.5752874899658276E-4</v>
      </c>
      <c r="N362" s="5">
        <f t="shared" si="29"/>
        <v>-4.9099284070566997E-2</v>
      </c>
      <c r="O362" s="5">
        <f t="shared" si="27"/>
        <v>-1.3086803625334813E-2</v>
      </c>
      <c r="P362" s="79">
        <f t="shared" si="28"/>
        <v>-1.530824836259371E-2</v>
      </c>
    </row>
    <row r="363" spans="1:16">
      <c r="A363" s="73">
        <v>45182</v>
      </c>
      <c r="B363" s="45">
        <v>1672.35</v>
      </c>
      <c r="C363" s="105">
        <v>2065.4</v>
      </c>
      <c r="D363" s="5">
        <v>128.80000000000001</v>
      </c>
      <c r="E363" s="5">
        <v>565.5</v>
      </c>
      <c r="F363" s="45">
        <v>2061.1999999999998</v>
      </c>
      <c r="G363" s="5">
        <v>20070</v>
      </c>
      <c r="H363" s="5">
        <f t="shared" si="30"/>
        <v>-1.6756327718493697E-2</v>
      </c>
      <c r="I363" s="5">
        <f t="shared" si="30"/>
        <v>3.888402838534072E-3</v>
      </c>
      <c r="J363" s="5">
        <f t="shared" si="30"/>
        <v>2.5069637883008401E-2</v>
      </c>
      <c r="K363" s="5">
        <f t="shared" si="30"/>
        <v>-3.5354428142132837E-4</v>
      </c>
      <c r="L363" s="5">
        <f t="shared" si="30"/>
        <v>-5.1403335183532071E-3</v>
      </c>
      <c r="M363" s="5">
        <f t="shared" si="30"/>
        <v>3.841306044054942E-3</v>
      </c>
      <c r="N363" s="5">
        <f t="shared" si="29"/>
        <v>-6.5770629871446246E-3</v>
      </c>
      <c r="O363" s="5">
        <f t="shared" si="27"/>
        <v>-5.4411150329209991E-3</v>
      </c>
      <c r="P363" s="79">
        <f t="shared" si="28"/>
        <v>-4.679603148579921E-3</v>
      </c>
    </row>
    <row r="364" spans="1:16">
      <c r="A364" s="73">
        <v>45183</v>
      </c>
      <c r="B364" s="45">
        <v>1659.95</v>
      </c>
      <c r="C364" s="105">
        <v>2058.5</v>
      </c>
      <c r="D364" s="5">
        <v>129.9</v>
      </c>
      <c r="E364" s="5">
        <v>567.45000000000005</v>
      </c>
      <c r="F364" s="45">
        <v>2098.8000000000002</v>
      </c>
      <c r="G364" s="5">
        <v>20103.099999999999</v>
      </c>
      <c r="H364" s="5">
        <f t="shared" si="30"/>
        <v>-7.4147158190569348E-3</v>
      </c>
      <c r="I364" s="5">
        <f t="shared" si="30"/>
        <v>-3.3407572383073935E-3</v>
      </c>
      <c r="J364" s="5">
        <f t="shared" si="30"/>
        <v>8.5403726708074088E-3</v>
      </c>
      <c r="K364" s="5">
        <f t="shared" si="30"/>
        <v>3.4482758620690461E-3</v>
      </c>
      <c r="L364" s="5">
        <f t="shared" si="30"/>
        <v>1.8241800892684051E-2</v>
      </c>
      <c r="M364" s="5">
        <f t="shared" si="30"/>
        <v>1.6492277030392898E-3</v>
      </c>
      <c r="N364" s="5">
        <f t="shared" si="29"/>
        <v>6.865413757401702E-3</v>
      </c>
      <c r="O364" s="5">
        <f t="shared" si="27"/>
        <v>-7.4735678486204885E-4</v>
      </c>
      <c r="P364" s="79">
        <f t="shared" si="28"/>
        <v>-1.4161964865006631E-3</v>
      </c>
    </row>
    <row r="365" spans="1:16">
      <c r="A365" s="73">
        <v>45184</v>
      </c>
      <c r="B365" s="45">
        <v>1686.55</v>
      </c>
      <c r="C365" s="105">
        <v>2070.25</v>
      </c>
      <c r="D365" s="5">
        <v>127.6</v>
      </c>
      <c r="E365" s="5">
        <v>565.5</v>
      </c>
      <c r="F365" s="45">
        <v>2270</v>
      </c>
      <c r="G365" s="5">
        <v>20192.349999999999</v>
      </c>
      <c r="H365" s="5">
        <f t="shared" si="30"/>
        <v>1.6024579053585897E-2</v>
      </c>
      <c r="I365" s="5">
        <f t="shared" si="30"/>
        <v>5.7080398348311875E-3</v>
      </c>
      <c r="J365" s="5">
        <f t="shared" si="30"/>
        <v>-1.7705927636643658E-2</v>
      </c>
      <c r="K365" s="5">
        <f t="shared" si="30"/>
        <v>-3.4364261168385677E-3</v>
      </c>
      <c r="L365" s="5">
        <f t="shared" si="30"/>
        <v>8.1570421193062612E-2</v>
      </c>
      <c r="M365" s="5">
        <f t="shared" si="30"/>
        <v>4.4396137909078707E-3</v>
      </c>
      <c r="N365" s="5">
        <f t="shared" si="29"/>
        <v>4.2701230191111897E-2</v>
      </c>
      <c r="O365" s="5">
        <f t="shared" si="27"/>
        <v>6.1430607437175377E-3</v>
      </c>
      <c r="P365" s="79">
        <f t="shared" si="28"/>
        <v>5.3737956723648251E-3</v>
      </c>
    </row>
    <row r="366" spans="1:16">
      <c r="A366" s="73">
        <v>45187</v>
      </c>
      <c r="B366" s="45">
        <v>1678</v>
      </c>
      <c r="C366" s="105">
        <v>2055.35</v>
      </c>
      <c r="D366" s="5">
        <v>126.45</v>
      </c>
      <c r="E366" s="5">
        <v>565.65</v>
      </c>
      <c r="F366" s="45">
        <v>2198.75</v>
      </c>
      <c r="G366" s="5">
        <v>20133.3</v>
      </c>
      <c r="H366" s="5">
        <f t="shared" si="30"/>
        <v>-5.0695206190151222E-3</v>
      </c>
      <c r="I366" s="5">
        <f t="shared" si="30"/>
        <v>-7.1971984059896587E-3</v>
      </c>
      <c r="J366" s="5">
        <f t="shared" si="30"/>
        <v>-9.0125391849529123E-3</v>
      </c>
      <c r="K366" s="5">
        <f t="shared" si="30"/>
        <v>2.6525198938988023E-4</v>
      </c>
      <c r="L366" s="5">
        <f t="shared" si="30"/>
        <v>-3.1387665198237887E-2</v>
      </c>
      <c r="M366" s="5">
        <f t="shared" si="30"/>
        <v>-2.9243748251193782E-3</v>
      </c>
      <c r="N366" s="5">
        <f t="shared" si="29"/>
        <v>-1.6993622864914307E-2</v>
      </c>
      <c r="O366" s="5">
        <f t="shared" si="27"/>
        <v>-3.3768793603880889E-3</v>
      </c>
      <c r="P366" s="79">
        <f t="shared" si="28"/>
        <v>-3.7381430334942757E-3</v>
      </c>
    </row>
    <row r="367" spans="1:16">
      <c r="A367" s="73">
        <v>45189</v>
      </c>
      <c r="B367" s="45">
        <v>1668</v>
      </c>
      <c r="C367" s="105">
        <v>2061.6</v>
      </c>
      <c r="D367" s="5">
        <v>123.6</v>
      </c>
      <c r="E367" s="5">
        <v>561.15</v>
      </c>
      <c r="F367" s="45">
        <v>2247.65</v>
      </c>
      <c r="G367" s="5">
        <v>19901.400000000001</v>
      </c>
      <c r="H367" s="5">
        <f t="shared" si="30"/>
        <v>-5.9594755661501785E-3</v>
      </c>
      <c r="I367" s="5">
        <f t="shared" si="30"/>
        <v>3.0408446250030411E-3</v>
      </c>
      <c r="J367" s="5">
        <f t="shared" si="30"/>
        <v>-2.2538552787663174E-2</v>
      </c>
      <c r="K367" s="5">
        <f t="shared" si="30"/>
        <v>-7.955449482895784E-3</v>
      </c>
      <c r="L367" s="5">
        <f t="shared" si="30"/>
        <v>2.2239909039226874E-2</v>
      </c>
      <c r="M367" s="5">
        <f t="shared" si="30"/>
        <v>-1.1518230990448552E-2</v>
      </c>
      <c r="N367" s="5">
        <f t="shared" si="29"/>
        <v>7.2025307622071563E-3</v>
      </c>
      <c r="O367" s="5">
        <f t="shared" si="27"/>
        <v>-5.9072939095085077E-3</v>
      </c>
      <c r="P367" s="79">
        <f t="shared" si="28"/>
        <v>-6.1506066888879166E-3</v>
      </c>
    </row>
    <row r="368" spans="1:16">
      <c r="A368" s="73">
        <v>45190</v>
      </c>
      <c r="B368" s="45">
        <v>1655.8</v>
      </c>
      <c r="C368" s="105">
        <v>2058.1999999999998</v>
      </c>
      <c r="D368" s="5">
        <v>124.25</v>
      </c>
      <c r="E368" s="5">
        <v>560.15</v>
      </c>
      <c r="F368" s="45">
        <v>2207.8000000000002</v>
      </c>
      <c r="G368" s="5">
        <v>19742.349999999999</v>
      </c>
      <c r="H368" s="5">
        <f t="shared" si="30"/>
        <v>-7.3141486810551831E-3</v>
      </c>
      <c r="I368" s="5">
        <f t="shared" si="30"/>
        <v>-1.6492045013582126E-3</v>
      </c>
      <c r="J368" s="5">
        <f t="shared" si="30"/>
        <v>5.2588996763754505E-3</v>
      </c>
      <c r="K368" s="5">
        <f t="shared" si="30"/>
        <v>-1.7820547090795689E-3</v>
      </c>
      <c r="L368" s="5">
        <f t="shared" si="30"/>
        <v>-1.7729628723333217E-2</v>
      </c>
      <c r="M368" s="5">
        <f t="shared" si="30"/>
        <v>-7.9919000673320927E-3</v>
      </c>
      <c r="N368" s="5">
        <f t="shared" si="29"/>
        <v>-1.0765846799357447E-2</v>
      </c>
      <c r="O368" s="5">
        <f t="shared" si="27"/>
        <v>-3.9822785662240083E-3</v>
      </c>
      <c r="P368" s="79">
        <f t="shared" si="28"/>
        <v>-3.636492819216049E-3</v>
      </c>
    </row>
    <row r="369" spans="1:16">
      <c r="A369" s="73">
        <v>45191</v>
      </c>
      <c r="B369" s="45">
        <v>1633.6</v>
      </c>
      <c r="C369" s="105">
        <v>2065.9</v>
      </c>
      <c r="D369" s="5">
        <v>124.4</v>
      </c>
      <c r="E369" s="5">
        <v>561.29999999999995</v>
      </c>
      <c r="F369" s="45">
        <v>2200.35</v>
      </c>
      <c r="G369" s="5">
        <v>19674.25</v>
      </c>
      <c r="H369" s="5">
        <f t="shared" si="30"/>
        <v>-1.340741635463223E-2</v>
      </c>
      <c r="I369" s="5">
        <f t="shared" si="30"/>
        <v>3.741133028860302E-3</v>
      </c>
      <c r="J369" s="5">
        <f t="shared" si="30"/>
        <v>1.2072434607646332E-3</v>
      </c>
      <c r="K369" s="5">
        <f t="shared" si="30"/>
        <v>2.0530215120949341E-3</v>
      </c>
      <c r="L369" s="5">
        <f t="shared" si="30"/>
        <v>-3.3743998550594583E-3</v>
      </c>
      <c r="M369" s="5">
        <f t="shared" si="30"/>
        <v>-3.449437377009249E-3</v>
      </c>
      <c r="N369" s="5">
        <f t="shared" si="29"/>
        <v>-5.0587350647765912E-3</v>
      </c>
      <c r="O369" s="5">
        <f t="shared" si="27"/>
        <v>-3.6630645411582109E-3</v>
      </c>
      <c r="P369" s="79">
        <f t="shared" si="28"/>
        <v>-3.8447344266586028E-3</v>
      </c>
    </row>
    <row r="370" spans="1:16">
      <c r="A370" s="73">
        <v>45194</v>
      </c>
      <c r="B370" s="45">
        <v>1635.3</v>
      </c>
      <c r="C370" s="105">
        <v>2157.0500000000002</v>
      </c>
      <c r="D370" s="5">
        <v>125.25</v>
      </c>
      <c r="E370" s="5">
        <v>554.29999999999995</v>
      </c>
      <c r="F370" s="45">
        <v>2157.8000000000002</v>
      </c>
      <c r="G370" s="5">
        <v>19674.55</v>
      </c>
      <c r="H370" s="5">
        <f t="shared" si="30"/>
        <v>1.0406464250734852E-3</v>
      </c>
      <c r="I370" s="5">
        <f t="shared" si="30"/>
        <v>4.4121206253932954E-2</v>
      </c>
      <c r="J370" s="5">
        <f t="shared" si="30"/>
        <v>6.8327974276526874E-3</v>
      </c>
      <c r="K370" s="5">
        <f t="shared" si="30"/>
        <v>-1.2471049349723857E-2</v>
      </c>
      <c r="L370" s="5">
        <f t="shared" si="30"/>
        <v>-1.9337832617537996E-2</v>
      </c>
      <c r="M370" s="5">
        <f t="shared" si="30"/>
        <v>1.5248357624777179E-5</v>
      </c>
      <c r="N370" s="5">
        <f t="shared" si="29"/>
        <v>-7.490617037928248E-3</v>
      </c>
      <c r="O370" s="5">
        <f t="shared" si="27"/>
        <v>-1.7545076105007754E-3</v>
      </c>
      <c r="P370" s="79">
        <f t="shared" si="28"/>
        <v>2.4209535153901325E-3</v>
      </c>
    </row>
    <row r="371" spans="1:16">
      <c r="A371" s="73">
        <v>45195</v>
      </c>
      <c r="B371" s="45">
        <v>1615.7</v>
      </c>
      <c r="C371" s="105">
        <v>2150.9499999999998</v>
      </c>
      <c r="D371" s="5">
        <v>124.35</v>
      </c>
      <c r="E371" s="5">
        <v>555.45000000000005</v>
      </c>
      <c r="F371" s="45">
        <v>2234.5500000000002</v>
      </c>
      <c r="G371" s="5">
        <v>19664.7</v>
      </c>
      <c r="H371" s="5">
        <f t="shared" si="30"/>
        <v>-1.1985568397235927E-2</v>
      </c>
      <c r="I371" s="5">
        <f t="shared" si="30"/>
        <v>-2.8279363018939587E-3</v>
      </c>
      <c r="J371" s="5">
        <f t="shared" si="30"/>
        <v>-7.1856287425150151E-3</v>
      </c>
      <c r="K371" s="5">
        <f t="shared" si="30"/>
        <v>2.0746887966806623E-3</v>
      </c>
      <c r="L371" s="5">
        <f t="shared" si="30"/>
        <v>3.5568634720548706E-2</v>
      </c>
      <c r="M371" s="5">
        <f t="shared" si="30"/>
        <v>-5.0064677464026089E-4</v>
      </c>
      <c r="N371" s="5">
        <f t="shared" si="29"/>
        <v>1.3089331016692456E-2</v>
      </c>
      <c r="O371" s="5">
        <f t="shared" si="27"/>
        <v>-3.1059944974099344E-3</v>
      </c>
      <c r="P371" s="79">
        <f t="shared" si="28"/>
        <v>-4.4643946388287998E-3</v>
      </c>
    </row>
    <row r="372" spans="1:16">
      <c r="A372" s="73">
        <v>45196</v>
      </c>
      <c r="B372" s="45">
        <v>1607.8</v>
      </c>
      <c r="C372" s="105">
        <v>2113.85</v>
      </c>
      <c r="D372" s="5">
        <v>126.9</v>
      </c>
      <c r="E372" s="5">
        <v>561</v>
      </c>
      <c r="F372" s="45">
        <v>2205.65</v>
      </c>
      <c r="G372" s="5">
        <v>19716.45</v>
      </c>
      <c r="H372" s="5">
        <f t="shared" si="30"/>
        <v>-4.8895215695983728E-3</v>
      </c>
      <c r="I372" s="5">
        <f t="shared" si="30"/>
        <v>-1.7248192659057585E-2</v>
      </c>
      <c r="J372" s="5">
        <f t="shared" si="30"/>
        <v>2.0506634499396957E-2</v>
      </c>
      <c r="K372" s="5">
        <f t="shared" si="30"/>
        <v>9.9918984607074521E-3</v>
      </c>
      <c r="L372" s="5">
        <f t="shared" si="30"/>
        <v>-1.2933252780201869E-2</v>
      </c>
      <c r="M372" s="5">
        <f t="shared" si="30"/>
        <v>2.6316190941128009E-3</v>
      </c>
      <c r="N372" s="5">
        <f t="shared" si="29"/>
        <v>-6.7589927934895702E-3</v>
      </c>
      <c r="O372" s="5">
        <f t="shared" si="27"/>
        <v>1.6879088392570548E-3</v>
      </c>
      <c r="P372" s="79">
        <f t="shared" si="28"/>
        <v>5.0960430151895855E-4</v>
      </c>
    </row>
    <row r="373" spans="1:16">
      <c r="A373" s="73">
        <v>45197</v>
      </c>
      <c r="B373" s="45">
        <v>1589.3</v>
      </c>
      <c r="C373" s="105">
        <v>2064.5500000000002</v>
      </c>
      <c r="D373" s="5">
        <v>126.65</v>
      </c>
      <c r="E373" s="5">
        <v>547.25</v>
      </c>
      <c r="F373" s="45">
        <v>2185.25</v>
      </c>
      <c r="G373" s="5">
        <v>19523.55</v>
      </c>
      <c r="H373" s="5">
        <f t="shared" si="30"/>
        <v>-1.1506406269436498E-2</v>
      </c>
      <c r="I373" s="5">
        <f t="shared" si="30"/>
        <v>-2.332237386758745E-2</v>
      </c>
      <c r="J373" s="5">
        <f t="shared" si="30"/>
        <v>-1.9700551615445231E-3</v>
      </c>
      <c r="K373" s="5">
        <f t="shared" si="30"/>
        <v>-2.4509803921568627E-2</v>
      </c>
      <c r="L373" s="5">
        <f t="shared" si="30"/>
        <v>-9.2489742252851049E-3</v>
      </c>
      <c r="M373" s="5">
        <f t="shared" si="30"/>
        <v>-9.7837085276508418E-3</v>
      </c>
      <c r="N373" s="5">
        <f t="shared" si="29"/>
        <v>-1.2730462695400332E-2</v>
      </c>
      <c r="O373" s="5">
        <f t="shared" si="27"/>
        <v>-1.8617074425783774E-2</v>
      </c>
      <c r="P373" s="79">
        <f t="shared" si="28"/>
        <v>-1.778568565540185E-2</v>
      </c>
    </row>
    <row r="374" spans="1:16">
      <c r="A374" s="73">
        <v>45198</v>
      </c>
      <c r="B374" s="45">
        <v>1608.4</v>
      </c>
      <c r="C374" s="105">
        <v>2080.15</v>
      </c>
      <c r="D374" s="5">
        <v>131</v>
      </c>
      <c r="E374" s="5">
        <v>551.6</v>
      </c>
      <c r="F374" s="45">
        <v>2192.1999999999998</v>
      </c>
      <c r="G374" s="5">
        <v>19638.3</v>
      </c>
      <c r="H374" s="5">
        <f t="shared" si="30"/>
        <v>1.2017869502296694E-2</v>
      </c>
      <c r="I374" s="5">
        <f t="shared" si="30"/>
        <v>7.5561260323072374E-3</v>
      </c>
      <c r="J374" s="5">
        <f t="shared" si="30"/>
        <v>3.434662455586257E-2</v>
      </c>
      <c r="K374" s="5">
        <f t="shared" si="30"/>
        <v>7.9488350845135173E-3</v>
      </c>
      <c r="L374" s="5">
        <f t="shared" si="30"/>
        <v>3.1804141402584684E-3</v>
      </c>
      <c r="M374" s="5">
        <f t="shared" si="30"/>
        <v>5.8775171523621477E-3</v>
      </c>
      <c r="N374" s="5">
        <f t="shared" si="29"/>
        <v>7.6028876097510396E-3</v>
      </c>
      <c r="O374" s="5">
        <f t="shared" si="27"/>
        <v>1.0040189310107148E-2</v>
      </c>
      <c r="P374" s="79">
        <f t="shared" si="28"/>
        <v>1.1008092845842062E-2</v>
      </c>
    </row>
    <row r="375" spans="1:16">
      <c r="A375" s="73">
        <v>45202</v>
      </c>
      <c r="B375" s="45">
        <v>1618.6</v>
      </c>
      <c r="C375" s="105">
        <v>2059.1</v>
      </c>
      <c r="D375" s="5">
        <v>131.15</v>
      </c>
      <c r="E375" s="5">
        <v>553.6</v>
      </c>
      <c r="F375" s="45">
        <v>2188.0500000000002</v>
      </c>
      <c r="G375" s="5">
        <v>19528.75</v>
      </c>
      <c r="H375" s="5">
        <f t="shared" si="30"/>
        <v>6.3417060432727039E-3</v>
      </c>
      <c r="I375" s="5">
        <f t="shared" si="30"/>
        <v>-1.0119462538759311E-2</v>
      </c>
      <c r="J375" s="5">
        <f t="shared" si="30"/>
        <v>1.1450381679389747E-3</v>
      </c>
      <c r="K375" s="5">
        <f t="shared" si="30"/>
        <v>3.6258158085569251E-3</v>
      </c>
      <c r="L375" s="5">
        <f t="shared" si="30"/>
        <v>-1.8930754493201518E-3</v>
      </c>
      <c r="M375" s="5">
        <f t="shared" si="30"/>
        <v>-5.578385094432781E-3</v>
      </c>
      <c r="N375" s="5">
        <f t="shared" si="29"/>
        <v>8.851102424714735E-4</v>
      </c>
      <c r="O375" s="5">
        <f t="shared" si="27"/>
        <v>3.146430791401705E-3</v>
      </c>
      <c r="P375" s="79">
        <f t="shared" si="28"/>
        <v>2.4351598522680479E-3</v>
      </c>
    </row>
    <row r="376" spans="1:16">
      <c r="A376" s="73">
        <v>45203</v>
      </c>
      <c r="B376" s="45">
        <v>1609.1</v>
      </c>
      <c r="C376" s="105">
        <v>2022.3</v>
      </c>
      <c r="D376" s="5">
        <v>127.55</v>
      </c>
      <c r="E376" s="5">
        <v>555.35</v>
      </c>
      <c r="F376" s="45">
        <v>2128.9</v>
      </c>
      <c r="G376" s="5">
        <v>19436.099999999999</v>
      </c>
      <c r="H376" s="5">
        <f t="shared" si="30"/>
        <v>-5.8692697392808604E-3</v>
      </c>
      <c r="I376" s="5">
        <f t="shared" si="30"/>
        <v>-1.7871885775338717E-2</v>
      </c>
      <c r="J376" s="5">
        <f t="shared" si="30"/>
        <v>-2.7449485322150274E-2</v>
      </c>
      <c r="K376" s="5">
        <f t="shared" si="30"/>
        <v>3.1611271676300575E-3</v>
      </c>
      <c r="L376" s="5">
        <f t="shared" si="30"/>
        <v>-2.7033203080368405E-2</v>
      </c>
      <c r="M376" s="5">
        <f t="shared" si="30"/>
        <v>-4.744287268770477E-3</v>
      </c>
      <c r="N376" s="5">
        <f t="shared" si="29"/>
        <v>-1.5965156789357154E-2</v>
      </c>
      <c r="O376" s="5">
        <f t="shared" si="27"/>
        <v>-3.6835718706133723E-3</v>
      </c>
      <c r="P376" s="79">
        <f t="shared" si="28"/>
        <v>-5.5803485319936346E-3</v>
      </c>
    </row>
    <row r="377" spans="1:16">
      <c r="A377" s="73">
        <v>45204</v>
      </c>
      <c r="B377" s="45">
        <v>1623.7</v>
      </c>
      <c r="C377" s="105">
        <v>2047.6</v>
      </c>
      <c r="D377" s="5">
        <v>127.4</v>
      </c>
      <c r="E377" s="5">
        <v>550.75</v>
      </c>
      <c r="F377" s="45">
        <v>2154.4</v>
      </c>
      <c r="G377" s="5">
        <v>19545.75</v>
      </c>
      <c r="H377" s="5">
        <f t="shared" si="30"/>
        <v>9.0733950655646871E-3</v>
      </c>
      <c r="I377" s="5">
        <f t="shared" si="30"/>
        <v>1.2510507837610619E-2</v>
      </c>
      <c r="J377" s="5">
        <f t="shared" si="30"/>
        <v>-1.1760094080751978E-3</v>
      </c>
      <c r="K377" s="5">
        <f t="shared" si="30"/>
        <v>-8.2830647339516023E-3</v>
      </c>
      <c r="L377" s="5">
        <f t="shared" si="30"/>
        <v>1.1978016816196157E-2</v>
      </c>
      <c r="M377" s="5">
        <f t="shared" si="30"/>
        <v>5.6415638939911542E-3</v>
      </c>
      <c r="N377" s="5">
        <f t="shared" si="29"/>
        <v>8.0106753478557113E-3</v>
      </c>
      <c r="O377" s="5">
        <f t="shared" si="27"/>
        <v>7.5669130253507087E-4</v>
      </c>
      <c r="P377" s="79">
        <f t="shared" si="28"/>
        <v>2.2211286404746114E-3</v>
      </c>
    </row>
    <row r="378" spans="1:16">
      <c r="A378" s="73">
        <v>45205</v>
      </c>
      <c r="B378" s="45">
        <v>1623.6</v>
      </c>
      <c r="C378" s="105">
        <v>2072.1</v>
      </c>
      <c r="D378" s="5">
        <v>128.9</v>
      </c>
      <c r="E378" s="5">
        <v>547.15</v>
      </c>
      <c r="F378" s="45">
        <v>2150.5500000000002</v>
      </c>
      <c r="G378" s="5">
        <v>19653.5</v>
      </c>
      <c r="H378" s="5">
        <f t="shared" si="30"/>
        <v>-6.1587731723924635E-5</v>
      </c>
      <c r="I378" s="5">
        <f t="shared" si="30"/>
        <v>1.1965227583512405E-2</v>
      </c>
      <c r="J378" s="5">
        <f t="shared" si="30"/>
        <v>1.1773940345368916E-2</v>
      </c>
      <c r="K378" s="5">
        <f t="shared" si="30"/>
        <v>-6.5365410803450257E-3</v>
      </c>
      <c r="L378" s="5">
        <f t="shared" si="30"/>
        <v>-1.7870404753063075E-3</v>
      </c>
      <c r="M378" s="5">
        <f t="shared" si="30"/>
        <v>5.512707366051443E-3</v>
      </c>
      <c r="N378" s="5">
        <f t="shared" si="29"/>
        <v>-6.7050656543965513E-4</v>
      </c>
      <c r="O378" s="5">
        <f t="shared" si="27"/>
        <v>-1.7839326605323207E-3</v>
      </c>
      <c r="P378" s="79">
        <f t="shared" si="28"/>
        <v>-9.8801763333125771E-5</v>
      </c>
    </row>
    <row r="379" spans="1:16">
      <c r="A379" s="73">
        <v>45208</v>
      </c>
      <c r="B379" s="45">
        <v>1620.35</v>
      </c>
      <c r="C379" s="105">
        <v>2079.0500000000002</v>
      </c>
      <c r="D379" s="5">
        <v>126.45</v>
      </c>
      <c r="E379" s="5">
        <v>541.75</v>
      </c>
      <c r="F379" s="45">
        <v>2073.35</v>
      </c>
      <c r="G379" s="5">
        <v>19512.349999999999</v>
      </c>
      <c r="H379" s="5">
        <f t="shared" si="30"/>
        <v>-2.0017245627001728E-3</v>
      </c>
      <c r="I379" s="5">
        <f t="shared" si="30"/>
        <v>3.3540852275470651E-3</v>
      </c>
      <c r="J379" s="5">
        <f t="shared" si="30"/>
        <v>-1.900698215671065E-2</v>
      </c>
      <c r="K379" s="5">
        <f t="shared" si="30"/>
        <v>-9.8693228547929775E-3</v>
      </c>
      <c r="L379" s="5">
        <f t="shared" si="30"/>
        <v>-3.5897793587686994E-2</v>
      </c>
      <c r="M379" s="5">
        <f t="shared" si="30"/>
        <v>-7.1819268832524208E-3</v>
      </c>
      <c r="N379" s="5">
        <f t="shared" si="29"/>
        <v>-1.9177564702352021E-2</v>
      </c>
      <c r="O379" s="5">
        <f t="shared" si="27"/>
        <v>-6.5400648328625835E-3</v>
      </c>
      <c r="P379" s="79">
        <f t="shared" si="28"/>
        <v>-5.5366868440596476E-3</v>
      </c>
    </row>
    <row r="380" spans="1:16">
      <c r="A380" s="73">
        <v>45209</v>
      </c>
      <c r="B380" s="45">
        <v>1644.75</v>
      </c>
      <c r="C380" s="105">
        <v>2050.8000000000002</v>
      </c>
      <c r="D380" s="5">
        <v>131.19999999999999</v>
      </c>
      <c r="E380" s="5">
        <v>543.85</v>
      </c>
      <c r="F380" s="45">
        <v>2167.5500000000002</v>
      </c>
      <c r="G380" s="5">
        <v>19689.849999999999</v>
      </c>
      <c r="H380" s="5">
        <f t="shared" si="30"/>
        <v>1.5058475020828891E-2</v>
      </c>
      <c r="I380" s="5">
        <f t="shared" si="30"/>
        <v>-1.3587936798056803E-2</v>
      </c>
      <c r="J380" s="5">
        <f t="shared" si="30"/>
        <v>3.7564254646105064E-2</v>
      </c>
      <c r="K380" s="5">
        <f t="shared" si="30"/>
        <v>3.876326718966355E-3</v>
      </c>
      <c r="L380" s="5">
        <f t="shared" si="30"/>
        <v>4.543371837846976E-2</v>
      </c>
      <c r="M380" s="5">
        <f t="shared" si="30"/>
        <v>9.0968027941278218E-3</v>
      </c>
      <c r="N380" s="5">
        <f t="shared" si="29"/>
        <v>2.6608228204412811E-2</v>
      </c>
      <c r="O380" s="5">
        <f t="shared" si="27"/>
        <v>8.2310244774562759E-3</v>
      </c>
      <c r="P380" s="79">
        <f t="shared" si="28"/>
        <v>7.942594503483856E-3</v>
      </c>
    </row>
    <row r="381" spans="1:16">
      <c r="A381" s="73">
        <v>45210</v>
      </c>
      <c r="B381" s="45">
        <v>1634.5</v>
      </c>
      <c r="C381" s="105">
        <v>2101.3000000000002</v>
      </c>
      <c r="D381" s="5">
        <v>130.85</v>
      </c>
      <c r="E381" s="5">
        <v>543.75</v>
      </c>
      <c r="F381" s="45">
        <v>2154.3000000000002</v>
      </c>
      <c r="G381" s="5">
        <v>19811.349999999999</v>
      </c>
      <c r="H381" s="5">
        <f t="shared" si="30"/>
        <v>-6.2319501443988444E-3</v>
      </c>
      <c r="I381" s="5">
        <f t="shared" si="30"/>
        <v>2.4624536766140039E-2</v>
      </c>
      <c r="J381" s="5">
        <f t="shared" si="30"/>
        <v>-2.6676829268292251E-3</v>
      </c>
      <c r="K381" s="5">
        <f t="shared" si="30"/>
        <v>-1.8387423002670357E-4</v>
      </c>
      <c r="L381" s="5">
        <f t="shared" si="30"/>
        <v>-6.1128924361606414E-3</v>
      </c>
      <c r="M381" s="5">
        <f t="shared" si="30"/>
        <v>6.1706920062875037E-3</v>
      </c>
      <c r="N381" s="5">
        <f t="shared" si="29"/>
        <v>-3.2620048878119388E-3</v>
      </c>
      <c r="O381" s="5">
        <f t="shared" si="27"/>
        <v>-2.8978390257437527E-4</v>
      </c>
      <c r="P381" s="79">
        <f t="shared" si="28"/>
        <v>9.8285533958514747E-4</v>
      </c>
    </row>
    <row r="382" spans="1:16">
      <c r="A382" s="73">
        <v>45211</v>
      </c>
      <c r="B382" s="45">
        <v>1632.4</v>
      </c>
      <c r="C382" s="105">
        <v>2077.1999999999998</v>
      </c>
      <c r="D382" s="5">
        <v>130.65</v>
      </c>
      <c r="E382" s="5">
        <v>541</v>
      </c>
      <c r="F382" s="45">
        <v>2141.1</v>
      </c>
      <c r="G382" s="5">
        <v>19794</v>
      </c>
      <c r="H382" s="5">
        <f t="shared" si="30"/>
        <v>-1.2847965738757474E-3</v>
      </c>
      <c r="I382" s="5">
        <f t="shared" si="30"/>
        <v>-1.1469090562984991E-2</v>
      </c>
      <c r="J382" s="5">
        <f t="shared" si="30"/>
        <v>-1.5284677111195159E-3</v>
      </c>
      <c r="K382" s="5">
        <f t="shared" si="30"/>
        <v>-5.0574712643678158E-3</v>
      </c>
      <c r="L382" s="5">
        <f t="shared" si="30"/>
        <v>-6.1272803230749068E-3</v>
      </c>
      <c r="M382" s="5">
        <f t="shared" si="30"/>
        <v>-8.7576061197235653E-4</v>
      </c>
      <c r="N382" s="5">
        <f t="shared" si="29"/>
        <v>-4.7489423877071068E-3</v>
      </c>
      <c r="O382" s="5">
        <f t="shared" si="27"/>
        <v>-4.1897063560999937E-3</v>
      </c>
      <c r="P382" s="79">
        <f t="shared" si="28"/>
        <v>-4.3422365855867277E-3</v>
      </c>
    </row>
    <row r="383" spans="1:16">
      <c r="A383" s="73">
        <v>45212</v>
      </c>
      <c r="B383" s="45">
        <v>1624.85</v>
      </c>
      <c r="C383" s="105">
        <v>2084.8000000000002</v>
      </c>
      <c r="D383" s="5">
        <v>128.35</v>
      </c>
      <c r="E383" s="5">
        <v>538.85</v>
      </c>
      <c r="F383" s="45">
        <v>2151.9</v>
      </c>
      <c r="G383" s="5">
        <v>19751.05</v>
      </c>
      <c r="H383" s="5">
        <f t="shared" si="30"/>
        <v>-4.6250918892429436E-3</v>
      </c>
      <c r="I383" s="5">
        <f t="shared" si="30"/>
        <v>3.658771423069692E-3</v>
      </c>
      <c r="J383" s="5">
        <f t="shared" si="30"/>
        <v>-1.7604286261002765E-2</v>
      </c>
      <c r="K383" s="5">
        <f t="shared" ref="K383:M446" si="31">(E383 - E382) / E382</f>
        <v>-3.9741219963031005E-3</v>
      </c>
      <c r="L383" s="5">
        <f t="shared" si="31"/>
        <v>5.0441361916772603E-3</v>
      </c>
      <c r="M383" s="5">
        <f t="shared" si="31"/>
        <v>-2.1698494493281161E-3</v>
      </c>
      <c r="N383" s="5">
        <f t="shared" si="29"/>
        <v>2.1059841953751952E-4</v>
      </c>
      <c r="O383" s="5">
        <f t="shared" si="27"/>
        <v>-3.6703409127454871E-3</v>
      </c>
      <c r="P383" s="79">
        <f t="shared" si="28"/>
        <v>-3.8181939945611401E-3</v>
      </c>
    </row>
    <row r="384" spans="1:16">
      <c r="A384" s="73">
        <v>45215</v>
      </c>
      <c r="B384" s="45">
        <v>1634.25</v>
      </c>
      <c r="C384" s="105">
        <v>2107.65</v>
      </c>
      <c r="D384" s="5">
        <v>131.15</v>
      </c>
      <c r="E384" s="5">
        <v>536.95000000000005</v>
      </c>
      <c r="F384" s="45">
        <v>2163.1</v>
      </c>
      <c r="G384" s="5">
        <v>19731.75</v>
      </c>
      <c r="H384" s="5">
        <f t="shared" ref="H384:M447" si="32">(B384 - B383) / B383</f>
        <v>5.7851493984060632E-3</v>
      </c>
      <c r="I384" s="5">
        <f t="shared" si="32"/>
        <v>1.096028396009205E-2</v>
      </c>
      <c r="J384" s="5">
        <f t="shared" si="32"/>
        <v>2.181534865601879E-2</v>
      </c>
      <c r="K384" s="5">
        <f t="shared" si="31"/>
        <v>-3.5260276514799613E-3</v>
      </c>
      <c r="L384" s="5">
        <f t="shared" si="31"/>
        <v>5.2047028207629622E-3</v>
      </c>
      <c r="M384" s="5">
        <f t="shared" si="31"/>
        <v>-9.7716323942267751E-4</v>
      </c>
      <c r="N384" s="5">
        <f t="shared" si="29"/>
        <v>4.9981933019785721E-3</v>
      </c>
      <c r="O384" s="5">
        <f t="shared" si="27"/>
        <v>2.1820408986574398E-3</v>
      </c>
      <c r="P384" s="79">
        <f t="shared" si="28"/>
        <v>3.865693130138655E-3</v>
      </c>
    </row>
    <row r="385" spans="1:16">
      <c r="A385" s="73">
        <v>45216</v>
      </c>
      <c r="B385" s="45">
        <v>1629</v>
      </c>
      <c r="C385" s="105">
        <v>2079</v>
      </c>
      <c r="D385" s="5">
        <v>132.44999999999999</v>
      </c>
      <c r="E385" s="5">
        <v>540.25</v>
      </c>
      <c r="F385" s="45">
        <v>2153.8000000000002</v>
      </c>
      <c r="G385" s="5">
        <v>19811.5</v>
      </c>
      <c r="H385" s="5">
        <f t="shared" si="32"/>
        <v>-3.2124827902707664E-3</v>
      </c>
      <c r="I385" s="5">
        <f t="shared" si="32"/>
        <v>-1.3593338552416241E-2</v>
      </c>
      <c r="J385" s="5">
        <f t="shared" si="32"/>
        <v>9.9123141441096671E-3</v>
      </c>
      <c r="K385" s="5">
        <f t="shared" si="31"/>
        <v>6.1458236334853414E-3</v>
      </c>
      <c r="L385" s="5">
        <f t="shared" si="31"/>
        <v>-4.299385141694664E-3</v>
      </c>
      <c r="M385" s="5">
        <f t="shared" si="31"/>
        <v>4.0417094276990126E-3</v>
      </c>
      <c r="N385" s="5">
        <f t="shared" si="29"/>
        <v>-2.7594926580497593E-3</v>
      </c>
      <c r="O385" s="5">
        <f t="shared" si="27"/>
        <v>6.8838130366504499E-4</v>
      </c>
      <c r="P385" s="79">
        <f t="shared" si="28"/>
        <v>-3.4718151880270859E-4</v>
      </c>
    </row>
    <row r="386" spans="1:16">
      <c r="A386" s="73">
        <v>45217</v>
      </c>
      <c r="B386" s="45">
        <v>1630.4</v>
      </c>
      <c r="C386" s="105">
        <v>2048.9499999999998</v>
      </c>
      <c r="D386" s="5">
        <v>129.19999999999999</v>
      </c>
      <c r="E386" s="5">
        <v>534</v>
      </c>
      <c r="F386" s="45">
        <v>2141.3000000000002</v>
      </c>
      <c r="G386" s="5">
        <v>19671.099999999999</v>
      </c>
      <c r="H386" s="5">
        <f t="shared" si="32"/>
        <v>8.5942295887052854E-4</v>
      </c>
      <c r="I386" s="5">
        <f t="shared" si="32"/>
        <v>-1.4454064454064542E-2</v>
      </c>
      <c r="J386" s="5">
        <f t="shared" si="32"/>
        <v>-2.4537561343903364E-2</v>
      </c>
      <c r="K386" s="5">
        <f t="shared" si="31"/>
        <v>-1.1568718186024989E-2</v>
      </c>
      <c r="L386" s="5">
        <f t="shared" si="31"/>
        <v>-5.8036957934812887E-3</v>
      </c>
      <c r="M386" s="5">
        <f t="shared" si="31"/>
        <v>-7.0867930242536634E-3</v>
      </c>
      <c r="N386" s="5">
        <f t="shared" si="29"/>
        <v>-5.6549185978889589E-3</v>
      </c>
      <c r="O386" s="5">
        <f t="shared" si="27"/>
        <v>-7.4620364701480845E-3</v>
      </c>
      <c r="P386" s="79">
        <f t="shared" si="28"/>
        <v>-7.8532398870902794E-3</v>
      </c>
    </row>
    <row r="387" spans="1:16">
      <c r="A387" s="73">
        <v>45218</v>
      </c>
      <c r="B387" s="45">
        <v>1624.55</v>
      </c>
      <c r="C387" s="105">
        <v>2060.6</v>
      </c>
      <c r="D387" s="5">
        <v>129.19999999999999</v>
      </c>
      <c r="E387" s="5">
        <v>525.65</v>
      </c>
      <c r="F387" s="45">
        <v>2129.75</v>
      </c>
      <c r="G387" s="5">
        <v>19624.7</v>
      </c>
      <c r="H387" s="5">
        <f t="shared" si="32"/>
        <v>-3.5880765456330569E-3</v>
      </c>
      <c r="I387" s="5">
        <f t="shared" si="32"/>
        <v>5.6858390883135716E-3</v>
      </c>
      <c r="J387" s="5">
        <f t="shared" si="32"/>
        <v>0</v>
      </c>
      <c r="K387" s="5">
        <f t="shared" si="31"/>
        <v>-1.5636704119850228E-2</v>
      </c>
      <c r="L387" s="5">
        <f t="shared" si="31"/>
        <v>-5.3939195815626865E-3</v>
      </c>
      <c r="M387" s="5">
        <f t="shared" si="31"/>
        <v>-2.3587903065917931E-3</v>
      </c>
      <c r="N387" s="5">
        <f t="shared" si="29"/>
        <v>-5.3975692104911519E-3</v>
      </c>
      <c r="O387" s="5">
        <f t="shared" si="27"/>
        <v>-8.5034203543591282E-3</v>
      </c>
      <c r="P387" s="79">
        <f t="shared" si="28"/>
        <v>-6.7061502166392804E-3</v>
      </c>
    </row>
    <row r="388" spans="1:16">
      <c r="A388" s="73">
        <v>45219</v>
      </c>
      <c r="B388" s="45">
        <v>1608.15</v>
      </c>
      <c r="C388" s="105">
        <v>2036.15</v>
      </c>
      <c r="D388" s="5">
        <v>125.2</v>
      </c>
      <c r="E388" s="5">
        <v>524.79999999999995</v>
      </c>
      <c r="F388" s="45">
        <v>2075.85</v>
      </c>
      <c r="G388" s="5">
        <v>19542.650000000001</v>
      </c>
      <c r="H388" s="5">
        <f t="shared" si="32"/>
        <v>-1.0095103259364049E-2</v>
      </c>
      <c r="I388" s="5">
        <f t="shared" si="32"/>
        <v>-1.1865476074929545E-2</v>
      </c>
      <c r="J388" s="5">
        <f t="shared" si="32"/>
        <v>-3.0959752321981317E-2</v>
      </c>
      <c r="K388" s="5">
        <f t="shared" si="31"/>
        <v>-1.6170455626367789E-3</v>
      </c>
      <c r="L388" s="5">
        <f t="shared" si="31"/>
        <v>-2.53081347576007E-2</v>
      </c>
      <c r="M388" s="5">
        <f t="shared" si="31"/>
        <v>-4.1809556324427519E-3</v>
      </c>
      <c r="N388" s="5">
        <f t="shared" si="29"/>
        <v>-1.6781266176954544E-2</v>
      </c>
      <c r="O388" s="5">
        <f t="shared" ref="O388:O451" si="33">$V$86*H388 +$V$87*I388 + $V$88*J388 + $V$89*K388+ $V$90*L388</f>
        <v>-7.0612030726246661E-3</v>
      </c>
      <c r="P388" s="79">
        <f t="shared" ref="P388:P451" si="34">$V$104*H388 +$V$105*I388 + $V$106*J388 + $V$107*K388+ $V$108*L388</f>
        <v>-8.3960460128635825E-3</v>
      </c>
    </row>
    <row r="389" spans="1:16">
      <c r="A389" s="73">
        <v>45222</v>
      </c>
      <c r="B389" s="45">
        <v>1573.75</v>
      </c>
      <c r="C389" s="105">
        <v>1991.95</v>
      </c>
      <c r="D389" s="5">
        <v>117.75</v>
      </c>
      <c r="E389" s="5">
        <v>521.35</v>
      </c>
      <c r="F389" s="45">
        <v>1935.55</v>
      </c>
      <c r="G389" s="5">
        <v>19281.75</v>
      </c>
      <c r="H389" s="5">
        <f t="shared" si="32"/>
        <v>-2.1391039393091497E-2</v>
      </c>
      <c r="I389" s="5">
        <f t="shared" si="32"/>
        <v>-2.1707634506298673E-2</v>
      </c>
      <c r="J389" s="5">
        <f t="shared" si="32"/>
        <v>-5.9504792332268394E-2</v>
      </c>
      <c r="K389" s="5">
        <f t="shared" si="31"/>
        <v>-6.5739329268291388E-3</v>
      </c>
      <c r="L389" s="5">
        <f t="shared" si="31"/>
        <v>-6.7586771683888505E-2</v>
      </c>
      <c r="M389" s="5">
        <f t="shared" si="31"/>
        <v>-1.335028770407296E-2</v>
      </c>
      <c r="N389" s="5">
        <f t="shared" ref="N389:N452" si="35">((H389 *0.3 ) + (I389 * 0.064462757 ) + (J389 * 0.026806099 ) + (K389 * 0.137093997) + (L389 * 0.471637147))</f>
        <v>-4.2189416053263498E-2</v>
      </c>
      <c r="O389" s="5">
        <f t="shared" si="33"/>
        <v>-1.6310120586069017E-2</v>
      </c>
      <c r="P389" s="79">
        <f t="shared" si="34"/>
        <v>-1.8251523962306247E-2</v>
      </c>
    </row>
    <row r="390" spans="1:16">
      <c r="A390" s="73">
        <v>45224</v>
      </c>
      <c r="B390" s="45">
        <v>1588.6</v>
      </c>
      <c r="C390" s="105">
        <v>1993.25</v>
      </c>
      <c r="D390" s="5">
        <v>116.3</v>
      </c>
      <c r="E390" s="5">
        <v>517.9</v>
      </c>
      <c r="F390" s="45">
        <v>1855.1</v>
      </c>
      <c r="G390" s="5">
        <v>19122.150000000001</v>
      </c>
      <c r="H390" s="5">
        <f t="shared" si="32"/>
        <v>9.436060365369283E-3</v>
      </c>
      <c r="I390" s="5">
        <f t="shared" si="32"/>
        <v>6.5262682296240093E-4</v>
      </c>
      <c r="J390" s="5">
        <f t="shared" si="32"/>
        <v>-1.231422505307858E-2</v>
      </c>
      <c r="K390" s="5">
        <f t="shared" si="31"/>
        <v>-6.6174355039801385E-3</v>
      </c>
      <c r="L390" s="5">
        <f t="shared" si="31"/>
        <v>-4.1564413215881814E-2</v>
      </c>
      <c r="M390" s="5">
        <f t="shared" si="31"/>
        <v>-8.2772569917148875E-3</v>
      </c>
      <c r="N390" s="5">
        <f t="shared" si="35"/>
        <v>-1.7967740050967951E-2</v>
      </c>
      <c r="O390" s="5">
        <f t="shared" si="33"/>
        <v>-9.190292854978487E-4</v>
      </c>
      <c r="P390" s="79">
        <f t="shared" si="34"/>
        <v>1.6390350203058845E-4</v>
      </c>
    </row>
    <row r="391" spans="1:16">
      <c r="A391" s="73">
        <v>45225</v>
      </c>
      <c r="B391" s="45">
        <v>1554.6</v>
      </c>
      <c r="C391" s="105">
        <v>2031.1</v>
      </c>
      <c r="D391" s="5">
        <v>117.85</v>
      </c>
      <c r="E391" s="5">
        <v>508.45</v>
      </c>
      <c r="F391" s="45">
        <v>1898.55</v>
      </c>
      <c r="G391" s="5">
        <v>18857.25</v>
      </c>
      <c r="H391" s="5">
        <f t="shared" si="32"/>
        <v>-2.1402492760921567E-2</v>
      </c>
      <c r="I391" s="5">
        <f t="shared" si="32"/>
        <v>1.8989088172582422E-2</v>
      </c>
      <c r="J391" s="5">
        <f t="shared" si="32"/>
        <v>1.3327601031814249E-2</v>
      </c>
      <c r="K391" s="5">
        <f t="shared" si="31"/>
        <v>-1.8246765784900539E-2</v>
      </c>
      <c r="L391" s="5">
        <f t="shared" si="31"/>
        <v>2.3421917955905369E-2</v>
      </c>
      <c r="M391" s="5">
        <f t="shared" si="31"/>
        <v>-1.3853044767455618E-2</v>
      </c>
      <c r="N391" s="5">
        <f t="shared" si="35"/>
        <v>3.7057266491520233E-3</v>
      </c>
      <c r="O391" s="5">
        <f t="shared" si="33"/>
        <v>-1.4110332290522751E-2</v>
      </c>
      <c r="P391" s="79">
        <f t="shared" si="34"/>
        <v>-1.1701287264235898E-2</v>
      </c>
    </row>
    <row r="392" spans="1:16">
      <c r="A392" s="73">
        <v>45226</v>
      </c>
      <c r="B392" s="45">
        <v>1553</v>
      </c>
      <c r="C392" s="105">
        <v>2122.1</v>
      </c>
      <c r="D392" s="5">
        <v>117.65</v>
      </c>
      <c r="E392" s="5">
        <v>524.54999999999995</v>
      </c>
      <c r="F392" s="45">
        <v>2055.9</v>
      </c>
      <c r="G392" s="5">
        <v>19047.25</v>
      </c>
      <c r="H392" s="5">
        <f t="shared" si="32"/>
        <v>-1.029203653672912E-3</v>
      </c>
      <c r="I392" s="5">
        <f t="shared" si="32"/>
        <v>4.4803308552016148E-2</v>
      </c>
      <c r="J392" s="5">
        <f t="shared" si="32"/>
        <v>-1.6970725498514098E-3</v>
      </c>
      <c r="K392" s="5">
        <f t="shared" si="31"/>
        <v>3.1664863801750355E-2</v>
      </c>
      <c r="L392" s="5">
        <f t="shared" si="31"/>
        <v>8.2879039266808952E-2</v>
      </c>
      <c r="M392" s="5">
        <f t="shared" si="31"/>
        <v>1.007570032746026E-2</v>
      </c>
      <c r="N392" s="5">
        <f t="shared" si="35"/>
        <v>4.5963788170042583E-2</v>
      </c>
      <c r="O392" s="5">
        <f t="shared" si="33"/>
        <v>2.1008670924863408E-2</v>
      </c>
      <c r="P392" s="79">
        <f t="shared" si="34"/>
        <v>1.9245516088550425E-2</v>
      </c>
    </row>
    <row r="393" spans="1:16">
      <c r="A393" s="73">
        <v>45229</v>
      </c>
      <c r="B393" s="45">
        <v>1570.65</v>
      </c>
      <c r="C393" s="105">
        <v>2119.75</v>
      </c>
      <c r="D393" s="5">
        <v>120.7</v>
      </c>
      <c r="E393" s="5">
        <v>523.45000000000005</v>
      </c>
      <c r="F393" s="45">
        <v>1969.7</v>
      </c>
      <c r="G393" s="5">
        <v>19140.900000000001</v>
      </c>
      <c r="H393" s="5">
        <f t="shared" si="32"/>
        <v>1.1365099806825558E-2</v>
      </c>
      <c r="I393" s="5">
        <f t="shared" si="32"/>
        <v>-1.1073936195277834E-3</v>
      </c>
      <c r="J393" s="5">
        <f t="shared" si="32"/>
        <v>2.5924351891202693E-2</v>
      </c>
      <c r="K393" s="5">
        <f t="shared" si="31"/>
        <v>-2.0970355542844518E-3</v>
      </c>
      <c r="L393" s="5">
        <f t="shared" si="31"/>
        <v>-4.1928109343839698E-2</v>
      </c>
      <c r="M393" s="5">
        <f t="shared" si="31"/>
        <v>4.9167202614551417E-3</v>
      </c>
      <c r="N393" s="5">
        <f t="shared" si="35"/>
        <v>-1.602926981646545E-2</v>
      </c>
      <c r="O393" s="5">
        <f t="shared" si="33"/>
        <v>2.8682914189008847E-3</v>
      </c>
      <c r="P393" s="79">
        <f t="shared" si="34"/>
        <v>4.6794462876400388E-3</v>
      </c>
    </row>
    <row r="394" spans="1:16">
      <c r="A394" s="73">
        <v>45230</v>
      </c>
      <c r="B394" s="45">
        <v>1566.05</v>
      </c>
      <c r="C394" s="105">
        <v>2154.6999999999998</v>
      </c>
      <c r="D394" s="5">
        <v>120.85</v>
      </c>
      <c r="E394" s="5">
        <v>528.9</v>
      </c>
      <c r="F394" s="45">
        <v>1966.8</v>
      </c>
      <c r="G394" s="5">
        <v>19079.599999999999</v>
      </c>
      <c r="H394" s="5">
        <f t="shared" si="32"/>
        <v>-2.9287237767804007E-3</v>
      </c>
      <c r="I394" s="5">
        <f t="shared" si="32"/>
        <v>1.6487793371859804E-2</v>
      </c>
      <c r="J394" s="5">
        <f t="shared" si="32"/>
        <v>1.24275062137524E-3</v>
      </c>
      <c r="K394" s="5">
        <f t="shared" si="31"/>
        <v>1.0411691661094529E-2</v>
      </c>
      <c r="L394" s="5">
        <f t="shared" si="31"/>
        <v>-1.4723054272224659E-3</v>
      </c>
      <c r="M394" s="5">
        <f t="shared" si="31"/>
        <v>-3.2025662325179541E-3</v>
      </c>
      <c r="N394" s="5">
        <f t="shared" si="35"/>
        <v>9.5053127489438353E-4</v>
      </c>
      <c r="O394" s="5">
        <f t="shared" si="33"/>
        <v>5.5215291817939174E-3</v>
      </c>
      <c r="P394" s="79">
        <f t="shared" si="34"/>
        <v>5.4633518691435045E-3</v>
      </c>
    </row>
    <row r="395" spans="1:16">
      <c r="A395" s="73">
        <v>45231</v>
      </c>
      <c r="B395" s="45">
        <v>1539.25</v>
      </c>
      <c r="C395" s="105">
        <v>2197.65</v>
      </c>
      <c r="D395" s="5">
        <v>121.55</v>
      </c>
      <c r="E395" s="5">
        <v>517.1</v>
      </c>
      <c r="F395" s="45">
        <v>1920.6</v>
      </c>
      <c r="G395" s="5">
        <v>18989.150000000001</v>
      </c>
      <c r="H395" s="5">
        <f t="shared" si="32"/>
        <v>-1.7113118993646408E-2</v>
      </c>
      <c r="I395" s="5">
        <f t="shared" si="32"/>
        <v>1.9933169350721806E-2</v>
      </c>
      <c r="J395" s="5">
        <f t="shared" si="32"/>
        <v>5.7923045097228202E-3</v>
      </c>
      <c r="K395" s="5">
        <f t="shared" si="31"/>
        <v>-2.2310455662696078E-2</v>
      </c>
      <c r="L395" s="5">
        <f t="shared" si="31"/>
        <v>-2.3489932885906065E-2</v>
      </c>
      <c r="M395" s="5">
        <f t="shared" si="31"/>
        <v>-4.7406654227550417E-3</v>
      </c>
      <c r="N395" s="5">
        <f t="shared" si="35"/>
        <v>-1.783107402909322E-2</v>
      </c>
      <c r="O395" s="5">
        <f t="shared" si="33"/>
        <v>-1.5658099089144929E-2</v>
      </c>
      <c r="P395" s="79">
        <f t="shared" si="34"/>
        <v>-1.2271053929650819E-2</v>
      </c>
    </row>
    <row r="396" spans="1:16">
      <c r="A396" s="73">
        <v>45232</v>
      </c>
      <c r="B396" s="45">
        <v>1573.15</v>
      </c>
      <c r="C396" s="105">
        <v>2189.85</v>
      </c>
      <c r="D396" s="5">
        <v>128.05000000000001</v>
      </c>
      <c r="E396" s="5">
        <v>530.4</v>
      </c>
      <c r="F396" s="45">
        <v>1929.45</v>
      </c>
      <c r="G396" s="5">
        <v>19133.25</v>
      </c>
      <c r="H396" s="5">
        <f t="shared" si="32"/>
        <v>2.2023712847165887E-2</v>
      </c>
      <c r="I396" s="5">
        <f t="shared" si="32"/>
        <v>-3.5492457852707125E-3</v>
      </c>
      <c r="J396" s="5">
        <f t="shared" si="32"/>
        <v>5.3475935828877122E-2</v>
      </c>
      <c r="K396" s="5">
        <f t="shared" si="31"/>
        <v>2.5720363566041297E-2</v>
      </c>
      <c r="L396" s="5">
        <f t="shared" si="31"/>
        <v>4.607935020306226E-3</v>
      </c>
      <c r="M396" s="5">
        <f t="shared" si="31"/>
        <v>7.5885439843278151E-3</v>
      </c>
      <c r="N396" s="5">
        <f t="shared" si="35"/>
        <v>1.3511181687607503E-2</v>
      </c>
      <c r="O396" s="5">
        <f t="shared" si="33"/>
        <v>2.1886002333041263E-2</v>
      </c>
      <c r="P396" s="79">
        <f t="shared" si="34"/>
        <v>2.1349691812771635E-2</v>
      </c>
    </row>
    <row r="397" spans="1:16">
      <c r="A397" s="73">
        <v>45233</v>
      </c>
      <c r="B397" s="45">
        <v>1576.35</v>
      </c>
      <c r="C397" s="105">
        <v>2196.5</v>
      </c>
      <c r="D397" s="5">
        <v>128.6</v>
      </c>
      <c r="E397" s="5">
        <v>535.5</v>
      </c>
      <c r="F397" s="45">
        <v>1922.5</v>
      </c>
      <c r="G397" s="5">
        <v>19230.599999999999</v>
      </c>
      <c r="H397" s="5">
        <f t="shared" si="32"/>
        <v>2.0341353335662955E-3</v>
      </c>
      <c r="I397" s="5">
        <f t="shared" si="32"/>
        <v>3.0367376760965779E-3</v>
      </c>
      <c r="J397" s="5">
        <f t="shared" si="32"/>
        <v>4.2951971885980701E-3</v>
      </c>
      <c r="K397" s="5">
        <f t="shared" si="31"/>
        <v>9.6153846153846593E-3</v>
      </c>
      <c r="L397" s="5">
        <f t="shared" si="31"/>
        <v>-3.6020627640001271E-3</v>
      </c>
      <c r="M397" s="5">
        <f t="shared" si="31"/>
        <v>5.0880012543607876E-3</v>
      </c>
      <c r="N397" s="5">
        <f t="shared" si="35"/>
        <v>5.40479468306365E-4</v>
      </c>
      <c r="O397" s="5">
        <f t="shared" si="33"/>
        <v>5.7442123071534089E-3</v>
      </c>
      <c r="P397" s="79">
        <f t="shared" si="34"/>
        <v>5.2392486027934377E-3</v>
      </c>
    </row>
    <row r="398" spans="1:16">
      <c r="A398" s="73">
        <v>45236</v>
      </c>
      <c r="B398" s="45">
        <v>1561</v>
      </c>
      <c r="C398" s="105">
        <v>2233.1999999999998</v>
      </c>
      <c r="D398" s="5">
        <v>130.05000000000001</v>
      </c>
      <c r="E398" s="5">
        <v>537.95000000000005</v>
      </c>
      <c r="F398" s="45">
        <v>1940.25</v>
      </c>
      <c r="G398" s="5">
        <v>19411.75</v>
      </c>
      <c r="H398" s="5">
        <f t="shared" si="32"/>
        <v>-9.7376851587527586E-3</v>
      </c>
      <c r="I398" s="5">
        <f t="shared" si="32"/>
        <v>1.6708399726838068E-2</v>
      </c>
      <c r="J398" s="5">
        <f t="shared" si="32"/>
        <v>1.1275272161741968E-2</v>
      </c>
      <c r="K398" s="5">
        <f t="shared" si="31"/>
        <v>4.5751633986928957E-3</v>
      </c>
      <c r="L398" s="5">
        <f t="shared" si="31"/>
        <v>9.2327698309492851E-3</v>
      </c>
      <c r="M398" s="5">
        <f t="shared" si="31"/>
        <v>9.4198828949695525E-3</v>
      </c>
      <c r="N398" s="5">
        <f t="shared" si="35"/>
        <v>3.4397546848753072E-3</v>
      </c>
      <c r="O398" s="5">
        <f t="shared" si="33"/>
        <v>7.0101607296784265E-4</v>
      </c>
      <c r="P398" s="79">
        <f t="shared" si="34"/>
        <v>1.220549745722878E-3</v>
      </c>
    </row>
    <row r="399" spans="1:16">
      <c r="A399" s="73">
        <v>45237</v>
      </c>
      <c r="B399" s="45">
        <v>1538.6</v>
      </c>
      <c r="C399" s="105">
        <v>2424</v>
      </c>
      <c r="D399" s="5">
        <v>128.94999999999999</v>
      </c>
      <c r="E399" s="5">
        <v>536.1</v>
      </c>
      <c r="F399" s="45">
        <v>1972</v>
      </c>
      <c r="G399" s="5">
        <v>19406.7</v>
      </c>
      <c r="H399" s="5">
        <f t="shared" si="32"/>
        <v>-1.4349775784753422E-2</v>
      </c>
      <c r="I399" s="5">
        <f t="shared" si="32"/>
        <v>8.5437936593229541E-2</v>
      </c>
      <c r="J399" s="5">
        <f t="shared" si="32"/>
        <v>-8.4582852748944452E-3</v>
      </c>
      <c r="K399" s="5">
        <f t="shared" si="31"/>
        <v>-3.4389813179663956E-3</v>
      </c>
      <c r="L399" s="5">
        <f t="shared" si="31"/>
        <v>1.6363870635227418E-2</v>
      </c>
      <c r="M399" s="5">
        <f t="shared" si="31"/>
        <v>-2.6015171223610817E-4</v>
      </c>
      <c r="N399" s="5">
        <f t="shared" si="35"/>
        <v>8.2222441431030694E-3</v>
      </c>
      <c r="O399" s="5">
        <f t="shared" si="33"/>
        <v>1.1915882903952531E-3</v>
      </c>
      <c r="P399" s="79">
        <f t="shared" si="34"/>
        <v>5.5004604543663479E-3</v>
      </c>
    </row>
    <row r="400" spans="1:16">
      <c r="A400" s="73">
        <v>45238</v>
      </c>
      <c r="B400" s="45">
        <v>1556.95</v>
      </c>
      <c r="C400" s="105">
        <v>2452.85</v>
      </c>
      <c r="D400" s="5">
        <v>125.3</v>
      </c>
      <c r="E400" s="5">
        <v>539.25</v>
      </c>
      <c r="F400" s="45">
        <v>1985.4</v>
      </c>
      <c r="G400" s="5">
        <v>19443.5</v>
      </c>
      <c r="H400" s="5">
        <f t="shared" si="32"/>
        <v>1.1926426621604145E-2</v>
      </c>
      <c r="I400" s="5">
        <f t="shared" si="32"/>
        <v>1.1901815181518114E-2</v>
      </c>
      <c r="J400" s="5">
        <f t="shared" si="32"/>
        <v>-2.8305544784800248E-2</v>
      </c>
      <c r="K400" s="5">
        <f t="shared" si="31"/>
        <v>5.875769445998838E-3</v>
      </c>
      <c r="L400" s="5">
        <f t="shared" si="31"/>
        <v>6.7951318458418309E-3</v>
      </c>
      <c r="M400" s="5">
        <f t="shared" si="31"/>
        <v>1.8962523252278477E-3</v>
      </c>
      <c r="N400" s="5">
        <f t="shared" si="35"/>
        <v>7.5967598867002079E-3</v>
      </c>
      <c r="O400" s="5">
        <f t="shared" si="33"/>
        <v>7.7658933379965876E-3</v>
      </c>
      <c r="P400" s="79">
        <f t="shared" si="34"/>
        <v>7.1406153177683675E-3</v>
      </c>
    </row>
    <row r="401" spans="1:16">
      <c r="A401" s="73">
        <v>45239</v>
      </c>
      <c r="B401" s="45">
        <v>1572.15</v>
      </c>
      <c r="C401" s="105">
        <v>2478.0500000000002</v>
      </c>
      <c r="D401" s="5">
        <v>125.8</v>
      </c>
      <c r="E401" s="5">
        <v>534.85</v>
      </c>
      <c r="F401" s="45">
        <v>1996.45</v>
      </c>
      <c r="G401" s="5">
        <v>19395.3</v>
      </c>
      <c r="H401" s="5">
        <f t="shared" si="32"/>
        <v>9.7626770288063488E-3</v>
      </c>
      <c r="I401" s="5">
        <f t="shared" si="32"/>
        <v>1.0273763173451403E-2</v>
      </c>
      <c r="J401" s="5">
        <f t="shared" si="32"/>
        <v>3.9904229848363925E-3</v>
      </c>
      <c r="K401" s="5">
        <f t="shared" si="31"/>
        <v>-8.1594807603152103E-3</v>
      </c>
      <c r="L401" s="5">
        <f t="shared" si="31"/>
        <v>5.5656290923743095E-3</v>
      </c>
      <c r="M401" s="5">
        <f t="shared" si="31"/>
        <v>-2.4789775503381967E-3</v>
      </c>
      <c r="N401" s="5">
        <f t="shared" si="35"/>
        <v>5.2043874766624591E-3</v>
      </c>
      <c r="O401" s="5">
        <f t="shared" si="33"/>
        <v>8.6055393998700123E-4</v>
      </c>
      <c r="P401" s="79">
        <f t="shared" si="34"/>
        <v>2.4595748887295331E-3</v>
      </c>
    </row>
    <row r="402" spans="1:16">
      <c r="A402" s="73">
        <v>45240</v>
      </c>
      <c r="B402" s="45">
        <v>1562.65</v>
      </c>
      <c r="C402" s="105">
        <v>2489.35</v>
      </c>
      <c r="D402" s="5">
        <v>129.05000000000001</v>
      </c>
      <c r="E402" s="5">
        <v>533.35</v>
      </c>
      <c r="F402" s="45">
        <v>1983.65</v>
      </c>
      <c r="G402" s="5">
        <v>19425.349999999999</v>
      </c>
      <c r="H402" s="5">
        <f t="shared" si="32"/>
        <v>-6.0426804058136942E-3</v>
      </c>
      <c r="I402" s="5">
        <f t="shared" si="32"/>
        <v>4.5600371259658708E-3</v>
      </c>
      <c r="J402" s="5">
        <f t="shared" si="32"/>
        <v>2.5834658187599478E-2</v>
      </c>
      <c r="K402" s="5">
        <f t="shared" si="31"/>
        <v>-2.8045246330746939E-3</v>
      </c>
      <c r="L402" s="5">
        <f t="shared" si="31"/>
        <v>-6.4113801998547191E-3</v>
      </c>
      <c r="M402" s="5">
        <f t="shared" si="31"/>
        <v>1.5493444288048792E-3</v>
      </c>
      <c r="N402" s="5">
        <f t="shared" si="35"/>
        <v>-4.2346537089989773E-3</v>
      </c>
      <c r="O402" s="5">
        <f t="shared" si="33"/>
        <v>-2.6034579883736629E-3</v>
      </c>
      <c r="P402" s="79">
        <f t="shared" si="34"/>
        <v>-1.3019515921596963E-3</v>
      </c>
    </row>
    <row r="403" spans="1:16">
      <c r="A403" s="73">
        <v>45242</v>
      </c>
      <c r="B403" s="45">
        <v>1579.55</v>
      </c>
      <c r="C403" s="105">
        <v>2494.25</v>
      </c>
      <c r="D403" s="5">
        <v>129</v>
      </c>
      <c r="E403" s="5">
        <v>535.6</v>
      </c>
      <c r="F403" s="45">
        <v>1996.65</v>
      </c>
      <c r="G403" s="5">
        <v>19525.55</v>
      </c>
      <c r="H403" s="5">
        <f t="shared" si="32"/>
        <v>1.08149617636706E-2</v>
      </c>
      <c r="I403" s="5">
        <f t="shared" si="32"/>
        <v>1.9683853214694964E-3</v>
      </c>
      <c r="J403" s="5">
        <f t="shared" si="32"/>
        <v>-3.8744672607525271E-4</v>
      </c>
      <c r="K403" s="5">
        <f t="shared" si="31"/>
        <v>4.2186181681822445E-3</v>
      </c>
      <c r="L403" s="5">
        <f t="shared" si="31"/>
        <v>6.5535754795452827E-3</v>
      </c>
      <c r="M403" s="5">
        <f t="shared" si="31"/>
        <v>5.1582082176125903E-3</v>
      </c>
      <c r="N403" s="5">
        <f t="shared" si="35"/>
        <v>7.0302470067798526E-3</v>
      </c>
      <c r="O403" s="5">
        <f t="shared" si="33"/>
        <v>6.3770684662704732E-3</v>
      </c>
      <c r="P403" s="79">
        <f t="shared" si="34"/>
        <v>6.2115954030321678E-3</v>
      </c>
    </row>
    <row r="404" spans="1:16">
      <c r="A404" s="73">
        <v>45243</v>
      </c>
      <c r="B404" s="45">
        <v>1568.7</v>
      </c>
      <c r="C404" s="105">
        <v>2559.0500000000002</v>
      </c>
      <c r="D404" s="5">
        <v>136.5</v>
      </c>
      <c r="E404" s="5">
        <v>530.1</v>
      </c>
      <c r="F404" s="45">
        <v>1977.85</v>
      </c>
      <c r="G404" s="5">
        <v>19443.55</v>
      </c>
      <c r="H404" s="5">
        <f t="shared" si="32"/>
        <v>-6.8690449811654643E-3</v>
      </c>
      <c r="I404" s="5">
        <f t="shared" si="32"/>
        <v>2.5979753432895734E-2</v>
      </c>
      <c r="J404" s="5">
        <f t="shared" si="32"/>
        <v>5.8139534883720929E-2</v>
      </c>
      <c r="K404" s="5">
        <f t="shared" si="31"/>
        <v>-1.0268857356235997E-2</v>
      </c>
      <c r="L404" s="5">
        <f t="shared" si="31"/>
        <v>-9.4157714171237729E-3</v>
      </c>
      <c r="M404" s="5">
        <f t="shared" si="31"/>
        <v>-4.1996256187405738E-3</v>
      </c>
      <c r="N404" s="5">
        <f t="shared" si="35"/>
        <v>-4.6761191015436384E-3</v>
      </c>
      <c r="O404" s="5">
        <f t="shared" si="33"/>
        <v>-3.6927668638801598E-3</v>
      </c>
      <c r="P404" s="79">
        <f t="shared" si="34"/>
        <v>5.6194097878812111E-4</v>
      </c>
    </row>
    <row r="405" spans="1:16">
      <c r="A405" s="73">
        <v>45245</v>
      </c>
      <c r="B405" s="45">
        <v>1592.85</v>
      </c>
      <c r="C405" s="105">
        <v>2553.15</v>
      </c>
      <c r="D405" s="5">
        <v>137.4</v>
      </c>
      <c r="E405" s="5">
        <v>526</v>
      </c>
      <c r="F405" s="45">
        <v>1998.7</v>
      </c>
      <c r="G405" s="5">
        <v>19675.45</v>
      </c>
      <c r="H405" s="5">
        <f t="shared" si="32"/>
        <v>1.5394912985274343E-2</v>
      </c>
      <c r="I405" s="5">
        <f t="shared" si="32"/>
        <v>-2.3055430726246422E-3</v>
      </c>
      <c r="J405" s="5">
        <f t="shared" si="32"/>
        <v>6.593406593406635E-3</v>
      </c>
      <c r="K405" s="5">
        <f t="shared" si="31"/>
        <v>-7.7343897377853662E-3</v>
      </c>
      <c r="L405" s="5">
        <f t="shared" si="31"/>
        <v>1.0541749879920185E-2</v>
      </c>
      <c r="M405" s="5">
        <f t="shared" si="31"/>
        <v>1.1926834348665828E-2</v>
      </c>
      <c r="N405" s="5">
        <f t="shared" si="35"/>
        <v>8.5581381768731479E-3</v>
      </c>
      <c r="O405" s="5">
        <f t="shared" si="33"/>
        <v>2.152446410344698E-3</v>
      </c>
      <c r="P405" s="79">
        <f t="shared" si="34"/>
        <v>3.1342333285724008E-3</v>
      </c>
    </row>
    <row r="406" spans="1:16">
      <c r="A406" s="73">
        <v>45246</v>
      </c>
      <c r="B406" s="45">
        <v>1603.05</v>
      </c>
      <c r="C406" s="105">
        <v>2544.6999999999998</v>
      </c>
      <c r="D406" s="5">
        <v>138.65</v>
      </c>
      <c r="E406" s="5">
        <v>534.9</v>
      </c>
      <c r="F406" s="45">
        <v>1981.55</v>
      </c>
      <c r="G406" s="5">
        <v>19765.2</v>
      </c>
      <c r="H406" s="5">
        <f t="shared" si="32"/>
        <v>6.40361615971375E-3</v>
      </c>
      <c r="I406" s="5">
        <f t="shared" si="32"/>
        <v>-3.3096371149365579E-3</v>
      </c>
      <c r="J406" s="5">
        <f t="shared" si="32"/>
        <v>9.0975254730713238E-3</v>
      </c>
      <c r="K406" s="5">
        <f t="shared" si="31"/>
        <v>1.6920152091254709E-2</v>
      </c>
      <c r="L406" s="5">
        <f t="shared" si="31"/>
        <v>-8.5805773752939858E-3</v>
      </c>
      <c r="M406" s="5">
        <f t="shared" si="31"/>
        <v>4.5615220998757337E-3</v>
      </c>
      <c r="N406" s="5">
        <f t="shared" si="35"/>
        <v>2.2433793044357355E-4</v>
      </c>
      <c r="O406" s="5">
        <f t="shared" si="33"/>
        <v>1.0332179913317153E-2</v>
      </c>
      <c r="P406" s="79">
        <f t="shared" si="34"/>
        <v>9.099373688482966E-3</v>
      </c>
    </row>
    <row r="407" spans="1:16">
      <c r="A407" s="73">
        <v>45247</v>
      </c>
      <c r="B407" s="45">
        <v>1595.5</v>
      </c>
      <c r="C407" s="105">
        <v>2576.4</v>
      </c>
      <c r="D407" s="5">
        <v>141.85</v>
      </c>
      <c r="E407" s="5">
        <v>540.70000000000005</v>
      </c>
      <c r="F407" s="45">
        <v>1968.85</v>
      </c>
      <c r="G407" s="5">
        <v>19731.8</v>
      </c>
      <c r="H407" s="5">
        <f t="shared" si="32"/>
        <v>-4.7097719971304422E-3</v>
      </c>
      <c r="I407" s="5">
        <f t="shared" si="32"/>
        <v>1.2457264117577818E-2</v>
      </c>
      <c r="J407" s="5">
        <f t="shared" si="32"/>
        <v>2.3079697078975756E-2</v>
      </c>
      <c r="K407" s="5">
        <f t="shared" si="31"/>
        <v>1.0843148252009849E-2</v>
      </c>
      <c r="L407" s="5">
        <f t="shared" si="31"/>
        <v>-6.409124170472633E-3</v>
      </c>
      <c r="M407" s="5">
        <f t="shared" si="31"/>
        <v>-1.6898387064133657E-3</v>
      </c>
      <c r="N407" s="5">
        <f t="shared" si="35"/>
        <v>-1.5274758692527201E-3</v>
      </c>
      <c r="O407" s="5">
        <f t="shared" si="33"/>
        <v>5.181928966675492E-3</v>
      </c>
      <c r="P407" s="79">
        <f t="shared" si="34"/>
        <v>5.5805583214533433E-3</v>
      </c>
    </row>
    <row r="408" spans="1:16">
      <c r="A408" s="73">
        <v>45250</v>
      </c>
      <c r="B408" s="45">
        <v>1581.3</v>
      </c>
      <c r="C408" s="105">
        <v>2622.75</v>
      </c>
      <c r="D408" s="5">
        <v>140.94999999999999</v>
      </c>
      <c r="E408" s="5">
        <v>543.20000000000005</v>
      </c>
      <c r="F408" s="45">
        <v>1979.15</v>
      </c>
      <c r="G408" s="5">
        <v>19694</v>
      </c>
      <c r="H408" s="5">
        <f t="shared" si="32"/>
        <v>-8.9000313381385424E-3</v>
      </c>
      <c r="I408" s="5">
        <f t="shared" si="32"/>
        <v>1.7990218910107089E-2</v>
      </c>
      <c r="J408" s="5">
        <f t="shared" si="32"/>
        <v>-6.3447303489602095E-3</v>
      </c>
      <c r="K408" s="5">
        <f t="shared" si="31"/>
        <v>4.6236360273719246E-3</v>
      </c>
      <c r="L408" s="5">
        <f t="shared" si="31"/>
        <v>5.2314803057623392E-3</v>
      </c>
      <c r="M408" s="5">
        <f t="shared" si="31"/>
        <v>-1.9156893947840173E-3</v>
      </c>
      <c r="N408" s="5">
        <f t="shared" si="35"/>
        <v>1.4208454283369991E-3</v>
      </c>
      <c r="O408" s="5">
        <f t="shared" si="33"/>
        <v>5.8150991074473388E-4</v>
      </c>
      <c r="P408" s="79">
        <f t="shared" si="34"/>
        <v>6.8874382131496928E-4</v>
      </c>
    </row>
    <row r="409" spans="1:16">
      <c r="A409" s="73">
        <v>45251</v>
      </c>
      <c r="B409" s="45">
        <v>1593.65</v>
      </c>
      <c r="C409" s="105">
        <v>2613.75</v>
      </c>
      <c r="D409" s="5">
        <v>139.6</v>
      </c>
      <c r="E409" s="5">
        <v>540.85</v>
      </c>
      <c r="F409" s="45">
        <v>1990.5</v>
      </c>
      <c r="G409" s="5">
        <v>19783.400000000001</v>
      </c>
      <c r="H409" s="5">
        <f t="shared" si="32"/>
        <v>7.8100297223804068E-3</v>
      </c>
      <c r="I409" s="5">
        <f t="shared" si="32"/>
        <v>-3.4315127251930227E-3</v>
      </c>
      <c r="J409" s="5">
        <f t="shared" si="32"/>
        <v>-9.5778644909541993E-3</v>
      </c>
      <c r="K409" s="5">
        <f t="shared" si="31"/>
        <v>-4.3262150220913526E-3</v>
      </c>
      <c r="L409" s="5">
        <f t="shared" si="31"/>
        <v>5.73478513503267E-3</v>
      </c>
      <c r="M409" s="5">
        <f t="shared" si="31"/>
        <v>4.5394536407028256E-3</v>
      </c>
      <c r="N409" s="5">
        <f t="shared" si="35"/>
        <v>3.9766985524993647E-3</v>
      </c>
      <c r="O409" s="5">
        <f t="shared" si="33"/>
        <v>3.3657981543316917E-4</v>
      </c>
      <c r="P409" s="79">
        <f t="shared" si="34"/>
        <v>3.3200484326682974E-4</v>
      </c>
    </row>
    <row r="410" spans="1:16">
      <c r="A410" s="73">
        <v>45252</v>
      </c>
      <c r="B410" s="45">
        <v>1619.6</v>
      </c>
      <c r="C410" s="105">
        <v>2627.15</v>
      </c>
      <c r="D410" s="5">
        <v>141.15</v>
      </c>
      <c r="E410" s="5">
        <v>541</v>
      </c>
      <c r="F410" s="45">
        <v>1956.85</v>
      </c>
      <c r="G410" s="5">
        <v>19811.849999999999</v>
      </c>
      <c r="H410" s="5">
        <f t="shared" si="32"/>
        <v>1.6283374643114749E-2</v>
      </c>
      <c r="I410" s="5">
        <f t="shared" si="32"/>
        <v>5.1267336202774141E-3</v>
      </c>
      <c r="J410" s="5">
        <f t="shared" si="32"/>
        <v>1.1103151862464265E-2</v>
      </c>
      <c r="K410" s="5">
        <f t="shared" si="31"/>
        <v>2.7734122215027687E-4</v>
      </c>
      <c r="L410" s="5">
        <f t="shared" si="31"/>
        <v>-1.6905300175835265E-2</v>
      </c>
      <c r="M410" s="5">
        <f t="shared" si="31"/>
        <v>1.4380743451579145E-3</v>
      </c>
      <c r="N410" s="5">
        <f t="shared" si="35"/>
        <v>-2.4220177628927466E-3</v>
      </c>
      <c r="O410" s="5">
        <f t="shared" si="33"/>
        <v>6.5814062004342184E-3</v>
      </c>
      <c r="P410" s="79">
        <f t="shared" si="34"/>
        <v>7.7884447039765405E-3</v>
      </c>
    </row>
    <row r="411" spans="1:16">
      <c r="A411" s="73">
        <v>45253</v>
      </c>
      <c r="B411" s="45">
        <v>1606</v>
      </c>
      <c r="C411" s="105">
        <v>2655.05</v>
      </c>
      <c r="D411" s="5">
        <v>142.75</v>
      </c>
      <c r="E411" s="5">
        <v>540.35</v>
      </c>
      <c r="F411" s="45">
        <v>1990.75</v>
      </c>
      <c r="G411" s="5">
        <v>19802</v>
      </c>
      <c r="H411" s="5">
        <f t="shared" si="32"/>
        <v>-8.3971350950851498E-3</v>
      </c>
      <c r="I411" s="5">
        <f t="shared" si="32"/>
        <v>1.0619873246674186E-2</v>
      </c>
      <c r="J411" s="5">
        <f t="shared" si="32"/>
        <v>1.1335458731845514E-2</v>
      </c>
      <c r="K411" s="5">
        <f t="shared" si="31"/>
        <v>-1.2014787430683499E-3</v>
      </c>
      <c r="L411" s="5">
        <f t="shared" si="31"/>
        <v>1.7323760124690238E-2</v>
      </c>
      <c r="M411" s="5">
        <f t="shared" si="31"/>
        <v>-4.9717719445677947E-4</v>
      </c>
      <c r="N411" s="5">
        <f t="shared" si="35"/>
        <v>6.4751184862453705E-3</v>
      </c>
      <c r="O411" s="5">
        <f t="shared" si="33"/>
        <v>-1.9967244255798731E-3</v>
      </c>
      <c r="P411" s="79">
        <f t="shared" si="34"/>
        <v>-1.3622260953467702E-3</v>
      </c>
    </row>
    <row r="412" spans="1:16">
      <c r="A412" s="73">
        <v>45254</v>
      </c>
      <c r="B412" s="45">
        <v>1606.95</v>
      </c>
      <c r="C412" s="105">
        <v>2649.7</v>
      </c>
      <c r="D412" s="5">
        <v>152.25</v>
      </c>
      <c r="E412" s="5">
        <v>537.35</v>
      </c>
      <c r="F412" s="45">
        <v>2039.85</v>
      </c>
      <c r="G412" s="5">
        <v>19794.7</v>
      </c>
      <c r="H412" s="5">
        <f t="shared" si="32"/>
        <v>5.915317559153459E-4</v>
      </c>
      <c r="I412" s="5">
        <f t="shared" si="32"/>
        <v>-2.0150279655751732E-3</v>
      </c>
      <c r="J412" s="5">
        <f t="shared" si="32"/>
        <v>6.6549912434325745E-2</v>
      </c>
      <c r="K412" s="5">
        <f t="shared" si="31"/>
        <v>-5.5519570648653645E-3</v>
      </c>
      <c r="L412" s="5">
        <f t="shared" si="31"/>
        <v>2.4664071329900745E-2</v>
      </c>
      <c r="M412" s="5">
        <f t="shared" si="31"/>
        <v>-3.6864963135033191E-4</v>
      </c>
      <c r="N412" s="5">
        <f t="shared" si="35"/>
        <v>1.2702861060081496E-2</v>
      </c>
      <c r="O412" s="5">
        <f t="shared" si="33"/>
        <v>-2.8281475255579008E-4</v>
      </c>
      <c r="P412" s="79">
        <f t="shared" si="34"/>
        <v>1.8795830590055949E-3</v>
      </c>
    </row>
    <row r="413" spans="1:16">
      <c r="A413" s="73">
        <v>45258</v>
      </c>
      <c r="B413" s="45">
        <v>1617.1</v>
      </c>
      <c r="C413" s="105">
        <v>2671.75</v>
      </c>
      <c r="D413" s="5">
        <v>156.05000000000001</v>
      </c>
      <c r="E413" s="5">
        <v>533.79999999999995</v>
      </c>
      <c r="F413" s="45">
        <v>2015.35</v>
      </c>
      <c r="G413" s="5">
        <v>19889.7</v>
      </c>
      <c r="H413" s="5">
        <f t="shared" si="32"/>
        <v>6.3163135131770517E-3</v>
      </c>
      <c r="I413" s="5">
        <f t="shared" si="32"/>
        <v>8.3216967958637516E-3</v>
      </c>
      <c r="J413" s="5">
        <f t="shared" si="32"/>
        <v>2.4958949096880206E-2</v>
      </c>
      <c r="K413" s="5">
        <f t="shared" si="31"/>
        <v>-6.6064948357682481E-3</v>
      </c>
      <c r="L413" s="5">
        <f t="shared" si="31"/>
        <v>-1.2010687060323063E-2</v>
      </c>
      <c r="M413" s="5">
        <f t="shared" si="31"/>
        <v>4.7992644495748861E-3</v>
      </c>
      <c r="N413" s="5">
        <f t="shared" si="35"/>
        <v>-3.4700113290764235E-3</v>
      </c>
      <c r="O413" s="5">
        <f t="shared" si="33"/>
        <v>3.3770324472489797E-4</v>
      </c>
      <c r="P413" s="79">
        <f t="shared" si="34"/>
        <v>2.5269102443587627E-3</v>
      </c>
    </row>
    <row r="414" spans="1:16">
      <c r="A414" s="73">
        <v>45259</v>
      </c>
      <c r="B414" s="45">
        <v>1612.95</v>
      </c>
      <c r="C414" s="105">
        <v>2676.4</v>
      </c>
      <c r="D414" s="5">
        <v>165.05</v>
      </c>
      <c r="E414" s="5">
        <v>534.6</v>
      </c>
      <c r="F414" s="45">
        <v>2009.7</v>
      </c>
      <c r="G414" s="5">
        <v>20096.599999999999</v>
      </c>
      <c r="H414" s="5">
        <f t="shared" si="32"/>
        <v>-2.5663224290395545E-3</v>
      </c>
      <c r="I414" s="5">
        <f t="shared" si="32"/>
        <v>1.7404323009263933E-3</v>
      </c>
      <c r="J414" s="5">
        <f t="shared" si="32"/>
        <v>5.7673822492790766E-2</v>
      </c>
      <c r="K414" s="5">
        <f t="shared" si="31"/>
        <v>1.4986886474336236E-3</v>
      </c>
      <c r="L414" s="5">
        <f t="shared" si="31"/>
        <v>-2.8034832659338893E-3</v>
      </c>
      <c r="M414" s="5">
        <f t="shared" si="31"/>
        <v>1.0402369065395546E-2</v>
      </c>
      <c r="N414" s="5">
        <f t="shared" si="35"/>
        <v>-2.2845910104422385E-4</v>
      </c>
      <c r="O414" s="5">
        <f t="shared" si="33"/>
        <v>1.4647244186697416E-3</v>
      </c>
      <c r="P414" s="79">
        <f t="shared" si="34"/>
        <v>3.228144600282487E-3</v>
      </c>
    </row>
    <row r="415" spans="1:16">
      <c r="A415" s="73">
        <v>45260</v>
      </c>
      <c r="B415" s="45">
        <v>1617.85</v>
      </c>
      <c r="C415" s="105">
        <v>2787</v>
      </c>
      <c r="D415" s="5">
        <v>170.45</v>
      </c>
      <c r="E415" s="5">
        <v>538.04999999999995</v>
      </c>
      <c r="F415" s="45">
        <v>2012.8</v>
      </c>
      <c r="G415" s="5">
        <v>20133.150000000001</v>
      </c>
      <c r="H415" s="5">
        <f t="shared" si="32"/>
        <v>3.037911900554799E-3</v>
      </c>
      <c r="I415" s="5">
        <f t="shared" si="32"/>
        <v>4.1324166791212043E-2</v>
      </c>
      <c r="J415" s="5">
        <f t="shared" si="32"/>
        <v>3.2717358376249478E-2</v>
      </c>
      <c r="K415" s="5">
        <f t="shared" si="31"/>
        <v>6.4534231200896585E-3</v>
      </c>
      <c r="L415" s="5">
        <f t="shared" si="31"/>
        <v>1.542518783898049E-3</v>
      </c>
      <c r="M415" s="5">
        <f t="shared" si="31"/>
        <v>1.8187156036345905E-3</v>
      </c>
      <c r="N415" s="5">
        <f t="shared" si="35"/>
        <v>6.0645027682049209E-3</v>
      </c>
      <c r="O415" s="5">
        <f t="shared" si="33"/>
        <v>9.084969728231378E-3</v>
      </c>
      <c r="P415" s="79">
        <f t="shared" si="34"/>
        <v>1.1871245459553422E-2</v>
      </c>
    </row>
    <row r="416" spans="1:16">
      <c r="A416" s="73">
        <v>45261</v>
      </c>
      <c r="B416" s="45">
        <v>1618.1</v>
      </c>
      <c r="C416" s="105">
        <v>2807.7</v>
      </c>
      <c r="D416" s="5">
        <v>170.5</v>
      </c>
      <c r="E416" s="5">
        <v>541.15</v>
      </c>
      <c r="F416" s="45">
        <v>2013.35</v>
      </c>
      <c r="G416" s="5">
        <v>20267.900000000001</v>
      </c>
      <c r="H416" s="5">
        <f t="shared" si="32"/>
        <v>1.5452606854776403E-4</v>
      </c>
      <c r="I416" s="5">
        <f t="shared" si="32"/>
        <v>7.4273412271258768E-3</v>
      </c>
      <c r="J416" s="5">
        <f t="shared" si="32"/>
        <v>2.9334115576422045E-4</v>
      </c>
      <c r="K416" s="5">
        <f t="shared" si="31"/>
        <v>5.7615463246910564E-3</v>
      </c>
      <c r="L416" s="5">
        <f t="shared" si="31"/>
        <v>2.7325119236881686E-4</v>
      </c>
      <c r="M416" s="5">
        <f t="shared" si="31"/>
        <v>6.6929417403635292E-3</v>
      </c>
      <c r="N416" s="5">
        <f t="shared" si="35"/>
        <v>1.45175687264255E-3</v>
      </c>
      <c r="O416" s="5">
        <f t="shared" si="33"/>
        <v>3.5671101036901351E-3</v>
      </c>
      <c r="P416" s="79">
        <f t="shared" si="34"/>
        <v>3.4490697302142132E-3</v>
      </c>
    </row>
    <row r="417" spans="1:16">
      <c r="A417" s="73">
        <v>45264</v>
      </c>
      <c r="B417" s="45">
        <v>1630</v>
      </c>
      <c r="C417" s="105">
        <v>2816.85</v>
      </c>
      <c r="D417" s="5">
        <v>174.05</v>
      </c>
      <c r="E417" s="5">
        <v>547</v>
      </c>
      <c r="F417" s="45">
        <v>2020.05</v>
      </c>
      <c r="G417" s="5">
        <v>20686.8</v>
      </c>
      <c r="H417" s="5">
        <f t="shared" si="32"/>
        <v>7.3543044311229783E-3</v>
      </c>
      <c r="I417" s="5">
        <f t="shared" si="32"/>
        <v>3.2588951811091255E-3</v>
      </c>
      <c r="J417" s="5">
        <f t="shared" si="32"/>
        <v>2.0821114369501532E-2</v>
      </c>
      <c r="K417" s="5">
        <f t="shared" si="31"/>
        <v>1.0810311373925942E-2</v>
      </c>
      <c r="L417" s="5">
        <f t="shared" si="31"/>
        <v>3.3277870216306383E-3</v>
      </c>
      <c r="M417" s="5">
        <f t="shared" si="31"/>
        <v>2.0668150129021644E-2</v>
      </c>
      <c r="N417" s="5">
        <f t="shared" si="35"/>
        <v>6.0260383223359531E-3</v>
      </c>
      <c r="O417" s="5">
        <f t="shared" si="33"/>
        <v>8.9265526825109739E-3</v>
      </c>
      <c r="P417" s="79">
        <f t="shared" si="34"/>
        <v>8.8547063986938544E-3</v>
      </c>
    </row>
    <row r="418" spans="1:16">
      <c r="A418" s="73">
        <v>45265</v>
      </c>
      <c r="B418" s="45">
        <v>1649.45</v>
      </c>
      <c r="C418" s="105">
        <v>2874.75</v>
      </c>
      <c r="D418" s="5">
        <v>176.7</v>
      </c>
      <c r="E418" s="5">
        <v>552</v>
      </c>
      <c r="F418" s="45">
        <v>2001.3</v>
      </c>
      <c r="G418" s="5">
        <v>20855.099999999999</v>
      </c>
      <c r="H418" s="5">
        <f t="shared" si="32"/>
        <v>1.193251533742334E-2</v>
      </c>
      <c r="I418" s="5">
        <f t="shared" si="32"/>
        <v>2.0554875126471091E-2</v>
      </c>
      <c r="J418" s="5">
        <f t="shared" si="32"/>
        <v>1.5225509910945E-2</v>
      </c>
      <c r="K418" s="5">
        <f t="shared" si="31"/>
        <v>9.140767824497258E-3</v>
      </c>
      <c r="L418" s="5">
        <f t="shared" si="31"/>
        <v>-9.2819484666221141E-3</v>
      </c>
      <c r="M418" s="5">
        <f t="shared" si="31"/>
        <v>8.1356227159347649E-3</v>
      </c>
      <c r="N418" s="5">
        <f t="shared" si="35"/>
        <v>2.1883477509789702E-3</v>
      </c>
      <c r="O418" s="5">
        <f t="shared" si="33"/>
        <v>1.1006884583959126E-2</v>
      </c>
      <c r="P418" s="79">
        <f t="shared" si="34"/>
        <v>1.2169528387982551E-2</v>
      </c>
    </row>
    <row r="419" spans="1:16">
      <c r="A419" s="73">
        <v>45266</v>
      </c>
      <c r="B419" s="45">
        <v>1644.45</v>
      </c>
      <c r="C419" s="105">
        <v>2867.85</v>
      </c>
      <c r="D419" s="5">
        <v>178.45</v>
      </c>
      <c r="E419" s="5">
        <v>550.04999999999995</v>
      </c>
      <c r="F419" s="45">
        <v>2114.6</v>
      </c>
      <c r="G419" s="5">
        <v>20937.7</v>
      </c>
      <c r="H419" s="5">
        <f t="shared" si="32"/>
        <v>-3.0313134681257386E-3</v>
      </c>
      <c r="I419" s="5">
        <f t="shared" si="32"/>
        <v>-2.4002087138012317E-3</v>
      </c>
      <c r="J419" s="5">
        <f t="shared" si="32"/>
        <v>9.903791737408036E-3</v>
      </c>
      <c r="K419" s="5">
        <f t="shared" si="31"/>
        <v>-3.5326086956522563E-3</v>
      </c>
      <c r="L419" s="5">
        <f t="shared" si="31"/>
        <v>5.661320141907758E-2</v>
      </c>
      <c r="M419" s="5">
        <f t="shared" si="31"/>
        <v>3.9606619004465184E-3</v>
      </c>
      <c r="N419" s="5">
        <f t="shared" si="35"/>
        <v>2.5417953264189747E-2</v>
      </c>
      <c r="O419" s="5">
        <f t="shared" si="33"/>
        <v>-1.527857762439705E-3</v>
      </c>
      <c r="P419" s="79">
        <f t="shared" si="34"/>
        <v>-1.911616308094764E-3</v>
      </c>
    </row>
    <row r="420" spans="1:16">
      <c r="A420" s="73">
        <v>45267</v>
      </c>
      <c r="B420" s="45">
        <v>1659.05</v>
      </c>
      <c r="C420" s="105">
        <v>2845.2</v>
      </c>
      <c r="D420" s="5">
        <v>183.3</v>
      </c>
      <c r="E420" s="5">
        <v>545.79999999999995</v>
      </c>
      <c r="F420" s="45">
        <v>2080.1</v>
      </c>
      <c r="G420" s="5">
        <v>20901.150000000001</v>
      </c>
      <c r="H420" s="5">
        <f t="shared" si="32"/>
        <v>8.8783483839581061E-3</v>
      </c>
      <c r="I420" s="5">
        <f t="shared" si="32"/>
        <v>-7.8979026099691724E-3</v>
      </c>
      <c r="J420" s="5">
        <f t="shared" si="32"/>
        <v>2.7178481367329914E-2</v>
      </c>
      <c r="K420" s="5">
        <f t="shared" si="31"/>
        <v>-7.7265703117898382E-3</v>
      </c>
      <c r="L420" s="5">
        <f t="shared" si="31"/>
        <v>-1.6315142343705666E-2</v>
      </c>
      <c r="M420" s="5">
        <f t="shared" si="31"/>
        <v>-1.7456549668778934E-3</v>
      </c>
      <c r="N420" s="5">
        <f t="shared" si="35"/>
        <v>-5.8711605943954142E-3</v>
      </c>
      <c r="O420" s="5">
        <f t="shared" si="33"/>
        <v>-8.1886662570058034E-4</v>
      </c>
      <c r="P420" s="79">
        <f t="shared" si="34"/>
        <v>7.5311321682136048E-4</v>
      </c>
    </row>
    <row r="421" spans="1:16">
      <c r="A421" s="73">
        <v>45268</v>
      </c>
      <c r="B421" s="45">
        <v>1663.35</v>
      </c>
      <c r="C421" s="105">
        <v>2841.3</v>
      </c>
      <c r="D421" s="5">
        <v>176.7</v>
      </c>
      <c r="E421" s="5">
        <v>547.5</v>
      </c>
      <c r="F421" s="45">
        <v>2059.35</v>
      </c>
      <c r="G421" s="5">
        <v>20969.400000000001</v>
      </c>
      <c r="H421" s="5">
        <f t="shared" si="32"/>
        <v>2.5918447304179829E-3</v>
      </c>
      <c r="I421" s="5">
        <f t="shared" si="32"/>
        <v>-1.3707296499366078E-3</v>
      </c>
      <c r="J421" s="5">
        <f t="shared" si="32"/>
        <v>-3.6006546644844636E-2</v>
      </c>
      <c r="K421" s="5">
        <f t="shared" si="31"/>
        <v>3.1146940271162432E-3</v>
      </c>
      <c r="L421" s="5">
        <f t="shared" si="31"/>
        <v>-9.9754819479832713E-3</v>
      </c>
      <c r="M421" s="5">
        <f t="shared" si="31"/>
        <v>3.2653705657344212E-3</v>
      </c>
      <c r="N421" s="5">
        <f t="shared" si="35"/>
        <v>-4.5538046395084278E-3</v>
      </c>
      <c r="O421" s="5">
        <f t="shared" si="33"/>
        <v>1.1295505782931438E-3</v>
      </c>
      <c r="P421" s="79">
        <f t="shared" si="34"/>
        <v>-1.7641886429652239E-4</v>
      </c>
    </row>
    <row r="422" spans="1:16">
      <c r="A422" s="73">
        <v>45271</v>
      </c>
      <c r="B422" s="45">
        <v>1668.8</v>
      </c>
      <c r="C422" s="105">
        <v>2881.4</v>
      </c>
      <c r="D422" s="5">
        <v>179.65</v>
      </c>
      <c r="E422" s="5">
        <v>550.5</v>
      </c>
      <c r="F422" s="45">
        <v>2117.75</v>
      </c>
      <c r="G422" s="5">
        <v>20997.1</v>
      </c>
      <c r="H422" s="5">
        <f t="shared" si="32"/>
        <v>3.2765202753479699E-3</v>
      </c>
      <c r="I422" s="5">
        <f t="shared" si="32"/>
        <v>1.4113258015697008E-2</v>
      </c>
      <c r="J422" s="5">
        <f t="shared" si="32"/>
        <v>1.6694963214487931E-2</v>
      </c>
      <c r="K422" s="5">
        <f t="shared" si="31"/>
        <v>5.4794520547945206E-3</v>
      </c>
      <c r="L422" s="5">
        <f t="shared" si="31"/>
        <v>2.8358462621701067E-2</v>
      </c>
      <c r="M422" s="5">
        <f t="shared" si="31"/>
        <v>1.3209724646388113E-3</v>
      </c>
      <c r="N422" s="5">
        <f t="shared" si="35"/>
        <v>1.6466366829044364E-2</v>
      </c>
      <c r="O422" s="5">
        <f t="shared" si="33"/>
        <v>6.2954283942643369E-3</v>
      </c>
      <c r="P422" s="79">
        <f t="shared" si="34"/>
        <v>6.7517425717296461E-3</v>
      </c>
    </row>
    <row r="423" spans="1:16">
      <c r="A423" s="73">
        <v>45272</v>
      </c>
      <c r="B423" s="45">
        <v>1655</v>
      </c>
      <c r="C423" s="105">
        <v>2883.55</v>
      </c>
      <c r="D423" s="5">
        <v>177.9</v>
      </c>
      <c r="E423" s="5">
        <v>549</v>
      </c>
      <c r="F423" s="45">
        <v>2073.6999999999998</v>
      </c>
      <c r="G423" s="5">
        <v>20906.400000000001</v>
      </c>
      <c r="H423" s="5">
        <f t="shared" si="32"/>
        <v>-8.2694151486097517E-3</v>
      </c>
      <c r="I423" s="5">
        <f t="shared" si="32"/>
        <v>7.4616505865207573E-4</v>
      </c>
      <c r="J423" s="5">
        <f t="shared" si="32"/>
        <v>-9.7411633732257166E-3</v>
      </c>
      <c r="K423" s="5">
        <f t="shared" si="31"/>
        <v>-2.7247956403269754E-3</v>
      </c>
      <c r="L423" s="5">
        <f t="shared" si="31"/>
        <v>-2.0800377759414557E-2</v>
      </c>
      <c r="M423" s="5">
        <f t="shared" si="31"/>
        <v>-4.3196441413336653E-3</v>
      </c>
      <c r="N423" s="5">
        <f t="shared" si="35"/>
        <v>-1.2877631225796143E-2</v>
      </c>
      <c r="O423" s="5">
        <f t="shared" si="33"/>
        <v>-5.0496436337668007E-3</v>
      </c>
      <c r="P423" s="79">
        <f t="shared" si="34"/>
        <v>-4.9292492724245379E-3</v>
      </c>
    </row>
    <row r="424" spans="1:16">
      <c r="A424" s="73">
        <v>45273</v>
      </c>
      <c r="B424" s="45">
        <v>1633.2</v>
      </c>
      <c r="C424" s="105">
        <v>2963.45</v>
      </c>
      <c r="D424" s="5">
        <v>179.65</v>
      </c>
      <c r="E424" s="5">
        <v>547.54999999999995</v>
      </c>
      <c r="F424" s="45">
        <v>2075.8000000000002</v>
      </c>
      <c r="G424" s="5">
        <v>20926.349999999999</v>
      </c>
      <c r="H424" s="5">
        <f t="shared" si="32"/>
        <v>-1.3172205438066438E-2</v>
      </c>
      <c r="I424" s="5">
        <f t="shared" si="32"/>
        <v>2.7708900487246495E-2</v>
      </c>
      <c r="J424" s="5">
        <f t="shared" si="32"/>
        <v>9.8369870713884196E-3</v>
      </c>
      <c r="K424" s="5">
        <f t="shared" si="31"/>
        <v>-2.6411657559199373E-3</v>
      </c>
      <c r="L424" s="5">
        <f t="shared" si="31"/>
        <v>1.0126826445485673E-3</v>
      </c>
      <c r="M424" s="5">
        <f t="shared" si="31"/>
        <v>9.5425324302591977E-4</v>
      </c>
      <c r="N424" s="5">
        <f t="shared" si="35"/>
        <v>-1.7862474802033106E-3</v>
      </c>
      <c r="O424" s="5">
        <f t="shared" si="33"/>
        <v>-3.2611337814915983E-3</v>
      </c>
      <c r="P424" s="79">
        <f t="shared" si="34"/>
        <v>-1.4410812341243101E-3</v>
      </c>
    </row>
    <row r="425" spans="1:16">
      <c r="A425" s="73">
        <v>45274</v>
      </c>
      <c r="B425" s="45">
        <v>1652.25</v>
      </c>
      <c r="C425" s="105">
        <v>2984.75</v>
      </c>
      <c r="D425" s="5">
        <v>181.4</v>
      </c>
      <c r="E425" s="5">
        <v>547.45000000000005</v>
      </c>
      <c r="F425" s="45">
        <v>2072.6999999999998</v>
      </c>
      <c r="G425" s="5">
        <v>21182.7</v>
      </c>
      <c r="H425" s="5">
        <f t="shared" si="32"/>
        <v>1.1664217487141779E-2</v>
      </c>
      <c r="I425" s="5">
        <f t="shared" si="32"/>
        <v>7.1875685434207373E-3</v>
      </c>
      <c r="J425" s="5">
        <f t="shared" si="32"/>
        <v>9.7411633732257166E-3</v>
      </c>
      <c r="K425" s="5">
        <f t="shared" si="31"/>
        <v>-1.8263172313014164E-4</v>
      </c>
      <c r="L425" s="5">
        <f t="shared" si="31"/>
        <v>-1.4934001348879291E-3</v>
      </c>
      <c r="M425" s="5">
        <f t="shared" si="31"/>
        <v>1.2250105727945973E-2</v>
      </c>
      <c r="N425" s="5">
        <f t="shared" si="35"/>
        <v>3.4943376284849044E-3</v>
      </c>
      <c r="O425" s="5">
        <f t="shared" si="33"/>
        <v>5.1466316479839283E-3</v>
      </c>
      <c r="P425" s="79">
        <f t="shared" si="34"/>
        <v>6.1453288252509486E-3</v>
      </c>
    </row>
    <row r="426" spans="1:16">
      <c r="A426" s="73">
        <v>45275</v>
      </c>
      <c r="B426" s="45">
        <v>1646.65</v>
      </c>
      <c r="C426" s="105">
        <v>2989.75</v>
      </c>
      <c r="D426" s="5">
        <v>181.55</v>
      </c>
      <c r="E426" s="5">
        <v>539.70000000000005</v>
      </c>
      <c r="F426" s="45">
        <v>2082.85</v>
      </c>
      <c r="G426" s="5">
        <v>21456.65</v>
      </c>
      <c r="H426" s="5">
        <f t="shared" si="32"/>
        <v>-3.3893175972158625E-3</v>
      </c>
      <c r="I426" s="5">
        <f t="shared" si="32"/>
        <v>1.6751821760616467E-3</v>
      </c>
      <c r="J426" s="5">
        <f t="shared" si="32"/>
        <v>8.2690187431094645E-4</v>
      </c>
      <c r="K426" s="5">
        <f t="shared" si="31"/>
        <v>-1.4156543976618868E-2</v>
      </c>
      <c r="L426" s="5">
        <f t="shared" si="31"/>
        <v>4.8969942586964306E-3</v>
      </c>
      <c r="M426" s="5">
        <f t="shared" si="31"/>
        <v>1.2932723401643828E-2</v>
      </c>
      <c r="N426" s="5">
        <f t="shared" si="35"/>
        <v>-5.1781520052649127E-4</v>
      </c>
      <c r="O426" s="5">
        <f t="shared" si="33"/>
        <v>-7.836709372229092E-3</v>
      </c>
      <c r="P426" s="79">
        <f t="shared" si="34"/>
        <v>-6.524885713410763E-3</v>
      </c>
    </row>
    <row r="427" spans="1:16">
      <c r="A427" s="73">
        <v>45278</v>
      </c>
      <c r="B427" s="45">
        <v>1671.05</v>
      </c>
      <c r="C427" s="105">
        <v>2971.45</v>
      </c>
      <c r="D427" s="5">
        <v>187.4</v>
      </c>
      <c r="E427" s="5">
        <v>540.5</v>
      </c>
      <c r="F427" s="45">
        <v>2126.8000000000002</v>
      </c>
      <c r="G427" s="5">
        <v>21418.65</v>
      </c>
      <c r="H427" s="5">
        <f t="shared" si="32"/>
        <v>1.481796374457223E-2</v>
      </c>
      <c r="I427" s="5">
        <f t="shared" si="32"/>
        <v>-6.1209131198261329E-3</v>
      </c>
      <c r="J427" s="5">
        <f t="shared" si="32"/>
        <v>3.2222528229137945E-2</v>
      </c>
      <c r="K427" s="5">
        <f t="shared" si="31"/>
        <v>1.4823049842504251E-3</v>
      </c>
      <c r="L427" s="5">
        <f t="shared" si="31"/>
        <v>2.1100895407734726E-2</v>
      </c>
      <c r="M427" s="5">
        <f t="shared" si="31"/>
        <v>-1.7710127163373592E-3</v>
      </c>
      <c r="N427" s="5">
        <f t="shared" si="35"/>
        <v>1.5069759694364093E-2</v>
      </c>
      <c r="O427" s="5">
        <f t="shared" si="33"/>
        <v>6.9931974756865418E-3</v>
      </c>
      <c r="P427" s="79">
        <f t="shared" si="34"/>
        <v>7.5330485079494313E-3</v>
      </c>
    </row>
    <row r="428" spans="1:16">
      <c r="A428" s="73">
        <v>45279</v>
      </c>
      <c r="B428" s="45">
        <v>1674.35</v>
      </c>
      <c r="C428" s="105">
        <v>3000.8</v>
      </c>
      <c r="D428" s="5">
        <v>184.75</v>
      </c>
      <c r="E428" s="5">
        <v>548.20000000000005</v>
      </c>
      <c r="F428" s="45">
        <v>2139.9499999999998</v>
      </c>
      <c r="G428" s="5">
        <v>21453.1</v>
      </c>
      <c r="H428" s="5">
        <f t="shared" si="32"/>
        <v>1.9748062595373894E-3</v>
      </c>
      <c r="I428" s="5">
        <f t="shared" si="32"/>
        <v>9.8773326153899152E-3</v>
      </c>
      <c r="J428" s="5">
        <f t="shared" si="32"/>
        <v>-1.4140875133404512E-2</v>
      </c>
      <c r="K428" s="5">
        <f t="shared" si="31"/>
        <v>1.4246068455134219E-2</v>
      </c>
      <c r="L428" s="5">
        <f t="shared" si="31"/>
        <v>6.1829979311640191E-3</v>
      </c>
      <c r="M428" s="5">
        <f t="shared" si="31"/>
        <v>1.6084113611267324E-3</v>
      </c>
      <c r="N428" s="5">
        <f t="shared" si="35"/>
        <v>5.7192822414936575E-3</v>
      </c>
      <c r="O428" s="5">
        <f t="shared" si="33"/>
        <v>8.3248128740041373E-3</v>
      </c>
      <c r="P428" s="79">
        <f t="shared" si="34"/>
        <v>7.0402415311185528E-3</v>
      </c>
    </row>
    <row r="429" spans="1:16">
      <c r="A429" s="73">
        <v>45280</v>
      </c>
      <c r="B429" s="45">
        <v>1633.25</v>
      </c>
      <c r="C429" s="105">
        <v>2948.95</v>
      </c>
      <c r="D429" s="5">
        <v>172</v>
      </c>
      <c r="E429" s="5">
        <v>534.95000000000005</v>
      </c>
      <c r="F429" s="45">
        <v>2046.25</v>
      </c>
      <c r="G429" s="5">
        <v>21150.15</v>
      </c>
      <c r="H429" s="5">
        <f t="shared" si="32"/>
        <v>-2.4546839071878587E-2</v>
      </c>
      <c r="I429" s="5">
        <f t="shared" si="32"/>
        <v>-1.7278725673153948E-2</v>
      </c>
      <c r="J429" s="5">
        <f t="shared" si="32"/>
        <v>-6.9012178619756434E-2</v>
      </c>
      <c r="K429" s="5">
        <f t="shared" si="31"/>
        <v>-2.4170010944910614E-2</v>
      </c>
      <c r="L429" s="5">
        <f t="shared" si="31"/>
        <v>-4.3786069767985152E-2</v>
      </c>
      <c r="M429" s="5">
        <f t="shared" si="31"/>
        <v>-1.4121502253753401E-2</v>
      </c>
      <c r="N429" s="5">
        <f t="shared" si="35"/>
        <v>-3.4292533739875647E-2</v>
      </c>
      <c r="O429" s="5">
        <f t="shared" si="33"/>
        <v>-2.5332614743415981E-2</v>
      </c>
      <c r="P429" s="79">
        <f t="shared" si="34"/>
        <v>-2.6081581297076276E-2</v>
      </c>
    </row>
    <row r="430" spans="1:16">
      <c r="A430" s="73">
        <v>45281</v>
      </c>
      <c r="B430" s="45">
        <v>1620.05</v>
      </c>
      <c r="C430" s="105">
        <v>2955.2</v>
      </c>
      <c r="D430" s="5">
        <v>180.45</v>
      </c>
      <c r="E430" s="5">
        <v>530.25</v>
      </c>
      <c r="F430" s="45">
        <v>2121</v>
      </c>
      <c r="G430" s="5">
        <v>21255.05</v>
      </c>
      <c r="H430" s="5">
        <f t="shared" si="32"/>
        <v>-8.0820450022960639E-3</v>
      </c>
      <c r="I430" s="5">
        <f t="shared" si="32"/>
        <v>2.1193984299496434E-3</v>
      </c>
      <c r="J430" s="5">
        <f t="shared" si="32"/>
        <v>4.9127906976744122E-2</v>
      </c>
      <c r="K430" s="5">
        <f t="shared" si="31"/>
        <v>-8.7858678381157965E-3</v>
      </c>
      <c r="L430" s="5">
        <f t="shared" si="31"/>
        <v>3.6530238240684181E-2</v>
      </c>
      <c r="M430" s="5">
        <f t="shared" si="31"/>
        <v>4.9597756989902108E-3</v>
      </c>
      <c r="N430" s="5">
        <f t="shared" si="35"/>
        <v>1.5053463907394142E-2</v>
      </c>
      <c r="O430" s="5">
        <f t="shared" si="33"/>
        <v>-4.892476120460813E-3</v>
      </c>
      <c r="P430" s="79">
        <f t="shared" si="34"/>
        <v>-3.1016180944537924E-3</v>
      </c>
    </row>
    <row r="431" spans="1:16">
      <c r="A431" s="73">
        <v>45282</v>
      </c>
      <c r="B431" s="45">
        <v>1620.9</v>
      </c>
      <c r="C431" s="105">
        <v>2965.5</v>
      </c>
      <c r="D431" s="5">
        <v>178.3</v>
      </c>
      <c r="E431" s="5">
        <v>529.29999999999995</v>
      </c>
      <c r="F431" s="45">
        <v>2121.4</v>
      </c>
      <c r="G431" s="5">
        <v>21349.4</v>
      </c>
      <c r="H431" s="5">
        <f t="shared" si="32"/>
        <v>5.2467516434686365E-4</v>
      </c>
      <c r="I431" s="5">
        <f t="shared" si="32"/>
        <v>3.4853817000542035E-3</v>
      </c>
      <c r="J431" s="5">
        <f t="shared" si="32"/>
        <v>-1.1914657799944458E-2</v>
      </c>
      <c r="K431" s="5">
        <f t="shared" si="31"/>
        <v>-1.7916077322018774E-3</v>
      </c>
      <c r="L431" s="5">
        <f t="shared" si="31"/>
        <v>1.8859028760023148E-4</v>
      </c>
      <c r="M431" s="5">
        <f t="shared" si="31"/>
        <v>4.4389450977533424E-3</v>
      </c>
      <c r="N431" s="5">
        <f t="shared" si="35"/>
        <v>-9.3978113517511553E-5</v>
      </c>
      <c r="O431" s="5">
        <f t="shared" si="33"/>
        <v>-6.7042940487996772E-4</v>
      </c>
      <c r="P431" s="79">
        <f t="shared" si="34"/>
        <v>-6.7340515509164891E-4</v>
      </c>
    </row>
    <row r="432" spans="1:16">
      <c r="A432" s="73">
        <v>45286</v>
      </c>
      <c r="B432" s="45">
        <v>1619.5</v>
      </c>
      <c r="C432" s="105">
        <v>2970</v>
      </c>
      <c r="D432" s="5">
        <v>182.2</v>
      </c>
      <c r="E432" s="5">
        <v>530.6</v>
      </c>
      <c r="F432" s="45">
        <v>2287.85</v>
      </c>
      <c r="G432" s="5">
        <v>21441.35</v>
      </c>
      <c r="H432" s="5">
        <f t="shared" si="32"/>
        <v>-8.6371768770441778E-4</v>
      </c>
      <c r="I432" s="5">
        <f t="shared" si="32"/>
        <v>1.5174506828528073E-3</v>
      </c>
      <c r="J432" s="5">
        <f t="shared" si="32"/>
        <v>2.1873247335950516E-2</v>
      </c>
      <c r="K432" s="5">
        <f t="shared" si="31"/>
        <v>2.4560740600794791E-3</v>
      </c>
      <c r="L432" s="5">
        <f t="shared" si="31"/>
        <v>7.8462336193079948E-2</v>
      </c>
      <c r="M432" s="5">
        <f t="shared" si="31"/>
        <v>4.3069126064431357E-3</v>
      </c>
      <c r="N432" s="5">
        <f t="shared" si="35"/>
        <v>3.7767505580739255E-2</v>
      </c>
      <c r="O432" s="5">
        <f t="shared" si="33"/>
        <v>3.3680318594162626E-3</v>
      </c>
      <c r="P432" s="79">
        <f t="shared" si="34"/>
        <v>2.7427591098882435E-3</v>
      </c>
    </row>
    <row r="433" spans="1:16">
      <c r="A433" s="73">
        <v>45287</v>
      </c>
      <c r="B433" s="45">
        <v>1639.7</v>
      </c>
      <c r="C433" s="105">
        <v>3010.75</v>
      </c>
      <c r="D433" s="5">
        <v>181.95</v>
      </c>
      <c r="E433" s="5">
        <v>534.35</v>
      </c>
      <c r="F433" s="45">
        <v>2342.35</v>
      </c>
      <c r="G433" s="5">
        <v>21654.75</v>
      </c>
      <c r="H433" s="5">
        <f t="shared" si="32"/>
        <v>1.2472985489348592E-2</v>
      </c>
      <c r="I433" s="5">
        <f t="shared" si="32"/>
        <v>1.372053872053872E-2</v>
      </c>
      <c r="J433" s="5">
        <f t="shared" si="32"/>
        <v>-1.3721185510428102E-3</v>
      </c>
      <c r="K433" s="5">
        <f t="shared" si="31"/>
        <v>7.0674707877874101E-3</v>
      </c>
      <c r="L433" s="5">
        <f t="shared" si="31"/>
        <v>2.3821491793605352E-2</v>
      </c>
      <c r="M433" s="5">
        <f t="shared" si="31"/>
        <v>9.9527315211029848E-3</v>
      </c>
      <c r="N433" s="5">
        <f t="shared" si="35"/>
        <v>1.679358650033522E-2</v>
      </c>
      <c r="O433" s="5">
        <f t="shared" si="33"/>
        <v>9.8394217113671033E-3</v>
      </c>
      <c r="P433" s="79">
        <f t="shared" si="34"/>
        <v>9.8159708418964261E-3</v>
      </c>
    </row>
    <row r="434" spans="1:16">
      <c r="A434" s="73">
        <v>45288</v>
      </c>
      <c r="B434" s="45">
        <v>1638.65</v>
      </c>
      <c r="C434" s="105">
        <v>3026</v>
      </c>
      <c r="D434" s="5">
        <v>192.6</v>
      </c>
      <c r="E434" s="5">
        <v>543.1</v>
      </c>
      <c r="F434" s="45">
        <v>2284.4</v>
      </c>
      <c r="G434" s="5">
        <v>21778.7</v>
      </c>
      <c r="H434" s="5">
        <f t="shared" si="32"/>
        <v>-6.4036104165393333E-4</v>
      </c>
      <c r="I434" s="5">
        <f t="shared" si="32"/>
        <v>5.0651830939134768E-3</v>
      </c>
      <c r="J434" s="5">
        <f t="shared" si="32"/>
        <v>5.8532563891178932E-2</v>
      </c>
      <c r="K434" s="5">
        <f t="shared" si="31"/>
        <v>1.6375035089360904E-2</v>
      </c>
      <c r="L434" s="5">
        <f t="shared" si="31"/>
        <v>-2.4740111426558721E-2</v>
      </c>
      <c r="M434" s="5">
        <f t="shared" si="31"/>
        <v>5.7239173853311969E-3</v>
      </c>
      <c r="N434" s="5">
        <f t="shared" si="35"/>
        <v>-7.7199995014304761E-3</v>
      </c>
      <c r="O434" s="5">
        <f t="shared" si="33"/>
        <v>9.2453242136004178E-3</v>
      </c>
      <c r="P434" s="79">
        <f t="shared" si="34"/>
        <v>1.0181704744154458E-2</v>
      </c>
    </row>
    <row r="435" spans="1:16">
      <c r="A435" s="73">
        <v>45289</v>
      </c>
      <c r="B435" s="45">
        <v>1651.4</v>
      </c>
      <c r="C435" s="105">
        <v>3054.95</v>
      </c>
      <c r="D435" s="5">
        <v>193.55</v>
      </c>
      <c r="E435" s="5">
        <v>557.20000000000005</v>
      </c>
      <c r="F435" s="45">
        <v>2280.9</v>
      </c>
      <c r="G435" s="5">
        <v>21731.4</v>
      </c>
      <c r="H435" s="5">
        <f t="shared" si="32"/>
        <v>7.7807951667531192E-3</v>
      </c>
      <c r="I435" s="5">
        <f t="shared" si="32"/>
        <v>9.5670852610706611E-3</v>
      </c>
      <c r="J435" s="5">
        <f t="shared" si="32"/>
        <v>4.9325025960540864E-3</v>
      </c>
      <c r="K435" s="5">
        <f t="shared" si="31"/>
        <v>2.5962069600441947E-2</v>
      </c>
      <c r="L435" s="5">
        <f t="shared" si="31"/>
        <v>-1.5321309753108037E-3</v>
      </c>
      <c r="M435" s="5">
        <f t="shared" si="31"/>
        <v>-2.1718468044465127E-3</v>
      </c>
      <c r="N435" s="5">
        <f t="shared" si="35"/>
        <v>5.919814405207063E-3</v>
      </c>
      <c r="O435" s="5">
        <f t="shared" si="33"/>
        <v>1.6486245171158275E-2</v>
      </c>
      <c r="P435" s="79">
        <f t="shared" si="34"/>
        <v>1.4917789395369245E-2</v>
      </c>
    </row>
    <row r="436" spans="1:16">
      <c r="A436" s="73">
        <v>45292</v>
      </c>
      <c r="B436" s="45">
        <v>1641.65</v>
      </c>
      <c r="C436" s="105">
        <v>3002.1</v>
      </c>
      <c r="D436" s="5">
        <v>198.15</v>
      </c>
      <c r="E436" s="5">
        <v>557.45000000000005</v>
      </c>
      <c r="F436" s="45">
        <v>2289.75</v>
      </c>
      <c r="G436" s="5">
        <v>21741.9</v>
      </c>
      <c r="H436" s="5">
        <f t="shared" si="32"/>
        <v>-5.9040813854910985E-3</v>
      </c>
      <c r="I436" s="5">
        <f t="shared" si="32"/>
        <v>-1.7299792140624205E-2</v>
      </c>
      <c r="J436" s="5">
        <f t="shared" si="32"/>
        <v>2.3766468612761528E-2</v>
      </c>
      <c r="K436" s="5">
        <f t="shared" si="31"/>
        <v>4.4867193108399136E-4</v>
      </c>
      <c r="L436" s="5">
        <f t="shared" si="31"/>
        <v>3.8800473497303295E-3</v>
      </c>
      <c r="M436" s="5">
        <f t="shared" si="31"/>
        <v>4.8317181589773318E-4</v>
      </c>
      <c r="N436" s="5">
        <f t="shared" si="35"/>
        <v>-3.578457114190828E-4</v>
      </c>
      <c r="O436" s="5">
        <f t="shared" si="33"/>
        <v>-2.8593928396295357E-3</v>
      </c>
      <c r="P436" s="79">
        <f t="shared" si="34"/>
        <v>-3.3054895244907802E-3</v>
      </c>
    </row>
    <row r="437" spans="1:16">
      <c r="A437" s="73">
        <v>45293</v>
      </c>
      <c r="B437" s="45">
        <v>1596.95</v>
      </c>
      <c r="C437" s="105">
        <v>2995.2</v>
      </c>
      <c r="D437" s="5">
        <v>202</v>
      </c>
      <c r="E437" s="5">
        <v>556.85</v>
      </c>
      <c r="F437" s="45">
        <v>2246.9499999999998</v>
      </c>
      <c r="G437" s="5">
        <v>21665.8</v>
      </c>
      <c r="H437" s="5">
        <f t="shared" si="32"/>
        <v>-2.7228702829470375E-2</v>
      </c>
      <c r="I437" s="5">
        <f t="shared" si="32"/>
        <v>-2.2983911262116821E-3</v>
      </c>
      <c r="J437" s="5">
        <f t="shared" si="32"/>
        <v>1.9429724955841506E-2</v>
      </c>
      <c r="K437" s="5">
        <f t="shared" si="31"/>
        <v>-1.0763297156696076E-3</v>
      </c>
      <c r="L437" s="5">
        <f t="shared" si="31"/>
        <v>-1.8691996942897776E-2</v>
      </c>
      <c r="M437" s="5">
        <f t="shared" si="31"/>
        <v>-3.5001540803702609E-3</v>
      </c>
      <c r="N437" s="5">
        <f t="shared" si="35"/>
        <v>-1.6759334799484042E-2</v>
      </c>
      <c r="O437" s="5">
        <f t="shared" si="33"/>
        <v>-1.0714053870368967E-2</v>
      </c>
      <c r="P437" s="79">
        <f t="shared" si="34"/>
        <v>-1.0434089967580116E-2</v>
      </c>
    </row>
    <row r="438" spans="1:16">
      <c r="A438" s="73">
        <v>45294</v>
      </c>
      <c r="B438" s="45">
        <v>1595.2</v>
      </c>
      <c r="C438" s="105">
        <v>3058.35</v>
      </c>
      <c r="D438" s="5">
        <v>194.4</v>
      </c>
      <c r="E438" s="5">
        <v>551.1</v>
      </c>
      <c r="F438" s="45">
        <v>2282.75</v>
      </c>
      <c r="G438" s="5">
        <v>21517.35</v>
      </c>
      <c r="H438" s="5">
        <f t="shared" si="32"/>
        <v>-1.0958389429850653E-3</v>
      </c>
      <c r="I438" s="5">
        <f t="shared" si="32"/>
        <v>2.1083733974359007E-2</v>
      </c>
      <c r="J438" s="5">
        <f t="shared" si="32"/>
        <v>-3.7623762376237595E-2</v>
      </c>
      <c r="K438" s="5">
        <f t="shared" si="31"/>
        <v>-1.0325940558498697E-2</v>
      </c>
      <c r="L438" s="5">
        <f t="shared" si="31"/>
        <v>1.5932708783017061E-2</v>
      </c>
      <c r="M438" s="5">
        <f t="shared" si="31"/>
        <v>-6.8518125340398571E-3</v>
      </c>
      <c r="N438" s="5">
        <f t="shared" si="35"/>
        <v>6.1206504883913387E-3</v>
      </c>
      <c r="O438" s="5">
        <f t="shared" si="33"/>
        <v>-4.1114872299462223E-3</v>
      </c>
      <c r="P438" s="79">
        <f t="shared" si="34"/>
        <v>-3.3981675042989755E-3</v>
      </c>
    </row>
    <row r="439" spans="1:16">
      <c r="A439" s="73">
        <v>45295</v>
      </c>
      <c r="B439" s="45">
        <v>1608</v>
      </c>
      <c r="C439" s="105">
        <v>3067.85</v>
      </c>
      <c r="D439" s="5">
        <v>195.05</v>
      </c>
      <c r="E439" s="5">
        <v>566.25</v>
      </c>
      <c r="F439" s="45">
        <v>2256.35</v>
      </c>
      <c r="G439" s="5">
        <v>21658.6</v>
      </c>
      <c r="H439" s="5">
        <f t="shared" si="32"/>
        <v>8.0240722166499204E-3</v>
      </c>
      <c r="I439" s="5">
        <f t="shared" si="32"/>
        <v>3.1062501021792799E-3</v>
      </c>
      <c r="J439" s="5">
        <f t="shared" si="32"/>
        <v>3.3436213991769837E-3</v>
      </c>
      <c r="K439" s="5">
        <f t="shared" si="31"/>
        <v>2.7490473598257986E-2</v>
      </c>
      <c r="L439" s="5">
        <f t="shared" si="31"/>
        <v>-1.1564998357244591E-2</v>
      </c>
      <c r="M439" s="5">
        <f t="shared" si="31"/>
        <v>6.5644700671783473E-3</v>
      </c>
      <c r="N439" s="5">
        <f t="shared" si="35"/>
        <v>1.0113846314954746E-3</v>
      </c>
      <c r="O439" s="5">
        <f t="shared" si="33"/>
        <v>1.6441973823072088E-2</v>
      </c>
      <c r="P439" s="79">
        <f t="shared" si="34"/>
        <v>1.4468731537972568E-2</v>
      </c>
    </row>
    <row r="440" spans="1:16">
      <c r="A440" s="73">
        <v>45296</v>
      </c>
      <c r="B440" s="45">
        <v>1621.2</v>
      </c>
      <c r="C440" s="105">
        <v>3065.55</v>
      </c>
      <c r="D440" s="5">
        <v>195.8</v>
      </c>
      <c r="E440" s="5">
        <v>569.04999999999995</v>
      </c>
      <c r="F440" s="45">
        <v>2261.35</v>
      </c>
      <c r="G440" s="5">
        <v>21710.799999999999</v>
      </c>
      <c r="H440" s="5">
        <f t="shared" si="32"/>
        <v>8.2089552238806245E-3</v>
      </c>
      <c r="I440" s="5">
        <f t="shared" si="32"/>
        <v>-7.4971070945441503E-4</v>
      </c>
      <c r="J440" s="5">
        <f t="shared" si="32"/>
        <v>3.8451679056652139E-3</v>
      </c>
      <c r="K440" s="5">
        <f t="shared" si="31"/>
        <v>4.9448123620308244E-3</v>
      </c>
      <c r="L440" s="5">
        <f t="shared" si="31"/>
        <v>2.215968267334412E-3</v>
      </c>
      <c r="M440" s="5">
        <f t="shared" si="31"/>
        <v>2.4101280784538581E-3</v>
      </c>
      <c r="N440" s="5">
        <f t="shared" si="35"/>
        <v>4.2404691420051665E-3</v>
      </c>
      <c r="O440" s="5">
        <f t="shared" si="33"/>
        <v>5.5272017072849041E-3</v>
      </c>
      <c r="P440" s="79">
        <f t="shared" si="34"/>
        <v>5.2823171212710834E-3</v>
      </c>
    </row>
    <row r="441" spans="1:16">
      <c r="A441" s="73">
        <v>45299</v>
      </c>
      <c r="B441" s="45">
        <v>1588.1</v>
      </c>
      <c r="C441" s="105">
        <v>3044.55</v>
      </c>
      <c r="D441" s="5">
        <v>195.15</v>
      </c>
      <c r="E441" s="5">
        <v>553.25</v>
      </c>
      <c r="F441" s="45">
        <v>2219.6</v>
      </c>
      <c r="G441" s="5">
        <v>21513</v>
      </c>
      <c r="H441" s="5">
        <f t="shared" si="32"/>
        <v>-2.04169750801876E-2</v>
      </c>
      <c r="I441" s="5">
        <f t="shared" si="32"/>
        <v>-6.8503204971375438E-3</v>
      </c>
      <c r="J441" s="5">
        <f t="shared" si="32"/>
        <v>-3.3197139938713261E-3</v>
      </c>
      <c r="K441" s="5">
        <f t="shared" si="31"/>
        <v>-2.7765574202618323E-2</v>
      </c>
      <c r="L441" s="5">
        <f t="shared" si="31"/>
        <v>-1.8462422888982245E-2</v>
      </c>
      <c r="M441" s="5">
        <f t="shared" si="31"/>
        <v>-9.1106730290914789E-3</v>
      </c>
      <c r="N441" s="5">
        <f t="shared" si="35"/>
        <v>-1.9169729656110891E-2</v>
      </c>
      <c r="O441" s="5">
        <f t="shared" si="33"/>
        <v>-2.2191320167437186E-2</v>
      </c>
      <c r="P441" s="79">
        <f t="shared" si="34"/>
        <v>-2.0225174259960774E-2</v>
      </c>
    </row>
    <row r="442" spans="1:16">
      <c r="A442" s="73">
        <v>45300</v>
      </c>
      <c r="B442" s="45">
        <v>1569.2</v>
      </c>
      <c r="C442" s="105">
        <v>3115.45</v>
      </c>
      <c r="D442" s="5">
        <v>195.6</v>
      </c>
      <c r="E442" s="5">
        <v>547.85</v>
      </c>
      <c r="F442" s="45">
        <v>2230.4</v>
      </c>
      <c r="G442" s="5">
        <v>21544.85</v>
      </c>
      <c r="H442" s="5">
        <f t="shared" si="32"/>
        <v>-1.1901013790063513E-2</v>
      </c>
      <c r="I442" s="5">
        <f t="shared" si="32"/>
        <v>2.3287513754085047E-2</v>
      </c>
      <c r="J442" s="5">
        <f t="shared" si="32"/>
        <v>2.3059185242120862E-3</v>
      </c>
      <c r="K442" s="5">
        <f t="shared" si="31"/>
        <v>-9.7605061003162713E-3</v>
      </c>
      <c r="L442" s="5">
        <f t="shared" si="31"/>
        <v>4.8657415750586516E-3</v>
      </c>
      <c r="M442" s="5">
        <f t="shared" si="31"/>
        <v>1.4805001626922579E-3</v>
      </c>
      <c r="N442" s="5">
        <f t="shared" si="35"/>
        <v>-1.0505564360446407E-3</v>
      </c>
      <c r="O442" s="5">
        <f t="shared" si="33"/>
        <v>-6.782699923113168E-3</v>
      </c>
      <c r="P442" s="79">
        <f t="shared" si="34"/>
        <v>-4.8063512385490845E-3</v>
      </c>
    </row>
    <row r="443" spans="1:16">
      <c r="A443" s="73">
        <v>45301</v>
      </c>
      <c r="B443" s="45">
        <v>1565.25</v>
      </c>
      <c r="C443" s="105">
        <v>3173.6</v>
      </c>
      <c r="D443" s="5">
        <v>199.65</v>
      </c>
      <c r="E443" s="5">
        <v>547.35</v>
      </c>
      <c r="F443" s="45">
        <v>2299.6</v>
      </c>
      <c r="G443" s="5">
        <v>21618.7</v>
      </c>
      <c r="H443" s="5">
        <f t="shared" si="32"/>
        <v>-2.5172062197298273E-3</v>
      </c>
      <c r="I443" s="5">
        <f t="shared" si="32"/>
        <v>1.866504036335043E-2</v>
      </c>
      <c r="J443" s="5">
        <f t="shared" si="32"/>
        <v>2.0705521472392695E-2</v>
      </c>
      <c r="K443" s="5">
        <f t="shared" si="31"/>
        <v>-9.1265857442730672E-4</v>
      </c>
      <c r="L443" s="5">
        <f t="shared" si="31"/>
        <v>3.102582496413191E-2</v>
      </c>
      <c r="M443" s="5">
        <f t="shared" si="31"/>
        <v>3.4277333098166004E-3</v>
      </c>
      <c r="N443" s="5">
        <f t="shared" si="35"/>
        <v>1.5510883911394477E-2</v>
      </c>
      <c r="O443" s="5">
        <f t="shared" si="33"/>
        <v>1.644395339408785E-3</v>
      </c>
      <c r="P443" s="79">
        <f t="shared" si="34"/>
        <v>2.9234431844258513E-3</v>
      </c>
    </row>
    <row r="444" spans="1:16">
      <c r="A444" s="73">
        <v>45302</v>
      </c>
      <c r="B444" s="45">
        <v>1576.4</v>
      </c>
      <c r="C444" s="105">
        <v>3175.8</v>
      </c>
      <c r="D444" s="5">
        <v>197.75</v>
      </c>
      <c r="E444" s="5">
        <v>552</v>
      </c>
      <c r="F444" s="45">
        <v>2294.85</v>
      </c>
      <c r="G444" s="5">
        <v>21647.200000000001</v>
      </c>
      <c r="H444" s="5">
        <f t="shared" si="32"/>
        <v>7.1234627056381353E-3</v>
      </c>
      <c r="I444" s="5">
        <f t="shared" si="32"/>
        <v>6.9321905722216821E-4</v>
      </c>
      <c r="J444" s="5">
        <f t="shared" si="32"/>
        <v>-9.5166541447533459E-3</v>
      </c>
      <c r="K444" s="5">
        <f t="shared" si="31"/>
        <v>8.4954782132090571E-3</v>
      </c>
      <c r="L444" s="5">
        <f t="shared" si="31"/>
        <v>-2.0655766220212214E-3</v>
      </c>
      <c r="M444" s="5">
        <f t="shared" si="31"/>
        <v>1.3183031357112129E-3</v>
      </c>
      <c r="N444" s="5">
        <f t="shared" si="35"/>
        <v>2.1170976499271655E-3</v>
      </c>
      <c r="O444" s="5">
        <f t="shared" si="33"/>
        <v>6.520595448636036E-3</v>
      </c>
      <c r="P444" s="79">
        <f t="shared" si="34"/>
        <v>5.6395833951704494E-3</v>
      </c>
    </row>
    <row r="445" spans="1:16">
      <c r="A445" s="73">
        <v>45303</v>
      </c>
      <c r="B445" s="45">
        <v>1576</v>
      </c>
      <c r="C445" s="105">
        <v>3212.15</v>
      </c>
      <c r="D445" s="5">
        <v>196.45</v>
      </c>
      <c r="E445" s="5">
        <v>549.70000000000005</v>
      </c>
      <c r="F445" s="45">
        <v>2292.4499999999998</v>
      </c>
      <c r="G445" s="5">
        <v>21894.55</v>
      </c>
      <c r="H445" s="5">
        <f t="shared" si="32"/>
        <v>-2.537427048972919E-4</v>
      </c>
      <c r="I445" s="5">
        <f t="shared" si="32"/>
        <v>1.144593488254925E-2</v>
      </c>
      <c r="J445" s="5">
        <f t="shared" si="32"/>
        <v>-6.5739570164349498E-3</v>
      </c>
      <c r="K445" s="5">
        <f t="shared" si="31"/>
        <v>-4.1666666666665842E-3</v>
      </c>
      <c r="L445" s="5">
        <f t="shared" si="31"/>
        <v>-1.0458199882345648E-3</v>
      </c>
      <c r="M445" s="5">
        <f t="shared" si="31"/>
        <v>1.1426420045086596E-2</v>
      </c>
      <c r="N445" s="5">
        <f t="shared" si="35"/>
        <v>-5.78980978128404E-4</v>
      </c>
      <c r="O445" s="5">
        <f t="shared" si="33"/>
        <v>-1.2423835214955162E-3</v>
      </c>
      <c r="P445" s="79">
        <f t="shared" si="34"/>
        <v>-4.041851142251525E-4</v>
      </c>
    </row>
    <row r="446" spans="1:16">
      <c r="A446" s="73">
        <v>45306</v>
      </c>
      <c r="B446" s="45">
        <v>1581.05</v>
      </c>
      <c r="C446" s="105">
        <v>3193.3</v>
      </c>
      <c r="D446" s="5">
        <v>201.25</v>
      </c>
      <c r="E446" s="5">
        <v>554.15</v>
      </c>
      <c r="F446" s="45">
        <v>2347.4</v>
      </c>
      <c r="G446" s="5">
        <v>22097.45</v>
      </c>
      <c r="H446" s="5">
        <f t="shared" si="32"/>
        <v>3.2043147208121541E-3</v>
      </c>
      <c r="I446" s="5">
        <f t="shared" si="32"/>
        <v>-5.8683436327693003E-3</v>
      </c>
      <c r="J446" s="5">
        <f t="shared" si="32"/>
        <v>2.443369814202093E-2</v>
      </c>
      <c r="K446" s="5">
        <f t="shared" si="31"/>
        <v>8.0953247225758265E-3</v>
      </c>
      <c r="L446" s="5">
        <f t="shared" si="31"/>
        <v>2.3969988440315067E-2</v>
      </c>
      <c r="M446" s="5">
        <f t="shared" si="31"/>
        <v>9.2671463903118111E-3</v>
      </c>
      <c r="N446" s="5">
        <f t="shared" si="35"/>
        <v>1.3652934322827083E-2</v>
      </c>
      <c r="O446" s="5">
        <f t="shared" si="33"/>
        <v>5.7712058963393991E-3</v>
      </c>
      <c r="P446" s="79">
        <f t="shared" si="34"/>
        <v>5.1659182997285912E-3</v>
      </c>
    </row>
    <row r="447" spans="1:16">
      <c r="A447" s="73">
        <v>45307</v>
      </c>
      <c r="B447" s="45">
        <v>1578.5</v>
      </c>
      <c r="C447" s="105">
        <v>3166.1</v>
      </c>
      <c r="D447" s="5">
        <v>203</v>
      </c>
      <c r="E447" s="5">
        <v>558.79999999999995</v>
      </c>
      <c r="F447" s="45">
        <v>2326</v>
      </c>
      <c r="G447" s="5">
        <v>22032.3</v>
      </c>
      <c r="H447" s="5">
        <f t="shared" si="32"/>
        <v>-1.6128522184623855E-3</v>
      </c>
      <c r="I447" s="5">
        <f t="shared" si="32"/>
        <v>-8.5178342153885544E-3</v>
      </c>
      <c r="J447" s="5">
        <f t="shared" si="32"/>
        <v>8.6956521739130436E-3</v>
      </c>
      <c r="K447" s="5">
        <f t="shared" si="32"/>
        <v>8.3912298114228595E-3</v>
      </c>
      <c r="L447" s="5">
        <f t="shared" si="32"/>
        <v>-9.1164692851666059E-3</v>
      </c>
      <c r="M447" s="5">
        <f t="shared" si="32"/>
        <v>-2.9483039898269463E-3</v>
      </c>
      <c r="N447" s="5">
        <f t="shared" si="35"/>
        <v>-3.9491205594637067E-3</v>
      </c>
      <c r="O447" s="5">
        <f t="shared" si="33"/>
        <v>2.7080544929603133E-3</v>
      </c>
      <c r="P447" s="79">
        <f t="shared" si="34"/>
        <v>1.8119345410388041E-3</v>
      </c>
    </row>
    <row r="448" spans="1:16">
      <c r="A448" s="73">
        <v>45308</v>
      </c>
      <c r="B448" s="45">
        <v>1543.4</v>
      </c>
      <c r="C448" s="105">
        <v>3147.85</v>
      </c>
      <c r="D448" s="5">
        <v>207.1</v>
      </c>
      <c r="E448" s="5">
        <v>549.45000000000005</v>
      </c>
      <c r="F448" s="45">
        <v>2389.1</v>
      </c>
      <c r="G448" s="5">
        <v>21571.95</v>
      </c>
      <c r="H448" s="5">
        <f t="shared" ref="H448:M490" si="36">(B448 - B447) / B447</f>
        <v>-2.2236300285080716E-2</v>
      </c>
      <c r="I448" s="5">
        <f t="shared" si="36"/>
        <v>-5.7641893812576993E-3</v>
      </c>
      <c r="J448" s="5">
        <f t="shared" si="36"/>
        <v>2.019704433497534E-2</v>
      </c>
      <c r="K448" s="5">
        <f t="shared" si="36"/>
        <v>-1.6732283464566768E-2</v>
      </c>
      <c r="L448" s="5">
        <f t="shared" si="36"/>
        <v>2.7128116938950949E-2</v>
      </c>
      <c r="M448" s="5">
        <f t="shared" si="36"/>
        <v>-2.0894323334377189E-2</v>
      </c>
      <c r="N448" s="5">
        <f t="shared" si="35"/>
        <v>3.9996704025152593E-3</v>
      </c>
      <c r="O448" s="5">
        <f t="shared" si="33"/>
        <v>-1.5744038245585089E-2</v>
      </c>
      <c r="P448" s="79">
        <f t="shared" si="34"/>
        <v>-1.4722988833814872E-2</v>
      </c>
    </row>
    <row r="449" spans="1:16">
      <c r="A449" s="73">
        <v>45309</v>
      </c>
      <c r="B449" s="45">
        <v>1516.7</v>
      </c>
      <c r="C449" s="105">
        <v>3151.75</v>
      </c>
      <c r="D449" s="5">
        <v>212.15</v>
      </c>
      <c r="E449" s="5">
        <v>539.45000000000005</v>
      </c>
      <c r="F449" s="45">
        <v>2319.5500000000002</v>
      </c>
      <c r="G449" s="5">
        <v>21462.25</v>
      </c>
      <c r="H449" s="5">
        <f t="shared" si="36"/>
        <v>-1.7299468705455515E-2</v>
      </c>
      <c r="I449" s="5">
        <f t="shared" si="36"/>
        <v>1.2389408643995398E-3</v>
      </c>
      <c r="J449" s="5">
        <f t="shared" si="36"/>
        <v>2.4384355383872579E-2</v>
      </c>
      <c r="K449" s="5">
        <f t="shared" si="36"/>
        <v>-1.8200018200018198E-2</v>
      </c>
      <c r="L449" s="5">
        <f t="shared" si="36"/>
        <v>-2.9111380854715051E-2</v>
      </c>
      <c r="M449" s="5">
        <f t="shared" si="36"/>
        <v>-5.0853075405793511E-3</v>
      </c>
      <c r="N449" s="5">
        <f t="shared" si="35"/>
        <v>-2.0681447475347694E-2</v>
      </c>
      <c r="O449" s="5">
        <f t="shared" si="33"/>
        <v>-1.5106873259443271E-2</v>
      </c>
      <c r="P449" s="79">
        <f t="shared" si="34"/>
        <v>-1.2491890010344744E-2</v>
      </c>
    </row>
    <row r="450" spans="1:16">
      <c r="A450" s="73">
        <v>45310</v>
      </c>
      <c r="B450" s="45">
        <v>1515.8</v>
      </c>
      <c r="C450" s="105">
        <v>3210.05</v>
      </c>
      <c r="D450" s="5">
        <v>222.25</v>
      </c>
      <c r="E450" s="5">
        <v>542.29999999999995</v>
      </c>
      <c r="F450" s="45">
        <v>2312</v>
      </c>
      <c r="G450" s="5">
        <v>21622.400000000001</v>
      </c>
      <c r="H450" s="5">
        <f t="shared" si="36"/>
        <v>-5.9339355179013052E-4</v>
      </c>
      <c r="I450" s="5">
        <f t="shared" si="36"/>
        <v>1.8497660030142041E-2</v>
      </c>
      <c r="J450" s="5">
        <f t="shared" si="36"/>
        <v>4.7607824652368576E-2</v>
      </c>
      <c r="K450" s="5">
        <f t="shared" si="36"/>
        <v>5.283158772824004E-3</v>
      </c>
      <c r="L450" s="5">
        <f t="shared" si="36"/>
        <v>-3.2549416912764032E-3</v>
      </c>
      <c r="M450" s="5">
        <f t="shared" si="36"/>
        <v>7.4619389858939043E-3</v>
      </c>
      <c r="N450" s="5">
        <f t="shared" si="35"/>
        <v>1.4797100988877526E-3</v>
      </c>
      <c r="O450" s="5">
        <f t="shared" si="33"/>
        <v>5.3238285264732739E-3</v>
      </c>
      <c r="P450" s="79">
        <f t="shared" si="34"/>
        <v>7.4019410161487434E-3</v>
      </c>
    </row>
    <row r="451" spans="1:16">
      <c r="A451" s="73">
        <v>45311</v>
      </c>
      <c r="B451" s="45">
        <v>1507.15</v>
      </c>
      <c r="C451" s="105">
        <v>3192.6</v>
      </c>
      <c r="D451" s="5">
        <v>219.75</v>
      </c>
      <c r="E451" s="5">
        <v>538.4</v>
      </c>
      <c r="F451" s="45">
        <v>2365</v>
      </c>
      <c r="G451" s="5">
        <v>21571.8</v>
      </c>
      <c r="H451" s="5">
        <f t="shared" si="36"/>
        <v>-5.7065575933499561E-3</v>
      </c>
      <c r="I451" s="5">
        <f t="shared" si="36"/>
        <v>-5.4360523979378114E-3</v>
      </c>
      <c r="J451" s="5">
        <f t="shared" si="36"/>
        <v>-1.1248593925759279E-2</v>
      </c>
      <c r="K451" s="5">
        <f t="shared" si="36"/>
        <v>-7.1915913700903149E-3</v>
      </c>
      <c r="L451" s="5">
        <f t="shared" si="36"/>
        <v>2.2923875432525952E-2</v>
      </c>
      <c r="M451" s="5">
        <f t="shared" si="36"/>
        <v>-2.3401657540329558E-3</v>
      </c>
      <c r="N451" s="5">
        <f t="shared" si="35"/>
        <v>7.4619060763063223E-3</v>
      </c>
      <c r="O451" s="5">
        <f t="shared" si="33"/>
        <v>-5.9152573605632079E-3</v>
      </c>
      <c r="P451" s="79">
        <f t="shared" si="34"/>
        <v>-6.3548388980484323E-3</v>
      </c>
    </row>
    <row r="452" spans="1:16">
      <c r="A452" s="73">
        <v>45314</v>
      </c>
      <c r="B452" s="45">
        <v>1464.95</v>
      </c>
      <c r="C452" s="105">
        <v>3164.15</v>
      </c>
      <c r="D452" s="5">
        <v>202.95</v>
      </c>
      <c r="E452" s="5">
        <v>524.79999999999995</v>
      </c>
      <c r="F452" s="45">
        <v>2277.15</v>
      </c>
      <c r="G452" s="5">
        <v>21238.799999999999</v>
      </c>
      <c r="H452" s="5">
        <f t="shared" si="36"/>
        <v>-2.7999867299207143E-2</v>
      </c>
      <c r="I452" s="5">
        <f t="shared" si="36"/>
        <v>-8.9112322245191444E-3</v>
      </c>
      <c r="J452" s="5">
        <f t="shared" si="36"/>
        <v>-7.6450511945392541E-2</v>
      </c>
      <c r="K452" s="5">
        <f t="shared" si="36"/>
        <v>-2.5260029717682063E-2</v>
      </c>
      <c r="L452" s="5">
        <f t="shared" si="36"/>
        <v>-3.7145877378435478E-2</v>
      </c>
      <c r="M452" s="5">
        <f t="shared" si="36"/>
        <v>-1.5436820293160515E-2</v>
      </c>
      <c r="N452" s="5">
        <f t="shared" si="35"/>
        <v>-3.2006116846943725E-2</v>
      </c>
      <c r="O452" s="5">
        <f t="shared" ref="O452:O515" si="37">$V$86*H452 +$V$87*I452 + $V$88*J452 + $V$89*K452+ $V$90*L452</f>
        <v>-2.6409932353513597E-2</v>
      </c>
      <c r="P452" s="79">
        <f t="shared" ref="P452:P515" si="38">$V$104*H452 +$V$105*I452 + $V$106*J452 + $V$107*K452+ $V$108*L452</f>
        <v>-2.6992009836743512E-2</v>
      </c>
    </row>
    <row r="453" spans="1:16">
      <c r="A453" s="73">
        <v>45315</v>
      </c>
      <c r="B453" s="45">
        <v>1466.45</v>
      </c>
      <c r="C453" s="105">
        <v>3222.75</v>
      </c>
      <c r="D453" s="5">
        <v>209.9</v>
      </c>
      <c r="E453" s="5">
        <v>536.6</v>
      </c>
      <c r="F453" s="45">
        <v>2326.6</v>
      </c>
      <c r="G453" s="5">
        <v>21453.95</v>
      </c>
      <c r="H453" s="5">
        <f t="shared" si="36"/>
        <v>1.0239257312536264E-3</v>
      </c>
      <c r="I453" s="5">
        <f t="shared" si="36"/>
        <v>1.8519981669642686E-2</v>
      </c>
      <c r="J453" s="5">
        <f t="shared" si="36"/>
        <v>3.4244887903424573E-2</v>
      </c>
      <c r="K453" s="5">
        <f t="shared" si="36"/>
        <v>2.2484756097561107E-2</v>
      </c>
      <c r="L453" s="5">
        <f t="shared" si="36"/>
        <v>2.17157411676876E-2</v>
      </c>
      <c r="M453" s="5">
        <f t="shared" si="36"/>
        <v>1.0130045011959313E-2</v>
      </c>
      <c r="N453" s="5">
        <f t="shared" ref="N453:N516" si="39">((H453 *0.3 ) + (I453 * 0.064462757 ) + (J453 * 0.026806099 ) + (K453 * 0.137093997) + (L453 * 0.471637147))</f>
        <v>1.5743473947077223E-2</v>
      </c>
      <c r="O453" s="5">
        <f t="shared" si="37"/>
        <v>1.4463022804859829E-2</v>
      </c>
      <c r="P453" s="79">
        <f t="shared" si="38"/>
        <v>1.4165747387339854E-2</v>
      </c>
    </row>
    <row r="454" spans="1:16">
      <c r="A454" s="73">
        <v>45316</v>
      </c>
      <c r="B454" s="45">
        <v>1449.3</v>
      </c>
      <c r="C454" s="105">
        <v>3231.8</v>
      </c>
      <c r="D454" s="5">
        <v>219.9</v>
      </c>
      <c r="E454" s="5">
        <v>531.6</v>
      </c>
      <c r="F454" s="45">
        <v>2343.5</v>
      </c>
      <c r="G454" s="5">
        <v>21352.6</v>
      </c>
      <c r="H454" s="5">
        <f t="shared" si="36"/>
        <v>-1.1694909475263453E-2</v>
      </c>
      <c r="I454" s="5">
        <f t="shared" si="36"/>
        <v>2.8081607322939049E-3</v>
      </c>
      <c r="J454" s="5">
        <f t="shared" si="36"/>
        <v>4.7641734159123393E-2</v>
      </c>
      <c r="K454" s="5">
        <f t="shared" si="36"/>
        <v>-9.3179276928811033E-3</v>
      </c>
      <c r="L454" s="5">
        <f t="shared" si="36"/>
        <v>7.2638184475200254E-3</v>
      </c>
      <c r="M454" s="5">
        <f t="shared" si="36"/>
        <v>-4.7240717909756563E-3</v>
      </c>
      <c r="N454" s="5">
        <f t="shared" si="39"/>
        <v>9.8092640465166723E-5</v>
      </c>
      <c r="O454" s="5">
        <f t="shared" si="37"/>
        <v>-7.1191259667777815E-3</v>
      </c>
      <c r="P454" s="79">
        <f t="shared" si="38"/>
        <v>-4.9340152804893322E-3</v>
      </c>
    </row>
    <row r="455" spans="1:16">
      <c r="A455" s="73">
        <v>45320</v>
      </c>
      <c r="B455" s="45">
        <v>1458.25</v>
      </c>
      <c r="C455" s="105">
        <v>3246.4</v>
      </c>
      <c r="D455" s="5">
        <v>221.3</v>
      </c>
      <c r="E455" s="5">
        <v>534.25</v>
      </c>
      <c r="F455" s="45">
        <v>2319.1999999999998</v>
      </c>
      <c r="G455" s="5">
        <v>21737.599999999999</v>
      </c>
      <c r="H455" s="5">
        <f t="shared" si="36"/>
        <v>6.1753950182847211E-3</v>
      </c>
      <c r="I455" s="5">
        <f t="shared" si="36"/>
        <v>4.5176062875177635E-3</v>
      </c>
      <c r="J455" s="5">
        <f t="shared" si="36"/>
        <v>6.3665302410186708E-3</v>
      </c>
      <c r="K455" s="5">
        <f t="shared" si="36"/>
        <v>4.9849510910458562E-3</v>
      </c>
      <c r="L455" s="5">
        <f t="shared" si="36"/>
        <v>-1.0369106037977463E-2</v>
      </c>
      <c r="M455" s="5">
        <f t="shared" si="36"/>
        <v>1.8030591122392591E-2</v>
      </c>
      <c r="N455" s="5">
        <f t="shared" si="39"/>
        <v>-1.8925510170245898E-3</v>
      </c>
      <c r="O455" s="5">
        <f t="shared" si="37"/>
        <v>5.0775049492447219E-3</v>
      </c>
      <c r="P455" s="79">
        <f t="shared" si="38"/>
        <v>5.3454427879738543E-3</v>
      </c>
    </row>
    <row r="456" spans="1:16">
      <c r="A456" s="73">
        <v>45321</v>
      </c>
      <c r="B456" s="45">
        <v>1460.35</v>
      </c>
      <c r="C456" s="105">
        <v>3054.95</v>
      </c>
      <c r="D456" s="5">
        <v>227.95</v>
      </c>
      <c r="E456" s="5">
        <v>535.95000000000005</v>
      </c>
      <c r="F456" s="45">
        <v>2286.4499999999998</v>
      </c>
      <c r="G456" s="5">
        <v>21522.1</v>
      </c>
      <c r="H456" s="5">
        <f t="shared" si="36"/>
        <v>1.4400822904165329E-3</v>
      </c>
      <c r="I456" s="5">
        <f t="shared" si="36"/>
        <v>-5.8973016264169627E-2</v>
      </c>
      <c r="J456" s="5">
        <f t="shared" si="36"/>
        <v>3.0049706281066322E-2</v>
      </c>
      <c r="K456" s="5">
        <f t="shared" si="36"/>
        <v>3.1820308844174926E-3</v>
      </c>
      <c r="L456" s="5">
        <f t="shared" si="36"/>
        <v>-1.4121248706450502E-2</v>
      </c>
      <c r="M456" s="5">
        <f t="shared" si="36"/>
        <v>-9.9136979243338742E-3</v>
      </c>
      <c r="N456" s="5">
        <f t="shared" si="39"/>
        <v>-8.787891247843585E-3</v>
      </c>
      <c r="O456" s="5">
        <f t="shared" si="37"/>
        <v>-2.9645521400909745E-3</v>
      </c>
      <c r="P456" s="79">
        <f t="shared" si="38"/>
        <v>-5.3895547713266392E-3</v>
      </c>
    </row>
    <row r="457" spans="1:16">
      <c r="A457" s="73">
        <v>45322</v>
      </c>
      <c r="B457" s="45">
        <v>1488.45</v>
      </c>
      <c r="C457" s="105">
        <v>3086.95</v>
      </c>
      <c r="D457" s="5">
        <v>228.25</v>
      </c>
      <c r="E457" s="5">
        <v>539.6</v>
      </c>
      <c r="F457" s="45">
        <v>2290.9499999999998</v>
      </c>
      <c r="G457" s="5">
        <v>21725.7</v>
      </c>
      <c r="H457" s="5">
        <f t="shared" si="36"/>
        <v>1.9241962543226035E-2</v>
      </c>
      <c r="I457" s="5">
        <f t="shared" si="36"/>
        <v>1.0474803188268222E-2</v>
      </c>
      <c r="J457" s="5">
        <f t="shared" si="36"/>
        <v>1.3160780872998963E-3</v>
      </c>
      <c r="K457" s="5">
        <f t="shared" si="36"/>
        <v>6.8103367851478254E-3</v>
      </c>
      <c r="L457" s="5">
        <f t="shared" si="36"/>
        <v>1.9681165124975399E-3</v>
      </c>
      <c r="M457" s="5">
        <f t="shared" si="36"/>
        <v>9.460043397252229E-3</v>
      </c>
      <c r="N457" s="5">
        <f t="shared" si="39"/>
        <v>8.3449955227258357E-3</v>
      </c>
      <c r="O457" s="5">
        <f t="shared" si="37"/>
        <v>1.1504168223550902E-2</v>
      </c>
      <c r="P457" s="79">
        <f t="shared" si="38"/>
        <v>1.1872333555136982E-2</v>
      </c>
    </row>
    <row r="458" spans="1:16">
      <c r="A458" s="73">
        <v>45323</v>
      </c>
      <c r="B458" s="45">
        <v>1459.15</v>
      </c>
      <c r="C458" s="105">
        <v>3102.8</v>
      </c>
      <c r="D458" s="5">
        <v>227.5</v>
      </c>
      <c r="E458" s="5">
        <v>554.4</v>
      </c>
      <c r="F458" s="45">
        <v>2234.5500000000002</v>
      </c>
      <c r="G458" s="5">
        <v>21697.45</v>
      </c>
      <c r="H458" s="5">
        <f t="shared" si="36"/>
        <v>-1.9684907118143004E-2</v>
      </c>
      <c r="I458" s="5">
        <f t="shared" si="36"/>
        <v>5.1345178898266463E-3</v>
      </c>
      <c r="J458" s="5">
        <f t="shared" si="36"/>
        <v>-3.2858707557502738E-3</v>
      </c>
      <c r="K458" s="5">
        <f t="shared" si="36"/>
        <v>2.7427724240177823E-2</v>
      </c>
      <c r="L458" s="5">
        <f t="shared" si="36"/>
        <v>-2.4618608001047444E-2</v>
      </c>
      <c r="M458" s="5">
        <f t="shared" si="36"/>
        <v>-1.3003033273956651E-3</v>
      </c>
      <c r="N458" s="5">
        <f t="shared" si="39"/>
        <v>-1.3513442029204323E-2</v>
      </c>
      <c r="O458" s="5">
        <f t="shared" si="37"/>
        <v>5.8579523498149362E-3</v>
      </c>
      <c r="P458" s="79">
        <f t="shared" si="38"/>
        <v>3.3963994879429222E-3</v>
      </c>
    </row>
    <row r="459" spans="1:16">
      <c r="A459" s="73">
        <v>45324</v>
      </c>
      <c r="B459" s="45">
        <v>1452.4</v>
      </c>
      <c r="C459" s="105">
        <v>3126.05</v>
      </c>
      <c r="D459" s="5">
        <v>233.8</v>
      </c>
      <c r="E459" s="5">
        <v>544.65</v>
      </c>
      <c r="F459" s="45">
        <v>2205.6999999999998</v>
      </c>
      <c r="G459" s="5">
        <v>21853.8</v>
      </c>
      <c r="H459" s="5">
        <f t="shared" si="36"/>
        <v>-4.6259808792790324E-3</v>
      </c>
      <c r="I459" s="5">
        <f t="shared" si="36"/>
        <v>7.4932319195565294E-3</v>
      </c>
      <c r="J459" s="5">
        <f t="shared" si="36"/>
        <v>2.7692307692307742E-2</v>
      </c>
      <c r="K459" s="5">
        <f t="shared" si="36"/>
        <v>-1.7586580086580088E-2</v>
      </c>
      <c r="L459" s="5">
        <f t="shared" si="36"/>
        <v>-1.2910876910340052E-2</v>
      </c>
      <c r="M459" s="5">
        <f t="shared" si="36"/>
        <v>7.2059159025599107E-3</v>
      </c>
      <c r="N459" s="5">
        <f t="shared" si="39"/>
        <v>-8.6627008427610577E-3</v>
      </c>
      <c r="O459" s="5">
        <f t="shared" si="37"/>
        <v>-9.0698227508148391E-3</v>
      </c>
      <c r="P459" s="79">
        <f t="shared" si="38"/>
        <v>-6.0247606756251267E-3</v>
      </c>
    </row>
    <row r="460" spans="1:16">
      <c r="A460" s="73">
        <v>45327</v>
      </c>
      <c r="B460" s="45">
        <v>1431.9</v>
      </c>
      <c r="C460" s="105">
        <v>3027.15</v>
      </c>
      <c r="D460" s="5">
        <v>235.3</v>
      </c>
      <c r="E460" s="5">
        <v>533.65</v>
      </c>
      <c r="F460" s="45">
        <v>2097.8000000000002</v>
      </c>
      <c r="G460" s="5">
        <v>21771.7</v>
      </c>
      <c r="H460" s="5">
        <f t="shared" si="36"/>
        <v>-1.4114568989259156E-2</v>
      </c>
      <c r="I460" s="5">
        <f t="shared" si="36"/>
        <v>-3.1637369843732534E-2</v>
      </c>
      <c r="J460" s="5">
        <f t="shared" si="36"/>
        <v>6.4157399486740804E-3</v>
      </c>
      <c r="K460" s="5">
        <f t="shared" si="36"/>
        <v>-2.0196456439915543E-2</v>
      </c>
      <c r="L460" s="5">
        <f t="shared" si="36"/>
        <v>-4.8918710613410549E-2</v>
      </c>
      <c r="M460" s="5">
        <f t="shared" si="36"/>
        <v>-3.7567837172481923E-3</v>
      </c>
      <c r="N460" s="5">
        <f t="shared" si="39"/>
        <v>-3.1942515868122974E-2</v>
      </c>
      <c r="O460" s="5">
        <f t="shared" si="37"/>
        <v>-1.8928352541615092E-2</v>
      </c>
      <c r="P460" s="79">
        <f t="shared" si="38"/>
        <v>-1.8179788948349134E-2</v>
      </c>
    </row>
    <row r="461" spans="1:16">
      <c r="A461" s="73">
        <v>45328</v>
      </c>
      <c r="B461" s="45">
        <v>1442.35</v>
      </c>
      <c r="C461" s="105">
        <v>3035</v>
      </c>
      <c r="D461" s="5">
        <v>231.8</v>
      </c>
      <c r="E461" s="5">
        <v>532.70000000000005</v>
      </c>
      <c r="F461" s="45">
        <v>2152</v>
      </c>
      <c r="G461" s="5">
        <v>21929.4</v>
      </c>
      <c r="H461" s="5">
        <f t="shared" si="36"/>
        <v>7.2979956700885661E-3</v>
      </c>
      <c r="I461" s="5">
        <f t="shared" si="36"/>
        <v>2.593198222750742E-3</v>
      </c>
      <c r="J461" s="5">
        <f t="shared" si="36"/>
        <v>-1.4874628134296642E-2</v>
      </c>
      <c r="K461" s="5">
        <f t="shared" si="36"/>
        <v>-1.7801930103999472E-3</v>
      </c>
      <c r="L461" s="5">
        <f t="shared" si="36"/>
        <v>2.5836590714081328E-2</v>
      </c>
      <c r="M461" s="5">
        <f t="shared" si="36"/>
        <v>7.2433480160024582E-3</v>
      </c>
      <c r="N461" s="5">
        <f t="shared" si="39"/>
        <v>1.3899274810925261E-2</v>
      </c>
      <c r="O461" s="5">
        <f t="shared" si="37"/>
        <v>2.2527316357233425E-3</v>
      </c>
      <c r="P461" s="79">
        <f t="shared" si="38"/>
        <v>1.8732500256919001E-3</v>
      </c>
    </row>
    <row r="462" spans="1:16">
      <c r="A462" s="73">
        <v>45329</v>
      </c>
      <c r="B462" s="45">
        <v>1421.45</v>
      </c>
      <c r="C462" s="105">
        <v>3607.5</v>
      </c>
      <c r="D462" s="5">
        <v>231.55</v>
      </c>
      <c r="E462" s="5">
        <v>537.4</v>
      </c>
      <c r="F462" s="45">
        <v>2155.0500000000002</v>
      </c>
      <c r="G462" s="5">
        <v>21930.5</v>
      </c>
      <c r="H462" s="5">
        <f t="shared" si="36"/>
        <v>-1.4490241619579066E-2</v>
      </c>
      <c r="I462" s="5">
        <f t="shared" si="36"/>
        <v>0.1886326194398682</v>
      </c>
      <c r="J462" s="5">
        <f t="shared" si="36"/>
        <v>-1.0785159620362382E-3</v>
      </c>
      <c r="K462" s="5">
        <f t="shared" si="36"/>
        <v>8.8229772855264333E-3</v>
      </c>
      <c r="L462" s="5">
        <f t="shared" si="36"/>
        <v>1.4172862453532445E-3</v>
      </c>
      <c r="M462" s="5">
        <f t="shared" si="36"/>
        <v>5.016097111633445E-5</v>
      </c>
      <c r="N462" s="5">
        <f t="shared" si="39"/>
        <v>9.6618174804543305E-3</v>
      </c>
      <c r="O462" s="5">
        <f t="shared" si="37"/>
        <v>1.6679304223273905E-2</v>
      </c>
      <c r="P462" s="79">
        <f t="shared" si="38"/>
        <v>2.6074562410283188E-2</v>
      </c>
    </row>
    <row r="463" spans="1:16">
      <c r="A463" s="73">
        <v>45330</v>
      </c>
      <c r="B463" s="45">
        <v>1415.45</v>
      </c>
      <c r="C463" s="105">
        <v>3841.95</v>
      </c>
      <c r="D463" s="5">
        <v>230.8</v>
      </c>
      <c r="E463" s="5">
        <v>533.95000000000005</v>
      </c>
      <c r="F463" s="45">
        <v>2185.15</v>
      </c>
      <c r="G463" s="5">
        <v>21717.95</v>
      </c>
      <c r="H463" s="5">
        <f t="shared" si="36"/>
        <v>-4.2210418938407965E-3</v>
      </c>
      <c r="I463" s="5">
        <f t="shared" si="36"/>
        <v>6.4989604989604946E-2</v>
      </c>
      <c r="J463" s="5">
        <f t="shared" si="36"/>
        <v>-3.2390412437918376E-3</v>
      </c>
      <c r="K463" s="5">
        <f t="shared" si="36"/>
        <v>-6.4197990323779904E-3</v>
      </c>
      <c r="L463" s="5">
        <f t="shared" si="36"/>
        <v>1.3967193336581474E-2</v>
      </c>
      <c r="M463" s="5">
        <f t="shared" si="36"/>
        <v>-9.6919814869701679E-3</v>
      </c>
      <c r="N463" s="5">
        <f t="shared" si="39"/>
        <v>8.5436017931497504E-3</v>
      </c>
      <c r="O463" s="5">
        <f t="shared" si="37"/>
        <v>1.6635637214457045E-3</v>
      </c>
      <c r="P463" s="79">
        <f t="shared" si="38"/>
        <v>5.5212494975616661E-3</v>
      </c>
    </row>
    <row r="464" spans="1:16">
      <c r="A464" s="73">
        <v>45331</v>
      </c>
      <c r="B464" s="45">
        <v>1421.3</v>
      </c>
      <c r="C464" s="105">
        <v>3759.55</v>
      </c>
      <c r="D464" s="5">
        <v>227.55</v>
      </c>
      <c r="E464" s="5">
        <v>539.20000000000005</v>
      </c>
      <c r="F464" s="45">
        <v>2117.4499999999998</v>
      </c>
      <c r="G464" s="5">
        <v>21782.5</v>
      </c>
      <c r="H464" s="5">
        <f t="shared" si="36"/>
        <v>4.1329612490726688E-3</v>
      </c>
      <c r="I464" s="5">
        <f t="shared" si="36"/>
        <v>-2.144744205416511E-2</v>
      </c>
      <c r="J464" s="5">
        <f t="shared" si="36"/>
        <v>-1.4081455805892547E-2</v>
      </c>
      <c r="K464" s="5">
        <f t="shared" si="36"/>
        <v>9.8323813091113384E-3</v>
      </c>
      <c r="L464" s="5">
        <f t="shared" si="36"/>
        <v>-3.0981854792577292E-2</v>
      </c>
      <c r="M464" s="5">
        <f t="shared" si="36"/>
        <v>2.9721958103780177E-3</v>
      </c>
      <c r="N464" s="5">
        <f t="shared" si="39"/>
        <v>-1.378437491852957E-2</v>
      </c>
      <c r="O464" s="5">
        <f t="shared" si="37"/>
        <v>3.2045240292503671E-3</v>
      </c>
      <c r="P464" s="79">
        <f t="shared" si="38"/>
        <v>1.1705466602656787E-3</v>
      </c>
    </row>
    <row r="465" spans="1:16">
      <c r="A465" s="73">
        <v>45334</v>
      </c>
      <c r="B465" s="45">
        <v>1410.3</v>
      </c>
      <c r="C465" s="105">
        <v>3802.05</v>
      </c>
      <c r="D465" s="5">
        <v>216.7</v>
      </c>
      <c r="E465" s="5">
        <v>536.54999999999995</v>
      </c>
      <c r="F465" s="45">
        <v>2182</v>
      </c>
      <c r="G465" s="5">
        <v>21616.05</v>
      </c>
      <c r="H465" s="5">
        <f t="shared" si="36"/>
        <v>-7.7393935129810741E-3</v>
      </c>
      <c r="I465" s="5">
        <f t="shared" si="36"/>
        <v>1.1304544426859598E-2</v>
      </c>
      <c r="J465" s="5">
        <f t="shared" si="36"/>
        <v>-4.7681828169633143E-2</v>
      </c>
      <c r="K465" s="5">
        <f t="shared" si="36"/>
        <v>-4.9146884272998712E-3</v>
      </c>
      <c r="L465" s="5">
        <f t="shared" si="36"/>
        <v>3.04847812226972E-2</v>
      </c>
      <c r="M465" s="5">
        <f t="shared" si="36"/>
        <v>-7.6414552966831504E-3</v>
      </c>
      <c r="N465" s="5">
        <f t="shared" si="39"/>
        <v>1.0832721202357754E-2</v>
      </c>
      <c r="O465" s="5">
        <f t="shared" si="37"/>
        <v>-4.8209925303893076E-3</v>
      </c>
      <c r="P465" s="79">
        <f t="shared" si="38"/>
        <v>-5.839795098184517E-3</v>
      </c>
    </row>
    <row r="466" spans="1:16">
      <c r="A466" s="73">
        <v>45335</v>
      </c>
      <c r="B466" s="45">
        <v>1410.4</v>
      </c>
      <c r="C466" s="105">
        <v>3851.25</v>
      </c>
      <c r="D466" s="5">
        <v>213.35</v>
      </c>
      <c r="E466" s="5">
        <v>538.75</v>
      </c>
      <c r="F466" s="45">
        <v>2147.1999999999998</v>
      </c>
      <c r="G466" s="5">
        <v>21743.25</v>
      </c>
      <c r="H466" s="5">
        <f t="shared" si="36"/>
        <v>7.0906899241392912E-5</v>
      </c>
      <c r="I466" s="5">
        <f t="shared" si="36"/>
        <v>1.2940387422574615E-2</v>
      </c>
      <c r="J466" s="5">
        <f t="shared" si="36"/>
        <v>-1.5459160129210866E-2</v>
      </c>
      <c r="K466" s="5">
        <f t="shared" si="36"/>
        <v>4.1002702450844202E-3</v>
      </c>
      <c r="L466" s="5">
        <f t="shared" si="36"/>
        <v>-1.5948670944088077E-2</v>
      </c>
      <c r="M466" s="5">
        <f t="shared" si="36"/>
        <v>5.8845163663111778E-3</v>
      </c>
      <c r="N466" s="5">
        <f t="shared" si="39"/>
        <v>-6.5188178830334811E-3</v>
      </c>
      <c r="O466" s="5">
        <f t="shared" si="37"/>
        <v>2.453518783165581E-3</v>
      </c>
      <c r="P466" s="79">
        <f t="shared" si="38"/>
        <v>2.5406408141214194E-3</v>
      </c>
    </row>
    <row r="467" spans="1:16">
      <c r="A467" s="73">
        <v>45336</v>
      </c>
      <c r="B467" s="45">
        <v>1411.15</v>
      </c>
      <c r="C467" s="105">
        <v>3921</v>
      </c>
      <c r="D467" s="5">
        <v>224.45</v>
      </c>
      <c r="E467" s="5">
        <v>544.29999999999995</v>
      </c>
      <c r="F467" s="45">
        <v>2158.5500000000002</v>
      </c>
      <c r="G467" s="5">
        <v>21840.05</v>
      </c>
      <c r="H467" s="5">
        <f t="shared" si="36"/>
        <v>5.3176403857061827E-4</v>
      </c>
      <c r="I467" s="5">
        <f t="shared" si="36"/>
        <v>1.8111002921129504E-2</v>
      </c>
      <c r="J467" s="5">
        <f t="shared" si="36"/>
        <v>5.2027185376142461E-2</v>
      </c>
      <c r="K467" s="5">
        <f t="shared" si="36"/>
        <v>1.030162412993031E-2</v>
      </c>
      <c r="L467" s="5">
        <f t="shared" si="36"/>
        <v>5.2859538002982326E-3</v>
      </c>
      <c r="M467" s="5">
        <f t="shared" si="36"/>
        <v>4.4519563542708323E-3</v>
      </c>
      <c r="N467" s="5">
        <f t="shared" si="39"/>
        <v>6.6270032708967332E-3</v>
      </c>
      <c r="O467" s="5">
        <f t="shared" si="37"/>
        <v>8.4522228247858999E-3</v>
      </c>
      <c r="P467" s="79">
        <f t="shared" si="38"/>
        <v>1.0073333307845567E-2</v>
      </c>
    </row>
    <row r="468" spans="1:16">
      <c r="A468" s="73">
        <v>45337</v>
      </c>
      <c r="B468" s="45">
        <v>1410.2</v>
      </c>
      <c r="C468" s="105">
        <v>3952.65</v>
      </c>
      <c r="D468" s="5">
        <v>227.55</v>
      </c>
      <c r="E468" s="5">
        <v>544.20000000000005</v>
      </c>
      <c r="F468" s="45">
        <v>2136.4</v>
      </c>
      <c r="G468" s="5">
        <v>21910.75</v>
      </c>
      <c r="H468" s="5">
        <f t="shared" si="36"/>
        <v>-6.732097934309219E-4</v>
      </c>
      <c r="I468" s="5">
        <f t="shared" si="36"/>
        <v>8.071920428462151E-3</v>
      </c>
      <c r="J468" s="5">
        <f t="shared" si="36"/>
        <v>1.3811539318333807E-2</v>
      </c>
      <c r="K468" s="5">
        <f t="shared" si="36"/>
        <v>-1.8372221201526557E-4</v>
      </c>
      <c r="L468" s="5">
        <f t="shared" si="36"/>
        <v>-1.0261518148757309E-2</v>
      </c>
      <c r="M468" s="5">
        <f t="shared" si="36"/>
        <v>3.2371720760712877E-3</v>
      </c>
      <c r="N468" s="5">
        <f t="shared" si="39"/>
        <v>-4.1762915585678096E-3</v>
      </c>
      <c r="O468" s="5">
        <f t="shared" si="37"/>
        <v>5.7264475903086689E-4</v>
      </c>
      <c r="P468" s="79">
        <f t="shared" si="38"/>
        <v>1.6153695552999206E-3</v>
      </c>
    </row>
    <row r="469" spans="1:16">
      <c r="A469" s="73">
        <v>45338</v>
      </c>
      <c r="B469" s="45">
        <v>1432.8</v>
      </c>
      <c r="C469" s="105">
        <v>4024.6</v>
      </c>
      <c r="D469" s="5">
        <v>225.85</v>
      </c>
      <c r="E469" s="5">
        <v>544.5</v>
      </c>
      <c r="F469" s="45">
        <v>2087.25</v>
      </c>
      <c r="G469" s="5">
        <v>22040.7</v>
      </c>
      <c r="H469" s="5">
        <f t="shared" si="36"/>
        <v>1.6026095589278051E-2</v>
      </c>
      <c r="I469" s="5">
        <f t="shared" si="36"/>
        <v>1.8202977749104985E-2</v>
      </c>
      <c r="J469" s="5">
        <f t="shared" si="36"/>
        <v>-7.4708855196660819E-3</v>
      </c>
      <c r="K469" s="5">
        <f t="shared" si="36"/>
        <v>5.5126791620719315E-4</v>
      </c>
      <c r="L469" s="5">
        <f t="shared" si="36"/>
        <v>-2.3005991387380683E-2</v>
      </c>
      <c r="M469" s="5">
        <f t="shared" si="36"/>
        <v>5.9308786782743964E-3</v>
      </c>
      <c r="N469" s="5">
        <f t="shared" si="39"/>
        <v>-4.9939271085575497E-3</v>
      </c>
      <c r="O469" s="5">
        <f t="shared" si="37"/>
        <v>7.2032129149081428E-3</v>
      </c>
      <c r="P469" s="79">
        <f t="shared" si="38"/>
        <v>8.6162567761962749E-3</v>
      </c>
    </row>
    <row r="470" spans="1:16">
      <c r="A470" s="73">
        <v>45341</v>
      </c>
      <c r="B470" s="45">
        <v>1433.85</v>
      </c>
      <c r="C470" s="105">
        <v>4047.15</v>
      </c>
      <c r="D470" s="5">
        <v>225.7</v>
      </c>
      <c r="E470" s="5">
        <v>547.65</v>
      </c>
      <c r="F470" s="45">
        <v>2165.35</v>
      </c>
      <c r="G470" s="5">
        <v>22122.25</v>
      </c>
      <c r="H470" s="5">
        <f t="shared" si="36"/>
        <v>7.3283082077048756E-4</v>
      </c>
      <c r="I470" s="5">
        <f t="shared" si="36"/>
        <v>5.6030412960294644E-3</v>
      </c>
      <c r="J470" s="5">
        <f t="shared" si="36"/>
        <v>-6.641576267434389E-4</v>
      </c>
      <c r="K470" s="5">
        <f t="shared" si="36"/>
        <v>5.7851239669421068E-3</v>
      </c>
      <c r="L470" s="5">
        <f t="shared" si="36"/>
        <v>3.7417654808959117E-2</v>
      </c>
      <c r="M470" s="5">
        <f t="shared" si="36"/>
        <v>3.6999732313401693E-3</v>
      </c>
      <c r="N470" s="5">
        <f t="shared" si="39"/>
        <v>1.9003894989960864E-2</v>
      </c>
      <c r="O470" s="5">
        <f t="shared" si="37"/>
        <v>4.4238158393297873E-3</v>
      </c>
      <c r="P470" s="79">
        <f t="shared" si="38"/>
        <v>3.6384034941136833E-3</v>
      </c>
    </row>
    <row r="471" spans="1:16">
      <c r="A471" s="73">
        <v>45342</v>
      </c>
      <c r="B471" s="45">
        <v>1437.85</v>
      </c>
      <c r="C471" s="105">
        <v>4025.9</v>
      </c>
      <c r="D471" s="5">
        <v>230.9</v>
      </c>
      <c r="E471" s="5">
        <v>547.54999999999995</v>
      </c>
      <c r="F471" s="45">
        <v>2136.75</v>
      </c>
      <c r="G471" s="5">
        <v>22196.95</v>
      </c>
      <c r="H471" s="5">
        <f t="shared" si="36"/>
        <v>2.7896920877358163E-3</v>
      </c>
      <c r="I471" s="5">
        <f t="shared" si="36"/>
        <v>-5.2506084528618907E-3</v>
      </c>
      <c r="J471" s="5">
        <f t="shared" si="36"/>
        <v>2.3039432875498526E-2</v>
      </c>
      <c r="K471" s="5">
        <f t="shared" si="36"/>
        <v>-1.8259837487450515E-4</v>
      </c>
      <c r="L471" s="5">
        <f t="shared" si="36"/>
        <v>-1.3208026416052791E-2</v>
      </c>
      <c r="M471" s="5">
        <f t="shared" si="36"/>
        <v>3.376690888133021E-3</v>
      </c>
      <c r="N471" s="5">
        <f t="shared" si="39"/>
        <v>-5.1383927893387926E-3</v>
      </c>
      <c r="O471" s="5">
        <f t="shared" si="37"/>
        <v>7.9017792948422568E-4</v>
      </c>
      <c r="P471" s="79">
        <f t="shared" si="38"/>
        <v>1.4930666467611454E-3</v>
      </c>
    </row>
    <row r="472" spans="1:16">
      <c r="A472" s="73">
        <v>45343</v>
      </c>
      <c r="B472" s="45">
        <v>1431.95</v>
      </c>
      <c r="C472" s="105">
        <v>3894.75</v>
      </c>
      <c r="D472" s="5">
        <v>221.9</v>
      </c>
      <c r="E472" s="5">
        <v>546.29999999999995</v>
      </c>
      <c r="F472" s="45">
        <v>2078.35</v>
      </c>
      <c r="G472" s="5">
        <v>22055.05</v>
      </c>
      <c r="H472" s="5">
        <f t="shared" si="36"/>
        <v>-4.1033487498695021E-3</v>
      </c>
      <c r="I472" s="5">
        <f t="shared" si="36"/>
        <v>-3.2576566730420552E-2</v>
      </c>
      <c r="J472" s="5">
        <f t="shared" si="36"/>
        <v>-3.8977912516240797E-2</v>
      </c>
      <c r="K472" s="5">
        <f t="shared" si="36"/>
        <v>-2.282896539128847E-3</v>
      </c>
      <c r="L472" s="5">
        <f t="shared" si="36"/>
        <v>-2.7331227331227375E-2</v>
      </c>
      <c r="M472" s="5">
        <f t="shared" si="36"/>
        <v>-6.3927701778848647E-3</v>
      </c>
      <c r="N472" s="5">
        <f t="shared" si="39"/>
        <v>-1.7579219205517069E-2</v>
      </c>
      <c r="O472" s="5">
        <f t="shared" si="37"/>
        <v>-7.3799312846660617E-3</v>
      </c>
      <c r="P472" s="79">
        <f t="shared" si="38"/>
        <v>-9.9106258795350032E-3</v>
      </c>
    </row>
    <row r="473" spans="1:16">
      <c r="A473" s="73">
        <v>45344</v>
      </c>
      <c r="B473" s="45">
        <v>1417.6</v>
      </c>
      <c r="C473" s="105">
        <v>3954</v>
      </c>
      <c r="D473" s="5">
        <v>228.5</v>
      </c>
      <c r="E473" s="5">
        <v>541.6</v>
      </c>
      <c r="F473" s="45">
        <v>2059.3000000000002</v>
      </c>
      <c r="G473" s="5">
        <v>22217.45</v>
      </c>
      <c r="H473" s="5">
        <f t="shared" si="36"/>
        <v>-1.0021299626383698E-2</v>
      </c>
      <c r="I473" s="5">
        <f t="shared" si="36"/>
        <v>1.5212786443289043E-2</v>
      </c>
      <c r="J473" s="5">
        <f t="shared" si="36"/>
        <v>2.9743127534925615E-2</v>
      </c>
      <c r="K473" s="5">
        <f t="shared" si="36"/>
        <v>-8.603331502837144E-3</v>
      </c>
      <c r="L473" s="5">
        <f t="shared" si="36"/>
        <v>-9.1659248923423517E-3</v>
      </c>
      <c r="M473" s="5">
        <f t="shared" si="36"/>
        <v>7.3633929644231801E-3</v>
      </c>
      <c r="N473" s="5">
        <f t="shared" si="39"/>
        <v>-6.7308902799382208E-3</v>
      </c>
      <c r="O473" s="5">
        <f t="shared" si="37"/>
        <v>-5.8429620741590332E-3</v>
      </c>
      <c r="P473" s="79">
        <f t="shared" si="38"/>
        <v>-3.317176957740601E-3</v>
      </c>
    </row>
    <row r="474" spans="1:16">
      <c r="A474" s="73">
        <v>45345</v>
      </c>
      <c r="B474" s="45">
        <v>1426.5</v>
      </c>
      <c r="C474" s="105">
        <v>3885.8</v>
      </c>
      <c r="D474" s="5">
        <v>229.6</v>
      </c>
      <c r="E474" s="5">
        <v>535.29999999999995</v>
      </c>
      <c r="F474" s="45">
        <v>2110.3000000000002</v>
      </c>
      <c r="G474" s="5">
        <v>22212.7</v>
      </c>
      <c r="H474" s="5">
        <f t="shared" si="36"/>
        <v>6.2782167042890035E-3</v>
      </c>
      <c r="I474" s="5">
        <f t="shared" si="36"/>
        <v>-1.724835609509353E-2</v>
      </c>
      <c r="J474" s="5">
        <f t="shared" si="36"/>
        <v>4.8140043763675901E-3</v>
      </c>
      <c r="K474" s="5">
        <f t="shared" si="36"/>
        <v>-1.163220088626305E-2</v>
      </c>
      <c r="L474" s="5">
        <f t="shared" si="36"/>
        <v>2.4765697081532558E-2</v>
      </c>
      <c r="M474" s="5">
        <f t="shared" si="36"/>
        <v>-2.1379591267224637E-4</v>
      </c>
      <c r="N474" s="5">
        <f t="shared" si="39"/>
        <v>1.0986350903174059E-2</v>
      </c>
      <c r="O474" s="5">
        <f t="shared" si="37"/>
        <v>-4.2573247384034736E-3</v>
      </c>
      <c r="P474" s="79">
        <f t="shared" si="38"/>
        <v>-4.2057911290411549E-3</v>
      </c>
    </row>
    <row r="475" spans="1:16">
      <c r="A475" s="73">
        <v>45348</v>
      </c>
      <c r="B475" s="45">
        <v>1428.55</v>
      </c>
      <c r="C475" s="105">
        <v>3844.6</v>
      </c>
      <c r="D475" s="5">
        <v>228.05</v>
      </c>
      <c r="E475" s="5">
        <v>529.25</v>
      </c>
      <c r="F475" s="45">
        <v>2091.6</v>
      </c>
      <c r="G475" s="5">
        <v>22122.05</v>
      </c>
      <c r="H475" s="5">
        <f t="shared" si="36"/>
        <v>1.4370837714685976E-3</v>
      </c>
      <c r="I475" s="5">
        <f t="shared" si="36"/>
        <v>-1.0602707293221542E-2</v>
      </c>
      <c r="J475" s="5">
        <f t="shared" si="36"/>
        <v>-6.7508710801392991E-3</v>
      </c>
      <c r="K475" s="5">
        <f t="shared" si="36"/>
        <v>-1.130207360358669E-2</v>
      </c>
      <c r="L475" s="5">
        <f t="shared" si="36"/>
        <v>-8.861299341326007E-3</v>
      </c>
      <c r="M475" s="5">
        <f t="shared" si="36"/>
        <v>-4.08099870794642E-3</v>
      </c>
      <c r="N475" s="5">
        <f t="shared" si="39"/>
        <v>-6.16208351561481E-3</v>
      </c>
      <c r="O475" s="5">
        <f t="shared" si="37"/>
        <v>-6.3344897490443973E-3</v>
      </c>
      <c r="P475" s="79">
        <f t="shared" si="38"/>
        <v>-5.9159618736002286E-3</v>
      </c>
    </row>
    <row r="476" spans="1:16">
      <c r="A476" s="73">
        <v>45349</v>
      </c>
      <c r="B476" s="45">
        <v>1437.75</v>
      </c>
      <c r="C476" s="105">
        <v>3937.5</v>
      </c>
      <c r="D476" s="5">
        <v>222.6</v>
      </c>
      <c r="E476" s="5">
        <v>535.6</v>
      </c>
      <c r="F476" s="45">
        <v>2092.5500000000002</v>
      </c>
      <c r="G476" s="5">
        <v>22198.35</v>
      </c>
      <c r="H476" s="5">
        <f t="shared" si="36"/>
        <v>6.4400966014490539E-3</v>
      </c>
      <c r="I476" s="5">
        <f t="shared" si="36"/>
        <v>2.416376215991263E-2</v>
      </c>
      <c r="J476" s="5">
        <f t="shared" si="36"/>
        <v>-2.3898267923701016E-2</v>
      </c>
      <c r="K476" s="5">
        <f t="shared" si="36"/>
        <v>1.1998110533774252E-2</v>
      </c>
      <c r="L476" s="5">
        <f t="shared" si="36"/>
        <v>4.5419774335450034E-4</v>
      </c>
      <c r="M476" s="5">
        <f t="shared" si="36"/>
        <v>3.449047443613918E-3</v>
      </c>
      <c r="N476" s="5">
        <f t="shared" si="39"/>
        <v>4.7081578302361751E-3</v>
      </c>
      <c r="O476" s="5">
        <f t="shared" si="37"/>
        <v>9.8381686399691207E-3</v>
      </c>
      <c r="P476" s="79">
        <f t="shared" si="38"/>
        <v>9.4389723241844348E-3</v>
      </c>
    </row>
    <row r="477" spans="1:16">
      <c r="A477" s="73">
        <v>45350</v>
      </c>
      <c r="B477" s="45">
        <v>1406.35</v>
      </c>
      <c r="C477" s="105">
        <v>3924.8</v>
      </c>
      <c r="D477" s="5">
        <v>224.7</v>
      </c>
      <c r="E477" s="5">
        <v>536.25</v>
      </c>
      <c r="F477" s="45">
        <v>2113.9</v>
      </c>
      <c r="G477" s="5">
        <v>21951.15</v>
      </c>
      <c r="H477" s="5">
        <f t="shared" si="36"/>
        <v>-2.183968005564256E-2</v>
      </c>
      <c r="I477" s="5">
        <f t="shared" si="36"/>
        <v>-3.2253968253967793E-3</v>
      </c>
      <c r="J477" s="5">
        <f t="shared" si="36"/>
        <v>9.4339622641509188E-3</v>
      </c>
      <c r="K477" s="5">
        <f t="shared" si="36"/>
        <v>1.2135922330096661E-3</v>
      </c>
      <c r="L477" s="5">
        <f t="shared" si="36"/>
        <v>1.0202862536140072E-2</v>
      </c>
      <c r="M477" s="5">
        <f t="shared" si="36"/>
        <v>-1.1135962808046414E-2</v>
      </c>
      <c r="N477" s="5">
        <f t="shared" si="39"/>
        <v>-1.5285090743320604E-3</v>
      </c>
      <c r="O477" s="5">
        <f t="shared" si="37"/>
        <v>-7.3226817736273837E-3</v>
      </c>
      <c r="P477" s="79">
        <f t="shared" si="38"/>
        <v>-7.935379623002798E-3</v>
      </c>
    </row>
    <row r="478" spans="1:16">
      <c r="A478" s="73">
        <v>45351</v>
      </c>
      <c r="B478" s="45">
        <v>1409.55</v>
      </c>
      <c r="C478" s="105">
        <v>3881.8</v>
      </c>
      <c r="D478" s="5">
        <v>227.55</v>
      </c>
      <c r="E478" s="5">
        <v>538.15</v>
      </c>
      <c r="F478" s="45">
        <v>2084.9</v>
      </c>
      <c r="G478" s="5">
        <v>21982.799999999999</v>
      </c>
      <c r="H478" s="5">
        <f t="shared" si="36"/>
        <v>2.2753937497778259E-3</v>
      </c>
      <c r="I478" s="5">
        <f t="shared" si="36"/>
        <v>-1.0955972278842234E-2</v>
      </c>
      <c r="J478" s="5">
        <f t="shared" si="36"/>
        <v>1.2683578104138954E-2</v>
      </c>
      <c r="K478" s="5">
        <f t="shared" si="36"/>
        <v>3.5431235431235006E-3</v>
      </c>
      <c r="L478" s="5">
        <f t="shared" si="36"/>
        <v>-1.3718718955485121E-2</v>
      </c>
      <c r="M478" s="5">
        <f t="shared" si="36"/>
        <v>1.4418378991532478E-3</v>
      </c>
      <c r="N478" s="5">
        <f t="shared" si="39"/>
        <v>-5.6681533037108338E-3</v>
      </c>
      <c r="O478" s="5">
        <f t="shared" si="37"/>
        <v>1.5738779153788582E-3</v>
      </c>
      <c r="P478" s="79">
        <f t="shared" si="38"/>
        <v>1.2745162967083108E-3</v>
      </c>
    </row>
    <row r="479" spans="1:16">
      <c r="A479" s="73">
        <v>45352</v>
      </c>
      <c r="B479" s="45">
        <v>1432.5</v>
      </c>
      <c r="C479" s="105">
        <v>3901.25</v>
      </c>
      <c r="D479" s="5">
        <v>235.3</v>
      </c>
      <c r="E479" s="5">
        <v>541.1</v>
      </c>
      <c r="F479" s="45">
        <v>2099.1999999999998</v>
      </c>
      <c r="G479" s="5">
        <v>22338.75</v>
      </c>
      <c r="H479" s="5">
        <f t="shared" si="36"/>
        <v>1.628179206129619E-2</v>
      </c>
      <c r="I479" s="5">
        <f t="shared" si="36"/>
        <v>5.0105621103611253E-3</v>
      </c>
      <c r="J479" s="5">
        <f t="shared" si="36"/>
        <v>3.4058448692595035E-2</v>
      </c>
      <c r="K479" s="5">
        <f t="shared" si="36"/>
        <v>5.4817430084549762E-3</v>
      </c>
      <c r="L479" s="5">
        <f t="shared" si="36"/>
        <v>6.8588421507025403E-3</v>
      </c>
      <c r="M479" s="5">
        <f t="shared" si="36"/>
        <v>1.6192204814673324E-2</v>
      </c>
      <c r="N479" s="5">
        <f t="shared" si="39"/>
        <v>1.0106905216819183E-2</v>
      </c>
      <c r="O479" s="5">
        <f t="shared" si="37"/>
        <v>1.0257805445668466E-2</v>
      </c>
      <c r="P479" s="79">
        <f t="shared" si="38"/>
        <v>1.1343341956896607E-2</v>
      </c>
    </row>
    <row r="480" spans="1:16">
      <c r="A480" s="73">
        <v>45353</v>
      </c>
      <c r="B480" s="45">
        <v>1435.4</v>
      </c>
      <c r="C480" s="105">
        <v>3909.6</v>
      </c>
      <c r="D480" s="5">
        <v>235.9</v>
      </c>
      <c r="E480" s="5">
        <v>538.6</v>
      </c>
      <c r="F480" s="45">
        <v>2104.4</v>
      </c>
      <c r="G480" s="5">
        <v>22338.75</v>
      </c>
      <c r="H480" s="5">
        <f t="shared" si="36"/>
        <v>2.0244328097731874E-3</v>
      </c>
      <c r="I480" s="5">
        <f t="shared" si="36"/>
        <v>2.1403396347324344E-3</v>
      </c>
      <c r="J480" s="5">
        <f t="shared" si="36"/>
        <v>2.549936251593686E-3</v>
      </c>
      <c r="K480" s="5">
        <f t="shared" si="36"/>
        <v>-4.6202180742931061E-3</v>
      </c>
      <c r="L480" s="5">
        <f t="shared" si="36"/>
        <v>2.4771341463415936E-3</v>
      </c>
      <c r="M480" s="5">
        <f t="shared" si="36"/>
        <v>0</v>
      </c>
      <c r="N480" s="5">
        <f t="shared" si="39"/>
        <v>1.3485601990074359E-3</v>
      </c>
      <c r="O480" s="5">
        <f t="shared" si="37"/>
        <v>-1.1647663204217543E-3</v>
      </c>
      <c r="P480" s="79">
        <f t="shared" si="38"/>
        <v>-5.213757628687491E-4</v>
      </c>
    </row>
    <row r="481" spans="1:16">
      <c r="A481" s="73">
        <v>45355</v>
      </c>
      <c r="B481" s="45">
        <v>1425.25</v>
      </c>
      <c r="C481" s="105">
        <v>3919.8</v>
      </c>
      <c r="D481" s="5">
        <v>264.55</v>
      </c>
      <c r="E481" s="5">
        <v>537.29999999999995</v>
      </c>
      <c r="F481" s="45">
        <v>2104.65</v>
      </c>
      <c r="G481" s="5">
        <v>22405.599999999999</v>
      </c>
      <c r="H481" s="5">
        <f t="shared" si="36"/>
        <v>-7.0711996655985028E-3</v>
      </c>
      <c r="I481" s="5">
        <f t="shared" si="36"/>
        <v>2.6089625537140046E-3</v>
      </c>
      <c r="J481" s="5">
        <f t="shared" si="36"/>
        <v>0.12144976685036034</v>
      </c>
      <c r="K481" s="5">
        <f t="shared" si="36"/>
        <v>-2.4136650575567547E-3</v>
      </c>
      <c r="L481" s="5">
        <f t="shared" si="36"/>
        <v>1.1879870747006273E-4</v>
      </c>
      <c r="M481" s="5">
        <f t="shared" si="36"/>
        <v>2.9925577751664057E-3</v>
      </c>
      <c r="N481" s="5">
        <f t="shared" si="39"/>
        <v>1.0275463864590699E-3</v>
      </c>
      <c r="O481" s="5">
        <f t="shared" si="37"/>
        <v>-2.0149088689046677E-4</v>
      </c>
      <c r="P481" s="79">
        <f t="shared" si="38"/>
        <v>3.854287742750252E-3</v>
      </c>
    </row>
    <row r="482" spans="1:16">
      <c r="A482" s="73">
        <v>45356</v>
      </c>
      <c r="B482" s="45">
        <v>1448.75</v>
      </c>
      <c r="C482" s="105">
        <v>3852.3</v>
      </c>
      <c r="D482" s="5">
        <v>265.8</v>
      </c>
      <c r="E482" s="5">
        <v>534.75</v>
      </c>
      <c r="F482" s="45">
        <v>2088.9499999999998</v>
      </c>
      <c r="G482" s="5">
        <v>22356.3</v>
      </c>
      <c r="H482" s="5">
        <f t="shared" si="36"/>
        <v>1.6488335379757937E-2</v>
      </c>
      <c r="I482" s="5">
        <f t="shared" si="36"/>
        <v>-1.7220266340119392E-2</v>
      </c>
      <c r="J482" s="5">
        <f t="shared" si="36"/>
        <v>4.7250047250047252E-3</v>
      </c>
      <c r="K482" s="5">
        <f t="shared" si="36"/>
        <v>-4.7459519821328022E-3</v>
      </c>
      <c r="L482" s="5">
        <f t="shared" si="36"/>
        <v>-7.4596726296535156E-3</v>
      </c>
      <c r="M482" s="5">
        <f t="shared" si="36"/>
        <v>-2.2003427714499622E-3</v>
      </c>
      <c r="N482" s="5">
        <f t="shared" si="39"/>
        <v>-2.0580652960150046E-4</v>
      </c>
      <c r="O482" s="5">
        <f t="shared" si="37"/>
        <v>2.1500638736183576E-3</v>
      </c>
      <c r="P482" s="79">
        <f t="shared" si="38"/>
        <v>2.2408080753517582E-3</v>
      </c>
    </row>
    <row r="483" spans="1:16">
      <c r="A483" s="73">
        <v>45357</v>
      </c>
      <c r="B483" s="45">
        <v>1434.3</v>
      </c>
      <c r="C483" s="105">
        <v>3872</v>
      </c>
      <c r="D483" s="5">
        <v>255.2</v>
      </c>
      <c r="E483" s="5">
        <v>531.5</v>
      </c>
      <c r="F483" s="45">
        <v>2057.65</v>
      </c>
      <c r="G483" s="5">
        <v>22474.05</v>
      </c>
      <c r="H483" s="5">
        <f t="shared" si="36"/>
        <v>-9.9741156169111615E-3</v>
      </c>
      <c r="I483" s="5">
        <f t="shared" si="36"/>
        <v>5.1138281026918506E-3</v>
      </c>
      <c r="J483" s="5">
        <f t="shared" si="36"/>
        <v>-3.987960872836728E-2</v>
      </c>
      <c r="K483" s="5">
        <f t="shared" si="36"/>
        <v>-6.0776063581112674E-3</v>
      </c>
      <c r="L483" s="5">
        <f t="shared" si="36"/>
        <v>-1.4983604203068398E-2</v>
      </c>
      <c r="M483" s="5">
        <f t="shared" si="36"/>
        <v>5.2669717260906326E-3</v>
      </c>
      <c r="N483" s="5">
        <f t="shared" si="39"/>
        <v>-1.1631627652342102E-2</v>
      </c>
      <c r="O483" s="5">
        <f t="shared" si="37"/>
        <v>-7.5969211106329208E-3</v>
      </c>
      <c r="P483" s="79">
        <f t="shared" si="38"/>
        <v>-7.9879973682288764E-3</v>
      </c>
    </row>
    <row r="484" spans="1:16">
      <c r="A484" s="73">
        <v>45358</v>
      </c>
      <c r="B484" s="45">
        <v>1450.45</v>
      </c>
      <c r="C484" s="105">
        <v>3952.2</v>
      </c>
      <c r="D484" s="5">
        <v>257.5</v>
      </c>
      <c r="E484" s="5">
        <v>535.25</v>
      </c>
      <c r="F484" s="45">
        <v>2085.65</v>
      </c>
      <c r="G484" s="5">
        <v>22493.55</v>
      </c>
      <c r="H484" s="5">
        <f t="shared" si="36"/>
        <v>1.1259848009482041E-2</v>
      </c>
      <c r="I484" s="5">
        <f t="shared" si="36"/>
        <v>2.0712809917355326E-2</v>
      </c>
      <c r="J484" s="5">
        <f t="shared" si="36"/>
        <v>9.0125391849530233E-3</v>
      </c>
      <c r="K484" s="5">
        <f t="shared" si="36"/>
        <v>7.0555032925682035E-3</v>
      </c>
      <c r="L484" s="5">
        <f t="shared" si="36"/>
        <v>1.360775642116006E-2</v>
      </c>
      <c r="M484" s="5">
        <f t="shared" si="36"/>
        <v>8.6766737637408481E-4</v>
      </c>
      <c r="N484" s="5">
        <f t="shared" si="39"/>
        <v>1.2339940815739206E-2</v>
      </c>
      <c r="O484" s="5">
        <f t="shared" si="37"/>
        <v>1.0100350739084713E-2</v>
      </c>
      <c r="P484" s="79">
        <f t="shared" si="38"/>
        <v>1.0922416388702864E-2</v>
      </c>
    </row>
    <row r="485" spans="1:16">
      <c r="A485" s="73">
        <v>45362</v>
      </c>
      <c r="B485" s="45">
        <v>1447.1</v>
      </c>
      <c r="C485" s="105">
        <v>4004.7</v>
      </c>
      <c r="D485" s="5">
        <v>254.55</v>
      </c>
      <c r="E485" s="5">
        <v>533.4</v>
      </c>
      <c r="F485" s="45">
        <v>2065.75</v>
      </c>
      <c r="G485" s="5">
        <v>22332.65</v>
      </c>
      <c r="H485" s="5">
        <f t="shared" si="36"/>
        <v>-2.3096280464684313E-3</v>
      </c>
      <c r="I485" s="5">
        <f t="shared" si="36"/>
        <v>1.3283740701381509E-2</v>
      </c>
      <c r="J485" s="5">
        <f t="shared" si="36"/>
        <v>-1.1456310679611606E-2</v>
      </c>
      <c r="K485" s="5">
        <f t="shared" si="36"/>
        <v>-3.456328818309244E-3</v>
      </c>
      <c r="L485" s="5">
        <f t="shared" si="36"/>
        <v>-9.5413899743485679E-3</v>
      </c>
      <c r="M485" s="5">
        <f t="shared" si="36"/>
        <v>-7.1531616841271307E-3</v>
      </c>
      <c r="N485" s="5">
        <f t="shared" si="39"/>
        <v>-5.1175967418732524E-3</v>
      </c>
      <c r="O485" s="5">
        <f t="shared" si="37"/>
        <v>-1.8106022739660845E-3</v>
      </c>
      <c r="P485" s="79">
        <f t="shared" si="38"/>
        <v>-1.009553553642197E-3</v>
      </c>
    </row>
    <row r="486" spans="1:16">
      <c r="A486" s="73">
        <v>45363</v>
      </c>
      <c r="B486" s="45">
        <v>1427.05</v>
      </c>
      <c r="C486" s="105">
        <v>4008.6</v>
      </c>
      <c r="D486" s="5">
        <v>244.1</v>
      </c>
      <c r="E486" s="5">
        <v>529</v>
      </c>
      <c r="F486" s="45">
        <v>2018.2</v>
      </c>
      <c r="G486" s="5">
        <v>22335.7</v>
      </c>
      <c r="H486" s="5">
        <f t="shared" si="36"/>
        <v>-1.3855296800497517E-2</v>
      </c>
      <c r="I486" s="5">
        <f t="shared" si="36"/>
        <v>9.7385571952957549E-4</v>
      </c>
      <c r="J486" s="5">
        <f t="shared" si="36"/>
        <v>-4.1052838342172528E-2</v>
      </c>
      <c r="K486" s="5">
        <f t="shared" si="36"/>
        <v>-8.2489688788900967E-3</v>
      </c>
      <c r="L486" s="5">
        <f t="shared" si="36"/>
        <v>-2.301827423453949E-2</v>
      </c>
      <c r="M486" s="5">
        <f t="shared" si="36"/>
        <v>1.3657134285448758E-4</v>
      </c>
      <c r="N486" s="5">
        <f t="shared" si="39"/>
        <v>-1.7181435367956896E-2</v>
      </c>
      <c r="O486" s="5">
        <f t="shared" si="37"/>
        <v>-1.0690872462723657E-2</v>
      </c>
      <c r="P486" s="79">
        <f t="shared" si="38"/>
        <v>-1.1111397582633686E-2</v>
      </c>
    </row>
    <row r="487" spans="1:16">
      <c r="A487" s="73">
        <v>45364</v>
      </c>
      <c r="B487" s="45">
        <v>1403.5</v>
      </c>
      <c r="C487" s="105">
        <v>3944.05</v>
      </c>
      <c r="D487" s="5">
        <v>225.3</v>
      </c>
      <c r="E487" s="5">
        <v>519.95000000000005</v>
      </c>
      <c r="F487" s="45">
        <v>1858.95</v>
      </c>
      <c r="G487" s="5">
        <v>21997.7</v>
      </c>
      <c r="H487" s="5">
        <f t="shared" si="36"/>
        <v>-1.6502575242633374E-2</v>
      </c>
      <c r="I487" s="5">
        <f t="shared" si="36"/>
        <v>-1.6102878810557233E-2</v>
      </c>
      <c r="J487" s="5">
        <f t="shared" si="36"/>
        <v>-7.7017615731257608E-2</v>
      </c>
      <c r="K487" s="5">
        <f t="shared" si="36"/>
        <v>-1.7107750472589705E-2</v>
      </c>
      <c r="L487" s="5">
        <f t="shared" si="36"/>
        <v>-7.8906946784263202E-2</v>
      </c>
      <c r="M487" s="5">
        <f t="shared" si="36"/>
        <v>-1.5132724741109523E-2</v>
      </c>
      <c r="N487" s="5">
        <f t="shared" si="39"/>
        <v>-4.7614167520368143E-2</v>
      </c>
      <c r="O487" s="5">
        <f t="shared" si="37"/>
        <v>-1.9817019245138161E-2</v>
      </c>
      <c r="P487" s="79">
        <f t="shared" si="38"/>
        <v>-2.0732516137675891E-2</v>
      </c>
    </row>
    <row r="488" spans="1:16">
      <c r="A488" s="73">
        <v>45365</v>
      </c>
      <c r="B488" s="45">
        <v>1407.15</v>
      </c>
      <c r="C488" s="105">
        <v>4081.1</v>
      </c>
      <c r="D488" s="5">
        <v>226.45</v>
      </c>
      <c r="E488" s="5">
        <v>529.65</v>
      </c>
      <c r="F488" s="45">
        <v>1893.35</v>
      </c>
      <c r="G488" s="5">
        <v>22146.65</v>
      </c>
      <c r="H488" s="5">
        <f t="shared" si="36"/>
        <v>2.6006412540079023E-3</v>
      </c>
      <c r="I488" s="5">
        <f t="shared" si="36"/>
        <v>3.4748545277062844E-2</v>
      </c>
      <c r="J488" s="5">
        <f t="shared" si="36"/>
        <v>5.104305370616854E-3</v>
      </c>
      <c r="K488" s="5">
        <f t="shared" si="36"/>
        <v>1.8655639965381155E-2</v>
      </c>
      <c r="L488" s="5">
        <f t="shared" si="36"/>
        <v>1.8505070066435279E-2</v>
      </c>
      <c r="M488" s="5">
        <f t="shared" si="36"/>
        <v>6.7711624397096392E-3</v>
      </c>
      <c r="N488" s="5">
        <f t="shared" si="39"/>
        <v>1.4442260622207836E-2</v>
      </c>
      <c r="O488" s="5">
        <f t="shared" si="37"/>
        <v>1.384399949699771E-2</v>
      </c>
      <c r="P488" s="79">
        <f t="shared" si="38"/>
        <v>1.3979968114990918E-2</v>
      </c>
    </row>
    <row r="489" spans="1:16">
      <c r="A489" s="73">
        <v>45366</v>
      </c>
      <c r="B489" s="45">
        <v>1390.5</v>
      </c>
      <c r="C489" s="105">
        <v>4063.9</v>
      </c>
      <c r="D489" s="5">
        <v>216.75</v>
      </c>
      <c r="E489" s="5">
        <v>526.54999999999995</v>
      </c>
      <c r="F489" s="45">
        <v>1917.2</v>
      </c>
      <c r="G489" s="5">
        <v>22023.35</v>
      </c>
      <c r="H489" s="5">
        <f t="shared" si="36"/>
        <v>-1.1832427246562265E-2</v>
      </c>
      <c r="I489" s="5">
        <f t="shared" si="36"/>
        <v>-4.2145499987747952E-3</v>
      </c>
      <c r="J489" s="5">
        <f t="shared" si="36"/>
        <v>-4.2835062927798581E-2</v>
      </c>
      <c r="K489" s="5">
        <f t="shared" si="36"/>
        <v>-5.8529217407722513E-3</v>
      </c>
      <c r="L489" s="5">
        <f t="shared" si="36"/>
        <v>1.2596720099294974E-2</v>
      </c>
      <c r="M489" s="5">
        <f t="shared" si="36"/>
        <v>-5.5674334493028476E-3</v>
      </c>
      <c r="N489" s="5">
        <f t="shared" si="39"/>
        <v>1.6903006970052457E-4</v>
      </c>
      <c r="O489" s="5">
        <f t="shared" si="37"/>
        <v>-8.5210307560558488E-3</v>
      </c>
      <c r="P489" s="79">
        <f t="shared" si="38"/>
        <v>-9.99448872729484E-3</v>
      </c>
    </row>
    <row r="490" spans="1:16">
      <c r="A490" s="73">
        <v>45369</v>
      </c>
      <c r="B490" s="45">
        <v>1377.25</v>
      </c>
      <c r="C490" s="105">
        <v>4071.05</v>
      </c>
      <c r="D490" s="5">
        <v>224.3</v>
      </c>
      <c r="E490" s="5">
        <v>523.6</v>
      </c>
      <c r="F490" s="45">
        <v>1848.85</v>
      </c>
      <c r="G490" s="5">
        <v>22055.7</v>
      </c>
      <c r="H490" s="5">
        <f t="shared" si="36"/>
        <v>-9.528946422150306E-3</v>
      </c>
      <c r="I490" s="5">
        <f t="shared" si="36"/>
        <v>1.759393685868277E-3</v>
      </c>
      <c r="J490" s="5">
        <f t="shared" si="36"/>
        <v>3.4832756632064643E-2</v>
      </c>
      <c r="K490" s="5">
        <f t="shared" ref="K490:M553" si="40">(E490 - E489) / E489</f>
        <v>-5.6025068844362969E-3</v>
      </c>
      <c r="L490" s="5">
        <f t="shared" si="40"/>
        <v>-3.5650949301064119E-2</v>
      </c>
      <c r="M490" s="5">
        <f t="shared" si="40"/>
        <v>1.468895513171347E-3</v>
      </c>
      <c r="N490" s="5">
        <f t="shared" si="39"/>
        <v>-1.9393920314486515E-2</v>
      </c>
      <c r="O490" s="5">
        <f t="shared" si="37"/>
        <v>-5.9223510704720546E-3</v>
      </c>
      <c r="P490" s="79">
        <f t="shared" si="38"/>
        <v>-3.8754479835376677E-3</v>
      </c>
    </row>
    <row r="491" spans="1:16">
      <c r="A491" s="73">
        <v>45370</v>
      </c>
      <c r="B491" s="45">
        <v>1371.45</v>
      </c>
      <c r="C491" s="105">
        <v>3955.65</v>
      </c>
      <c r="D491" s="5">
        <v>218.8</v>
      </c>
      <c r="E491" s="5">
        <v>518.35</v>
      </c>
      <c r="F491" s="45">
        <v>1867.75</v>
      </c>
      <c r="G491" s="5">
        <v>21817.45</v>
      </c>
      <c r="H491" s="5">
        <f t="shared" ref="H491:M554" si="41">(B491 - B490) / B490</f>
        <v>-4.2112906153566557E-3</v>
      </c>
      <c r="I491" s="5">
        <f t="shared" si="41"/>
        <v>-2.834649537588585E-2</v>
      </c>
      <c r="J491" s="5">
        <f t="shared" si="41"/>
        <v>-2.4520731163620149E-2</v>
      </c>
      <c r="K491" s="5">
        <f t="shared" si="40"/>
        <v>-1.0026737967914439E-2</v>
      </c>
      <c r="L491" s="5">
        <f t="shared" si="40"/>
        <v>1.0222570787246177E-2</v>
      </c>
      <c r="M491" s="5">
        <f t="shared" si="40"/>
        <v>-1.080219625765675E-2</v>
      </c>
      <c r="N491" s="5">
        <f t="shared" si="39"/>
        <v>-3.012470387394545E-4</v>
      </c>
      <c r="O491" s="5">
        <f t="shared" si="37"/>
        <v>-9.5435435757831814E-3</v>
      </c>
      <c r="P491" s="79">
        <f t="shared" si="38"/>
        <v>-1.1202815552112387E-2</v>
      </c>
    </row>
    <row r="492" spans="1:16">
      <c r="A492" s="73">
        <v>45371</v>
      </c>
      <c r="B492" s="45">
        <v>1375.1</v>
      </c>
      <c r="C492" s="105">
        <v>3965.05</v>
      </c>
      <c r="D492" s="5">
        <v>224.75</v>
      </c>
      <c r="E492" s="5">
        <v>520.20000000000005</v>
      </c>
      <c r="F492" s="45">
        <v>1839.7</v>
      </c>
      <c r="G492" s="5">
        <v>21839.1</v>
      </c>
      <c r="H492" s="5">
        <f t="shared" si="41"/>
        <v>2.6614167486965355E-3</v>
      </c>
      <c r="I492" s="5">
        <f t="shared" si="41"/>
        <v>2.3763477557418099E-3</v>
      </c>
      <c r="J492" s="5">
        <f t="shared" si="41"/>
        <v>2.7193784277879288E-2</v>
      </c>
      <c r="K492" s="5">
        <f t="shared" si="40"/>
        <v>3.5690170734060437E-3</v>
      </c>
      <c r="L492" s="5">
        <f t="shared" si="40"/>
        <v>-1.5018069870164612E-2</v>
      </c>
      <c r="M492" s="5">
        <f t="shared" si="40"/>
        <v>9.9232495089929458E-4</v>
      </c>
      <c r="N492" s="5">
        <f t="shared" si="39"/>
        <v>-4.9132185849843045E-3</v>
      </c>
      <c r="O492" s="5">
        <f t="shared" si="37"/>
        <v>3.355597038325261E-3</v>
      </c>
      <c r="P492" s="79">
        <f t="shared" si="38"/>
        <v>4.287710164476123E-3</v>
      </c>
    </row>
    <row r="493" spans="1:16">
      <c r="A493" s="73">
        <v>45372</v>
      </c>
      <c r="B493" s="45">
        <v>1379.65</v>
      </c>
      <c r="C493" s="105">
        <v>4001.85</v>
      </c>
      <c r="D493" s="5">
        <v>237.2</v>
      </c>
      <c r="E493" s="5">
        <v>523.95000000000005</v>
      </c>
      <c r="F493" s="45">
        <v>1878.4</v>
      </c>
      <c r="G493" s="5">
        <v>22011.95</v>
      </c>
      <c r="H493" s="5">
        <f t="shared" si="41"/>
        <v>3.3088502654353737E-3</v>
      </c>
      <c r="I493" s="5">
        <f t="shared" si="41"/>
        <v>9.2810935549361862E-3</v>
      </c>
      <c r="J493" s="5">
        <f t="shared" si="41"/>
        <v>5.539488320355946E-2</v>
      </c>
      <c r="K493" s="5">
        <f t="shared" si="40"/>
        <v>7.2087658592848896E-3</v>
      </c>
      <c r="L493" s="5">
        <f t="shared" si="40"/>
        <v>2.1036038484535547E-2</v>
      </c>
      <c r="M493" s="5">
        <f t="shared" si="40"/>
        <v>7.9147034447391244E-3</v>
      </c>
      <c r="N493" s="5">
        <f t="shared" si="39"/>
        <v>1.3985516381519836E-2</v>
      </c>
      <c r="O493" s="5">
        <f t="shared" si="37"/>
        <v>7.5931962388209257E-3</v>
      </c>
      <c r="P493" s="79">
        <f t="shared" si="38"/>
        <v>8.9448065171152287E-3</v>
      </c>
    </row>
    <row r="494" spans="1:16">
      <c r="A494" s="73">
        <v>45373</v>
      </c>
      <c r="B494" s="45">
        <v>1382.7</v>
      </c>
      <c r="C494" s="105">
        <v>3948.6</v>
      </c>
      <c r="D494" s="5">
        <v>239.1</v>
      </c>
      <c r="E494" s="5">
        <v>520.79999999999995</v>
      </c>
      <c r="F494" s="45">
        <v>1898.45</v>
      </c>
      <c r="G494" s="5">
        <v>22096.75</v>
      </c>
      <c r="H494" s="5">
        <f t="shared" si="41"/>
        <v>2.2107056137425827E-3</v>
      </c>
      <c r="I494" s="5">
        <f t="shared" si="41"/>
        <v>-1.3306345815060535E-2</v>
      </c>
      <c r="J494" s="5">
        <f t="shared" si="41"/>
        <v>8.010118043844881E-3</v>
      </c>
      <c r="K494" s="5">
        <f t="shared" si="40"/>
        <v>-6.0120240480963658E-3</v>
      </c>
      <c r="L494" s="5">
        <f t="shared" si="40"/>
        <v>1.0673977853492309E-2</v>
      </c>
      <c r="M494" s="5">
        <f t="shared" si="40"/>
        <v>3.8524528721898457E-3</v>
      </c>
      <c r="N494" s="5">
        <f t="shared" si="39"/>
        <v>4.2302000197221986E-3</v>
      </c>
      <c r="O494" s="5">
        <f t="shared" si="37"/>
        <v>-2.8928009968418795E-3</v>
      </c>
      <c r="P494" s="79">
        <f t="shared" si="38"/>
        <v>-2.9292739866409972E-3</v>
      </c>
    </row>
    <row r="495" spans="1:16">
      <c r="A495" s="73">
        <v>45377</v>
      </c>
      <c r="B495" s="45">
        <v>1372.4</v>
      </c>
      <c r="C495" s="105">
        <v>3881.75</v>
      </c>
      <c r="D495" s="5">
        <v>239.8</v>
      </c>
      <c r="E495" s="5">
        <v>521.1</v>
      </c>
      <c r="F495" s="45">
        <v>1881.45</v>
      </c>
      <c r="G495" s="5">
        <v>22004.7</v>
      </c>
      <c r="H495" s="5">
        <f t="shared" si="41"/>
        <v>-7.4491936067114734E-3</v>
      </c>
      <c r="I495" s="5">
        <f t="shared" si="41"/>
        <v>-1.6930051157372211E-2</v>
      </c>
      <c r="J495" s="5">
        <f t="shared" si="41"/>
        <v>2.9276453366792851E-3</v>
      </c>
      <c r="K495" s="5">
        <f t="shared" si="40"/>
        <v>5.7603686635957808E-4</v>
      </c>
      <c r="L495" s="5">
        <f t="shared" si="40"/>
        <v>-8.9546735494745715E-3</v>
      </c>
      <c r="M495" s="5">
        <f t="shared" si="40"/>
        <v>-4.1657709844207533E-3</v>
      </c>
      <c r="N495" s="5">
        <f t="shared" si="39"/>
        <v>-7.3920225937987435E-3</v>
      </c>
      <c r="O495" s="5">
        <f t="shared" si="37"/>
        <v>-4.1954832310069929E-3</v>
      </c>
      <c r="P495" s="79">
        <f t="shared" si="38"/>
        <v>-5.1353440225658563E-3</v>
      </c>
    </row>
    <row r="496" spans="1:16">
      <c r="A496" s="73">
        <v>45378</v>
      </c>
      <c r="B496" s="45">
        <v>1367.3</v>
      </c>
      <c r="C496" s="105">
        <v>3875.2</v>
      </c>
      <c r="D496" s="5">
        <v>243.1</v>
      </c>
      <c r="E496" s="5">
        <v>521.65</v>
      </c>
      <c r="F496" s="45">
        <v>1891.75</v>
      </c>
      <c r="G496" s="5">
        <v>22123.65</v>
      </c>
      <c r="H496" s="5">
        <f t="shared" si="41"/>
        <v>-3.7161177499272341E-3</v>
      </c>
      <c r="I496" s="5">
        <f t="shared" si="41"/>
        <v>-1.6873832678560396E-3</v>
      </c>
      <c r="J496" s="5">
        <f t="shared" si="41"/>
        <v>1.3761467889908185E-2</v>
      </c>
      <c r="K496" s="5">
        <f t="shared" si="40"/>
        <v>1.0554596046823152E-3</v>
      </c>
      <c r="L496" s="5">
        <f t="shared" si="40"/>
        <v>5.4745010497222642E-3</v>
      </c>
      <c r="M496" s="5">
        <f t="shared" si="40"/>
        <v>5.4056633355601636E-3</v>
      </c>
      <c r="N496" s="5">
        <f t="shared" si="39"/>
        <v>1.8719578003198122E-3</v>
      </c>
      <c r="O496" s="5">
        <f t="shared" si="37"/>
        <v>-5.2320974133803389E-4</v>
      </c>
      <c r="P496" s="79">
        <f t="shared" si="38"/>
        <v>-4.4257500852761851E-4</v>
      </c>
    </row>
    <row r="497" spans="1:16">
      <c r="A497" s="73">
        <v>45379</v>
      </c>
      <c r="B497" s="45">
        <v>1364.2</v>
      </c>
      <c r="C497" s="105">
        <v>3948</v>
      </c>
      <c r="D497" s="5">
        <v>247.3</v>
      </c>
      <c r="E497" s="5">
        <v>523.15</v>
      </c>
      <c r="F497" s="45">
        <v>1864.1</v>
      </c>
      <c r="G497" s="5">
        <v>22326.9</v>
      </c>
      <c r="H497" s="5">
        <f t="shared" si="41"/>
        <v>-2.26724200980027E-3</v>
      </c>
      <c r="I497" s="5">
        <f t="shared" si="41"/>
        <v>1.8786127167630104E-2</v>
      </c>
      <c r="J497" s="5">
        <f t="shared" si="41"/>
        <v>1.7276840806252643E-2</v>
      </c>
      <c r="K497" s="5">
        <f t="shared" si="40"/>
        <v>2.8754912297517493E-3</v>
      </c>
      <c r="L497" s="5">
        <f t="shared" si="40"/>
        <v>-1.4616096207215589E-2</v>
      </c>
      <c r="M497" s="5">
        <f t="shared" si="40"/>
        <v>9.1870012407536724E-3</v>
      </c>
      <c r="N497" s="5">
        <f t="shared" si="39"/>
        <v>-5.5053236767259629E-3</v>
      </c>
      <c r="O497" s="5">
        <f t="shared" si="37"/>
        <v>2.4737475794932521E-3</v>
      </c>
      <c r="P497" s="79">
        <f t="shared" si="38"/>
        <v>3.9687114195648323E-3</v>
      </c>
    </row>
    <row r="498" spans="1:16">
      <c r="A498" s="73">
        <v>45383</v>
      </c>
      <c r="B498" s="45">
        <v>1369.2</v>
      </c>
      <c r="C498" s="105">
        <v>3886.8</v>
      </c>
      <c r="D498" s="5">
        <v>253.75</v>
      </c>
      <c r="E498" s="5">
        <v>529.15</v>
      </c>
      <c r="F498" s="45">
        <v>2000.8</v>
      </c>
      <c r="G498" s="5">
        <v>22462</v>
      </c>
      <c r="H498" s="5">
        <f t="shared" si="41"/>
        <v>3.6651517372819232E-3</v>
      </c>
      <c r="I498" s="5">
        <f t="shared" si="41"/>
        <v>-1.5501519756838859E-2</v>
      </c>
      <c r="J498" s="5">
        <f t="shared" si="41"/>
        <v>2.6081682167407961E-2</v>
      </c>
      <c r="K498" s="5">
        <f t="shared" si="40"/>
        <v>1.1468985950492212E-2</v>
      </c>
      <c r="L498" s="5">
        <f t="shared" si="40"/>
        <v>7.3332975698728639E-2</v>
      </c>
      <c r="M498" s="5">
        <f t="shared" si="40"/>
        <v>6.0509967796693017E-3</v>
      </c>
      <c r="N498" s="5">
        <f t="shared" si="39"/>
        <v>3.6958307539293377E-2</v>
      </c>
      <c r="O498" s="5">
        <f t="shared" si="37"/>
        <v>7.8191290857031522E-3</v>
      </c>
      <c r="P498" s="79">
        <f t="shared" si="38"/>
        <v>5.6924682452729686E-3</v>
      </c>
    </row>
    <row r="499" spans="1:16">
      <c r="A499" s="73">
        <v>45384</v>
      </c>
      <c r="B499" s="45">
        <v>1374.1</v>
      </c>
      <c r="C499" s="105">
        <v>3891.9</v>
      </c>
      <c r="D499" s="5">
        <v>252.2</v>
      </c>
      <c r="E499" s="5">
        <v>531.6</v>
      </c>
      <c r="F499" s="45">
        <v>1995.55</v>
      </c>
      <c r="G499" s="5">
        <v>22453.3</v>
      </c>
      <c r="H499" s="5">
        <f t="shared" si="41"/>
        <v>3.5787321063393686E-3</v>
      </c>
      <c r="I499" s="5">
        <f t="shared" si="41"/>
        <v>1.3121333744982786E-3</v>
      </c>
      <c r="J499" s="5">
        <f t="shared" si="41"/>
        <v>-6.1083743842364983E-3</v>
      </c>
      <c r="K499" s="5">
        <f t="shared" si="40"/>
        <v>4.6300670887272901E-3</v>
      </c>
      <c r="L499" s="5">
        <f t="shared" si="40"/>
        <v>-2.6239504198320674E-3</v>
      </c>
      <c r="M499" s="5">
        <f t="shared" si="40"/>
        <v>-3.8732080847657055E-4</v>
      </c>
      <c r="N499" s="5">
        <f t="shared" si="39"/>
        <v>3.9166359199350478E-4</v>
      </c>
      <c r="O499" s="5">
        <f t="shared" si="37"/>
        <v>3.4704123316148159E-3</v>
      </c>
      <c r="P499" s="79">
        <f t="shared" si="38"/>
        <v>3.0291266574868757E-3</v>
      </c>
    </row>
    <row r="500" spans="1:16">
      <c r="A500" s="73">
        <v>45385</v>
      </c>
      <c r="B500" s="45">
        <v>1369.55</v>
      </c>
      <c r="C500" s="105">
        <v>3922.85</v>
      </c>
      <c r="D500" s="5">
        <v>251.8</v>
      </c>
      <c r="E500" s="5">
        <v>531</v>
      </c>
      <c r="F500" s="45">
        <v>2236.6999999999998</v>
      </c>
      <c r="G500" s="5">
        <v>22434.65</v>
      </c>
      <c r="H500" s="5">
        <f t="shared" si="41"/>
        <v>-3.3112582781456624E-3</v>
      </c>
      <c r="I500" s="5">
        <f t="shared" si="41"/>
        <v>7.9524139880263675E-3</v>
      </c>
      <c r="J500" s="5">
        <f t="shared" si="41"/>
        <v>-1.5860428231561352E-3</v>
      </c>
      <c r="K500" s="5">
        <f t="shared" si="40"/>
        <v>-1.1286681715576047E-3</v>
      </c>
      <c r="L500" s="5">
        <f t="shared" si="40"/>
        <v>0.12084387762772161</v>
      </c>
      <c r="M500" s="5">
        <f t="shared" si="40"/>
        <v>-8.3061287204989106E-4</v>
      </c>
      <c r="N500" s="5">
        <f t="shared" si="39"/>
        <v>5.6316469471924313E-2</v>
      </c>
      <c r="O500" s="5">
        <f t="shared" si="37"/>
        <v>1.6275295743445398E-3</v>
      </c>
      <c r="P500" s="79">
        <f t="shared" si="38"/>
        <v>2.8745722436239831E-4</v>
      </c>
    </row>
    <row r="501" spans="1:16">
      <c r="A501" s="73">
        <v>45386</v>
      </c>
      <c r="B501" s="45">
        <v>1371.9</v>
      </c>
      <c r="C501" s="105">
        <v>4003.2</v>
      </c>
      <c r="D501" s="5">
        <v>251.5</v>
      </c>
      <c r="E501" s="5">
        <v>506.05</v>
      </c>
      <c r="F501" s="45">
        <v>2195.25</v>
      </c>
      <c r="G501" s="5">
        <v>22514.65</v>
      </c>
      <c r="H501" s="5">
        <f t="shared" si="41"/>
        <v>1.715892081340686E-3</v>
      </c>
      <c r="I501" s="5">
        <f t="shared" si="41"/>
        <v>2.0482557324394232E-2</v>
      </c>
      <c r="J501" s="5">
        <f t="shared" si="41"/>
        <v>-1.1914217633042549E-3</v>
      </c>
      <c r="K501" s="5">
        <f t="shared" si="40"/>
        <v>-4.6986817325800352E-2</v>
      </c>
      <c r="L501" s="5">
        <f t="shared" si="40"/>
        <v>-1.853176554745823E-2</v>
      </c>
      <c r="M501" s="5">
        <f t="shared" si="40"/>
        <v>3.5659125504520907E-3</v>
      </c>
      <c r="N501" s="5">
        <f t="shared" si="39"/>
        <v>-1.3378687254973601E-2</v>
      </c>
      <c r="O501" s="5">
        <f t="shared" si="37"/>
        <v>-2.0684179351181196E-2</v>
      </c>
      <c r="P501" s="79">
        <f t="shared" si="38"/>
        <v>-1.4830098157217019E-2</v>
      </c>
    </row>
    <row r="502" spans="1:16">
      <c r="A502" s="73">
        <v>45387</v>
      </c>
      <c r="B502" s="45">
        <v>1359.4</v>
      </c>
      <c r="C502" s="105">
        <v>3932.6</v>
      </c>
      <c r="D502" s="5">
        <v>254.95</v>
      </c>
      <c r="E502" s="5">
        <v>507.9</v>
      </c>
      <c r="F502" s="45">
        <v>2200.5500000000002</v>
      </c>
      <c r="G502" s="5">
        <v>22513.7</v>
      </c>
      <c r="H502" s="5">
        <f t="shared" si="41"/>
        <v>-9.1114512719585976E-3</v>
      </c>
      <c r="I502" s="5">
        <f t="shared" si="41"/>
        <v>-1.7635891286970403E-2</v>
      </c>
      <c r="J502" s="5">
        <f t="shared" si="41"/>
        <v>1.3717693836978085E-2</v>
      </c>
      <c r="K502" s="5">
        <f t="shared" si="40"/>
        <v>3.6557652405888072E-3</v>
      </c>
      <c r="L502" s="5">
        <f t="shared" si="40"/>
        <v>2.4143036100672732E-3</v>
      </c>
      <c r="M502" s="5">
        <f t="shared" si="40"/>
        <v>-4.2194748752511256E-5</v>
      </c>
      <c r="N502" s="5">
        <f t="shared" si="39"/>
        <v>-1.8627169614823295E-3</v>
      </c>
      <c r="O502" s="5">
        <f t="shared" si="37"/>
        <v>-2.8327726455469639E-3</v>
      </c>
      <c r="P502" s="79">
        <f t="shared" si="38"/>
        <v>-3.9643850296853236E-3</v>
      </c>
    </row>
    <row r="503" spans="1:16">
      <c r="A503" s="73">
        <v>45390</v>
      </c>
      <c r="B503" s="45">
        <v>1346.15</v>
      </c>
      <c r="C503" s="105">
        <v>3931.85</v>
      </c>
      <c r="D503" s="5">
        <v>256.45</v>
      </c>
      <c r="E503" s="5">
        <v>503.05</v>
      </c>
      <c r="F503" s="45">
        <v>2252.9</v>
      </c>
      <c r="G503" s="5">
        <v>22666.3</v>
      </c>
      <c r="H503" s="5">
        <f t="shared" si="41"/>
        <v>-9.7469471825805502E-3</v>
      </c>
      <c r="I503" s="5">
        <f t="shared" si="41"/>
        <v>-1.9071352286019428E-4</v>
      </c>
      <c r="J503" s="5">
        <f t="shared" si="41"/>
        <v>5.8835065699156704E-3</v>
      </c>
      <c r="K503" s="5">
        <f t="shared" si="40"/>
        <v>-9.549123843276169E-3</v>
      </c>
      <c r="L503" s="5">
        <f t="shared" si="40"/>
        <v>2.3789507168662336E-2</v>
      </c>
      <c r="M503" s="5">
        <f t="shared" si="40"/>
        <v>6.7780951154185467E-3</v>
      </c>
      <c r="N503" s="5">
        <f t="shared" si="39"/>
        <v>7.132223519366614E-3</v>
      </c>
      <c r="O503" s="5">
        <f t="shared" si="37"/>
        <v>-7.5721461970961901E-3</v>
      </c>
      <c r="P503" s="79">
        <f t="shared" si="38"/>
        <v>-7.0527203686461823E-3</v>
      </c>
    </row>
    <row r="504" spans="1:16">
      <c r="A504" s="73">
        <v>45391</v>
      </c>
      <c r="B504" s="45">
        <v>1343.2</v>
      </c>
      <c r="C504" s="105">
        <v>3902.35</v>
      </c>
      <c r="D504" s="5">
        <v>255.75</v>
      </c>
      <c r="E504" s="5">
        <v>503.15</v>
      </c>
      <c r="F504" s="45">
        <v>2224.25</v>
      </c>
      <c r="G504" s="5">
        <v>22642.75</v>
      </c>
      <c r="H504" s="5">
        <f t="shared" si="41"/>
        <v>-2.1914348326709842E-3</v>
      </c>
      <c r="I504" s="5">
        <f t="shared" si="41"/>
        <v>-7.5028294568714477E-3</v>
      </c>
      <c r="J504" s="5">
        <f t="shared" si="41"/>
        <v>-2.7295769155780414E-3</v>
      </c>
      <c r="K504" s="5">
        <f t="shared" si="40"/>
        <v>1.9878739687897006E-4</v>
      </c>
      <c r="L504" s="5">
        <f t="shared" si="40"/>
        <v>-1.2716942607306178E-2</v>
      </c>
      <c r="M504" s="5">
        <f t="shared" si="40"/>
        <v>-1.0389873953843051E-3</v>
      </c>
      <c r="N504" s="5">
        <f t="shared" si="39"/>
        <v>-7.1847828020004043E-3</v>
      </c>
      <c r="O504" s="5">
        <f t="shared" si="37"/>
        <v>-1.7814521391750695E-3</v>
      </c>
      <c r="P504" s="79">
        <f t="shared" si="38"/>
        <v>-2.1678014071220271E-3</v>
      </c>
    </row>
    <row r="505" spans="1:16">
      <c r="A505" s="73">
        <v>45392</v>
      </c>
      <c r="B505" s="45">
        <v>1380.35</v>
      </c>
      <c r="C505" s="105">
        <v>4021.15</v>
      </c>
      <c r="D505" s="5">
        <v>262.5</v>
      </c>
      <c r="E505" s="5">
        <v>506.25</v>
      </c>
      <c r="F505" s="45">
        <v>2206.75</v>
      </c>
      <c r="G505" s="5">
        <v>22753.8</v>
      </c>
      <c r="H505" s="5">
        <f t="shared" si="41"/>
        <v>2.7657832042882566E-2</v>
      </c>
      <c r="I505" s="5">
        <f t="shared" si="41"/>
        <v>3.0443194485374244E-2</v>
      </c>
      <c r="J505" s="5">
        <f t="shared" si="41"/>
        <v>2.6392961876832845E-2</v>
      </c>
      <c r="K505" s="5">
        <f t="shared" si="40"/>
        <v>6.1611845374143354E-3</v>
      </c>
      <c r="L505" s="5">
        <f t="shared" si="40"/>
        <v>-7.8678206136900079E-3</v>
      </c>
      <c r="M505" s="5">
        <f t="shared" si="40"/>
        <v>4.9044396109129531E-3</v>
      </c>
      <c r="N505" s="5">
        <f t="shared" si="39"/>
        <v>8.1011991573929805E-3</v>
      </c>
      <c r="O505" s="5">
        <f t="shared" si="37"/>
        <v>1.6659978444529443E-2</v>
      </c>
      <c r="P505" s="79">
        <f t="shared" si="38"/>
        <v>1.932575120575538E-2</v>
      </c>
    </row>
    <row r="506" spans="1:16">
      <c r="A506" s="73">
        <v>45394</v>
      </c>
      <c r="B506" s="45">
        <v>1387.5</v>
      </c>
      <c r="C506" s="105">
        <v>4053.85</v>
      </c>
      <c r="D506" s="5">
        <v>262.5</v>
      </c>
      <c r="E506" s="5">
        <v>500.6</v>
      </c>
      <c r="F506" s="45">
        <v>2214.4499999999998</v>
      </c>
      <c r="G506" s="5">
        <v>22519.4</v>
      </c>
      <c r="H506" s="5">
        <f t="shared" si="41"/>
        <v>5.1798456913102415E-3</v>
      </c>
      <c r="I506" s="5">
        <f t="shared" si="41"/>
        <v>8.132002039217592E-3</v>
      </c>
      <c r="J506" s="5">
        <f t="shared" si="41"/>
        <v>0</v>
      </c>
      <c r="K506" s="5">
        <f t="shared" si="40"/>
        <v>-1.1160493827160448E-2</v>
      </c>
      <c r="L506" s="5">
        <f t="shared" si="40"/>
        <v>3.4892942109436133E-3</v>
      </c>
      <c r="M506" s="5">
        <f t="shared" si="40"/>
        <v>-1.030157600049213E-2</v>
      </c>
      <c r="N506" s="5">
        <f t="shared" si="39"/>
        <v>2.1938090382044697E-3</v>
      </c>
      <c r="O506" s="5">
        <f t="shared" si="37"/>
        <v>-2.6524475527675449E-3</v>
      </c>
      <c r="P506" s="79">
        <f t="shared" si="38"/>
        <v>-1.0836762621783016E-3</v>
      </c>
    </row>
    <row r="507" spans="1:16">
      <c r="A507" s="73">
        <v>45397</v>
      </c>
      <c r="B507" s="45">
        <v>1342.45</v>
      </c>
      <c r="C507" s="105">
        <v>3969.2</v>
      </c>
      <c r="D507" s="5">
        <v>256.5</v>
      </c>
      <c r="E507" s="5">
        <v>495.2</v>
      </c>
      <c r="F507" s="45">
        <v>2146.6</v>
      </c>
      <c r="G507" s="5">
        <v>22272.5</v>
      </c>
      <c r="H507" s="5">
        <f t="shared" si="41"/>
        <v>-3.2468468468468438E-2</v>
      </c>
      <c r="I507" s="5">
        <f t="shared" si="41"/>
        <v>-2.0881384363012963E-2</v>
      </c>
      <c r="J507" s="5">
        <f t="shared" si="41"/>
        <v>-2.2857142857142857E-2</v>
      </c>
      <c r="K507" s="5">
        <f t="shared" si="40"/>
        <v>-1.0787055533360035E-2</v>
      </c>
      <c r="L507" s="5">
        <f t="shared" si="40"/>
        <v>-3.0639662218609549E-2</v>
      </c>
      <c r="M507" s="5">
        <f t="shared" si="40"/>
        <v>-1.0963880032327745E-2</v>
      </c>
      <c r="N507" s="5">
        <f t="shared" si="39"/>
        <v>-2.7628966413600742E-2</v>
      </c>
      <c r="O507" s="5">
        <f t="shared" si="37"/>
        <v>-2.0549681811595881E-2</v>
      </c>
      <c r="P507" s="79">
        <f t="shared" si="38"/>
        <v>-2.1668184569420951E-2</v>
      </c>
    </row>
    <row r="508" spans="1:16">
      <c r="A508" s="73">
        <v>45398</v>
      </c>
      <c r="B508" s="45">
        <v>1339</v>
      </c>
      <c r="C508" s="105">
        <v>3988.2</v>
      </c>
      <c r="D508" s="5">
        <v>257.75</v>
      </c>
      <c r="E508" s="5">
        <v>503.9</v>
      </c>
      <c r="F508" s="45">
        <v>2213</v>
      </c>
      <c r="G508" s="5">
        <v>22147.9</v>
      </c>
      <c r="H508" s="5">
        <f t="shared" si="41"/>
        <v>-2.5699281165034418E-3</v>
      </c>
      <c r="I508" s="5">
        <f t="shared" si="41"/>
        <v>4.7868588128590142E-3</v>
      </c>
      <c r="J508" s="5">
        <f t="shared" si="41"/>
        <v>4.8732943469785572E-3</v>
      </c>
      <c r="K508" s="5">
        <f t="shared" si="40"/>
        <v>1.7568659127625178E-2</v>
      </c>
      <c r="L508" s="5">
        <f t="shared" si="40"/>
        <v>3.0932637659554688E-2</v>
      </c>
      <c r="M508" s="5">
        <f t="shared" si="40"/>
        <v>-5.594342799416255E-3</v>
      </c>
      <c r="N508" s="5">
        <f t="shared" si="39"/>
        <v>1.6665768368890652E-2</v>
      </c>
      <c r="O508" s="5">
        <f t="shared" si="37"/>
        <v>8.8489854578612005E-3</v>
      </c>
      <c r="P508" s="79">
        <f t="shared" si="38"/>
        <v>7.1055163562881683E-3</v>
      </c>
    </row>
    <row r="509" spans="1:16">
      <c r="A509" s="73">
        <v>45400</v>
      </c>
      <c r="B509" s="45">
        <v>1343.55</v>
      </c>
      <c r="C509" s="105">
        <v>4087.1</v>
      </c>
      <c r="D509" s="5">
        <v>253.2</v>
      </c>
      <c r="E509" s="5">
        <v>503.85</v>
      </c>
      <c r="F509" s="45">
        <v>2158.6</v>
      </c>
      <c r="G509" s="5">
        <v>21995.85</v>
      </c>
      <c r="H509" s="5">
        <f t="shared" si="41"/>
        <v>3.3980582524271506E-3</v>
      </c>
      <c r="I509" s="5">
        <f t="shared" si="41"/>
        <v>2.4798154555940047E-2</v>
      </c>
      <c r="J509" s="5">
        <f t="shared" si="41"/>
        <v>-1.7652764306498588E-2</v>
      </c>
      <c r="K509" s="5">
        <f t="shared" si="40"/>
        <v>-9.9226036911995489E-5</v>
      </c>
      <c r="L509" s="5">
        <f t="shared" si="40"/>
        <v>-2.4582015363759643E-2</v>
      </c>
      <c r="M509" s="5">
        <f t="shared" si="40"/>
        <v>-6.865210697176838E-3</v>
      </c>
      <c r="N509" s="5">
        <f t="shared" si="39"/>
        <v>-9.4626217483880157E-3</v>
      </c>
      <c r="O509" s="5">
        <f t="shared" si="37"/>
        <v>2.5125073634562275E-3</v>
      </c>
      <c r="P509" s="79">
        <f t="shared" si="38"/>
        <v>3.7899024070359813E-3</v>
      </c>
    </row>
    <row r="510" spans="1:16">
      <c r="A510" s="73">
        <v>45401</v>
      </c>
      <c r="B510" s="45">
        <v>1320.4</v>
      </c>
      <c r="C510" s="105">
        <v>4158.95</v>
      </c>
      <c r="D510" s="5">
        <v>254.55</v>
      </c>
      <c r="E510" s="5">
        <v>504.2</v>
      </c>
      <c r="F510" s="45">
        <v>2189.1</v>
      </c>
      <c r="G510" s="5">
        <v>22147</v>
      </c>
      <c r="H510" s="5">
        <f t="shared" si="41"/>
        <v>-1.7230471512038902E-2</v>
      </c>
      <c r="I510" s="5">
        <f t="shared" si="41"/>
        <v>1.7579701989185466E-2</v>
      </c>
      <c r="J510" s="5">
        <f t="shared" si="41"/>
        <v>5.3317535545024594E-3</v>
      </c>
      <c r="K510" s="5">
        <f t="shared" si="40"/>
        <v>6.9465118586874239E-4</v>
      </c>
      <c r="L510" s="5">
        <f t="shared" si="40"/>
        <v>1.4129528398035765E-2</v>
      </c>
      <c r="M510" s="5">
        <f t="shared" si="40"/>
        <v>6.8717508075387618E-3</v>
      </c>
      <c r="N510" s="5">
        <f t="shared" si="39"/>
        <v>2.8662610871718077E-3</v>
      </c>
      <c r="O510" s="5">
        <f t="shared" si="37"/>
        <v>-3.9317548329270815E-3</v>
      </c>
      <c r="P510" s="79">
        <f t="shared" si="38"/>
        <v>-3.4162371689495756E-3</v>
      </c>
    </row>
    <row r="511" spans="1:16">
      <c r="A511" s="73">
        <v>45404</v>
      </c>
      <c r="B511" s="45">
        <v>1342.75</v>
      </c>
      <c r="C511" s="105">
        <v>4168.6000000000004</v>
      </c>
      <c r="D511" s="5">
        <v>259.35000000000002</v>
      </c>
      <c r="E511" s="5">
        <v>506.15</v>
      </c>
      <c r="F511" s="45">
        <v>2172.1</v>
      </c>
      <c r="G511" s="5">
        <v>22336.400000000001</v>
      </c>
      <c r="H511" s="5">
        <f t="shared" si="41"/>
        <v>1.6926688882156853E-2</v>
      </c>
      <c r="I511" s="5">
        <f t="shared" si="41"/>
        <v>2.3202971903967459E-3</v>
      </c>
      <c r="J511" s="5">
        <f t="shared" si="41"/>
        <v>1.8856806128462036E-2</v>
      </c>
      <c r="K511" s="5">
        <f t="shared" si="40"/>
        <v>3.8675128917096168E-3</v>
      </c>
      <c r="L511" s="5">
        <f t="shared" si="40"/>
        <v>-7.7657484811109595E-3</v>
      </c>
      <c r="M511" s="5">
        <f t="shared" si="40"/>
        <v>8.5519483451483927E-3</v>
      </c>
      <c r="N511" s="5">
        <f t="shared" si="39"/>
        <v>2.6006541733254872E-3</v>
      </c>
      <c r="O511" s="5">
        <f t="shared" si="37"/>
        <v>8.7152586518061091E-3</v>
      </c>
      <c r="P511" s="79">
        <f t="shared" si="38"/>
        <v>9.5504042386103747E-3</v>
      </c>
    </row>
    <row r="512" spans="1:16">
      <c r="A512" s="73">
        <v>45405</v>
      </c>
      <c r="B512" s="45">
        <v>1352.1</v>
      </c>
      <c r="C512" s="105">
        <v>4158.3</v>
      </c>
      <c r="D512" s="5">
        <v>260.14999999999998</v>
      </c>
      <c r="E512" s="5">
        <v>507.15</v>
      </c>
      <c r="F512" s="45">
        <v>2258.65</v>
      </c>
      <c r="G512" s="5">
        <v>22368</v>
      </c>
      <c r="H512" s="5">
        <f t="shared" si="41"/>
        <v>6.9633215416122947E-3</v>
      </c>
      <c r="I512" s="5">
        <f t="shared" si="41"/>
        <v>-2.4708535239649238E-3</v>
      </c>
      <c r="J512" s="5">
        <f t="shared" si="41"/>
        <v>3.0846346635818563E-3</v>
      </c>
      <c r="K512" s="5">
        <f t="shared" si="40"/>
        <v>1.9756989034871086E-3</v>
      </c>
      <c r="L512" s="5">
        <f t="shared" si="40"/>
        <v>3.9846231757285661E-2</v>
      </c>
      <c r="M512" s="5">
        <f t="shared" si="40"/>
        <v>1.4147311115487967E-3</v>
      </c>
      <c r="N512" s="5">
        <f t="shared" si="39"/>
        <v>2.1076224978611117E-2</v>
      </c>
      <c r="O512" s="5">
        <f t="shared" si="37"/>
        <v>4.2814480882445126E-3</v>
      </c>
      <c r="P512" s="79">
        <f t="shared" si="38"/>
        <v>3.6175842462142357E-3</v>
      </c>
    </row>
    <row r="513" spans="1:16">
      <c r="A513" s="73">
        <v>45406</v>
      </c>
      <c r="B513" s="45">
        <v>1362.95</v>
      </c>
      <c r="C513" s="105">
        <v>4221.75</v>
      </c>
      <c r="D513" s="5">
        <v>264.05</v>
      </c>
      <c r="E513" s="5">
        <v>509.45</v>
      </c>
      <c r="F513" s="45">
        <v>2309.6</v>
      </c>
      <c r="G513" s="5">
        <v>22402.400000000001</v>
      </c>
      <c r="H513" s="5">
        <f t="shared" si="41"/>
        <v>8.0245543968642391E-3</v>
      </c>
      <c r="I513" s="5">
        <f t="shared" si="41"/>
        <v>1.525863934781036E-2</v>
      </c>
      <c r="J513" s="5">
        <f t="shared" si="41"/>
        <v>1.499135114357115E-2</v>
      </c>
      <c r="K513" s="5">
        <f t="shared" si="40"/>
        <v>4.5351473922902721E-3</v>
      </c>
      <c r="L513" s="5">
        <f t="shared" si="40"/>
        <v>2.2557722533371623E-2</v>
      </c>
      <c r="M513" s="5">
        <f t="shared" si="40"/>
        <v>1.5379113018598647E-3</v>
      </c>
      <c r="N513" s="5">
        <f t="shared" si="39"/>
        <v>1.5053641303836345E-2</v>
      </c>
      <c r="O513" s="5">
        <f t="shared" si="37"/>
        <v>7.5286050545392393E-3</v>
      </c>
      <c r="P513" s="79">
        <f t="shared" si="38"/>
        <v>8.2707771061973669E-3</v>
      </c>
    </row>
    <row r="514" spans="1:16">
      <c r="A514" s="73">
        <v>45407</v>
      </c>
      <c r="B514" s="45">
        <v>1349.45</v>
      </c>
      <c r="C514" s="105">
        <v>4323.1499999999996</v>
      </c>
      <c r="D514" s="5">
        <v>271.60000000000002</v>
      </c>
      <c r="E514" s="5">
        <v>506.45</v>
      </c>
      <c r="F514" s="45">
        <v>2455.85</v>
      </c>
      <c r="G514" s="5">
        <v>22570.35</v>
      </c>
      <c r="H514" s="5">
        <f t="shared" si="41"/>
        <v>-9.9049855093730505E-3</v>
      </c>
      <c r="I514" s="5">
        <f t="shared" si="41"/>
        <v>2.4018475750577282E-2</v>
      </c>
      <c r="J514" s="5">
        <f t="shared" si="41"/>
        <v>2.8593069494413977E-2</v>
      </c>
      <c r="K514" s="5">
        <f t="shared" si="40"/>
        <v>-5.8887035037785852E-3</v>
      </c>
      <c r="L514" s="5">
        <f t="shared" si="40"/>
        <v>6.3322653273294074E-2</v>
      </c>
      <c r="M514" s="5">
        <f t="shared" si="40"/>
        <v>7.4969646109344125E-3</v>
      </c>
      <c r="N514" s="5">
        <f t="shared" si="39"/>
        <v>2.8401279794394798E-2</v>
      </c>
      <c r="O514" s="5">
        <f t="shared" si="37"/>
        <v>-2.0667237839387476E-3</v>
      </c>
      <c r="P514" s="79">
        <f t="shared" si="38"/>
        <v>-3.9969546574201428E-4</v>
      </c>
    </row>
    <row r="515" spans="1:16">
      <c r="A515" s="73">
        <v>45408</v>
      </c>
      <c r="B515" s="45">
        <v>1363.4</v>
      </c>
      <c r="C515" s="105">
        <v>4304.8500000000004</v>
      </c>
      <c r="D515" s="5">
        <v>278.85000000000002</v>
      </c>
      <c r="E515" s="5">
        <v>509</v>
      </c>
      <c r="F515" s="45">
        <v>2408.5500000000002</v>
      </c>
      <c r="G515" s="5">
        <v>22419.95</v>
      </c>
      <c r="H515" s="5">
        <f t="shared" si="41"/>
        <v>1.0337544925710509E-2</v>
      </c>
      <c r="I515" s="5">
        <f t="shared" si="41"/>
        <v>-4.2330245307239571E-3</v>
      </c>
      <c r="J515" s="5">
        <f t="shared" si="41"/>
        <v>2.6693667157584682E-2</v>
      </c>
      <c r="K515" s="5">
        <f t="shared" si="40"/>
        <v>5.0350478823181187E-3</v>
      </c>
      <c r="L515" s="5">
        <f t="shared" si="40"/>
        <v>-1.9260133965836566E-2</v>
      </c>
      <c r="M515" s="5">
        <f t="shared" si="40"/>
        <v>-6.663609558557923E-3</v>
      </c>
      <c r="N515" s="5">
        <f t="shared" si="39"/>
        <v>-4.8495756646982583E-3</v>
      </c>
      <c r="O515" s="5">
        <f t="shared" si="37"/>
        <v>6.1813910978459757E-3</v>
      </c>
      <c r="P515" s="79">
        <f t="shared" si="38"/>
        <v>6.8140419006469761E-3</v>
      </c>
    </row>
    <row r="516" spans="1:16">
      <c r="A516" s="73">
        <v>45411</v>
      </c>
      <c r="B516" s="45">
        <v>1356.7</v>
      </c>
      <c r="C516" s="105">
        <v>4314.1000000000004</v>
      </c>
      <c r="D516" s="5">
        <v>276.89999999999998</v>
      </c>
      <c r="E516" s="5">
        <v>506.7</v>
      </c>
      <c r="F516" s="45">
        <v>2376.9</v>
      </c>
      <c r="G516" s="5">
        <v>22643.4</v>
      </c>
      <c r="H516" s="5">
        <f t="shared" si="41"/>
        <v>-4.9141851254217725E-3</v>
      </c>
      <c r="I516" s="5">
        <f t="shared" si="41"/>
        <v>2.1487392127484115E-3</v>
      </c>
      <c r="J516" s="5">
        <f t="shared" si="41"/>
        <v>-6.9930069930071552E-3</v>
      </c>
      <c r="K516" s="5">
        <f t="shared" si="40"/>
        <v>-4.5186640471512997E-3</v>
      </c>
      <c r="L516" s="5">
        <f t="shared" si="40"/>
        <v>-1.3140686305038337E-2</v>
      </c>
      <c r="M516" s="5">
        <f t="shared" si="40"/>
        <v>9.9665699522077759E-3</v>
      </c>
      <c r="N516" s="5">
        <f t="shared" si="39"/>
        <v>-8.340314635515423E-3</v>
      </c>
      <c r="O516" s="5">
        <f t="shared" ref="O516:O579" si="42">$V$86*H516 +$V$87*I516 + $V$88*J516 + $V$89*K516+ $V$90*L516</f>
        <v>-4.2978408333031902E-3</v>
      </c>
      <c r="P516" s="79">
        <f t="shared" ref="P516:P579" si="43">$V$104*H516 +$V$105*I516 + $V$106*J516 + $V$107*K516+ $V$108*L516</f>
        <v>-3.8835568163469725E-3</v>
      </c>
    </row>
    <row r="517" spans="1:16">
      <c r="A517" s="73">
        <v>45412</v>
      </c>
      <c r="B517" s="45">
        <v>1369.15</v>
      </c>
      <c r="C517" s="105">
        <v>4409.8999999999996</v>
      </c>
      <c r="D517" s="5">
        <v>281.7</v>
      </c>
      <c r="E517" s="5">
        <v>507.75</v>
      </c>
      <c r="F517" s="45">
        <v>2348.9499999999998</v>
      </c>
      <c r="G517" s="5">
        <v>22604.85</v>
      </c>
      <c r="H517" s="5">
        <f t="shared" si="41"/>
        <v>9.1766787056829398E-3</v>
      </c>
      <c r="I517" s="5">
        <f t="shared" si="41"/>
        <v>2.2206253911592051E-2</v>
      </c>
      <c r="J517" s="5">
        <f t="shared" si="41"/>
        <v>1.7334777898158224E-2</v>
      </c>
      <c r="K517" s="5">
        <f t="shared" si="40"/>
        <v>2.0722320899941018E-3</v>
      </c>
      <c r="L517" s="5">
        <f t="shared" si="40"/>
        <v>-1.1759013841558447E-2</v>
      </c>
      <c r="M517" s="5">
        <f t="shared" si="40"/>
        <v>-1.7024828426827645E-3</v>
      </c>
      <c r="N517" s="5">
        <f t="shared" ref="N517:N580" si="44">((H517 *0.3 ) + (I517 * 0.064462757 ) + (J517 * 0.026806099 ) + (K517 * 0.137093997) + (L517 * 0.471637147))</f>
        <v>-6.1273942586799988E-4</v>
      </c>
      <c r="O517" s="5">
        <f t="shared" si="42"/>
        <v>6.7132910242321186E-3</v>
      </c>
      <c r="P517" s="79">
        <f t="shared" si="43"/>
        <v>8.6797923314798405E-3</v>
      </c>
    </row>
    <row r="518" spans="1:16">
      <c r="A518" s="73">
        <v>45414</v>
      </c>
      <c r="B518" s="45">
        <v>1354.25</v>
      </c>
      <c r="C518" s="105">
        <v>4646.7</v>
      </c>
      <c r="D518" s="5">
        <v>292.7</v>
      </c>
      <c r="E518" s="5">
        <v>525.29999999999995</v>
      </c>
      <c r="F518" s="45">
        <v>2351.65</v>
      </c>
      <c r="G518" s="5">
        <v>22648.2</v>
      </c>
      <c r="H518" s="5">
        <f t="shared" si="41"/>
        <v>-1.0882664426834233E-2</v>
      </c>
      <c r="I518" s="5">
        <f t="shared" si="41"/>
        <v>5.3697362751989886E-2</v>
      </c>
      <c r="J518" s="5">
        <f t="shared" si="41"/>
        <v>3.9048633297834576E-2</v>
      </c>
      <c r="K518" s="5">
        <f t="shared" si="40"/>
        <v>3.4564254062038315E-2</v>
      </c>
      <c r="L518" s="5">
        <f t="shared" si="40"/>
        <v>1.1494497541455855E-3</v>
      </c>
      <c r="M518" s="5">
        <f t="shared" si="40"/>
        <v>1.9177300446586545E-3</v>
      </c>
      <c r="N518" s="5">
        <f t="shared" si="44"/>
        <v>6.5240971939219492E-3</v>
      </c>
      <c r="O518" s="5">
        <f t="shared" si="42"/>
        <v>1.8898272144119963E-2</v>
      </c>
      <c r="P518" s="79">
        <f t="shared" si="43"/>
        <v>1.9636046197910633E-2</v>
      </c>
    </row>
    <row r="519" spans="1:16">
      <c r="A519" s="73">
        <v>45415</v>
      </c>
      <c r="B519" s="45">
        <v>1338.35</v>
      </c>
      <c r="C519" s="105">
        <v>4523.6499999999996</v>
      </c>
      <c r="D519" s="5">
        <v>305</v>
      </c>
      <c r="E519" s="5">
        <v>531.75</v>
      </c>
      <c r="F519" s="45">
        <v>2364.6999999999998</v>
      </c>
      <c r="G519" s="5">
        <v>22475.85</v>
      </c>
      <c r="H519" s="5">
        <f t="shared" si="41"/>
        <v>-1.1740815949787773E-2</v>
      </c>
      <c r="I519" s="5">
        <f t="shared" si="41"/>
        <v>-2.648115867174558E-2</v>
      </c>
      <c r="J519" s="5">
        <f t="shared" si="41"/>
        <v>4.2022548684660099E-2</v>
      </c>
      <c r="K519" s="5">
        <f t="shared" si="40"/>
        <v>1.2278697886921847E-2</v>
      </c>
      <c r="L519" s="5">
        <f t="shared" si="40"/>
        <v>5.5492951757275645E-3</v>
      </c>
      <c r="M519" s="5">
        <f t="shared" si="40"/>
        <v>-7.6098762815588958E-3</v>
      </c>
      <c r="N519" s="5">
        <f t="shared" si="44"/>
        <v>1.9775683461639064E-4</v>
      </c>
      <c r="O519" s="5">
        <f t="shared" si="42"/>
        <v>3.9324635467651579E-4</v>
      </c>
      <c r="P519" s="79">
        <f t="shared" si="43"/>
        <v>-1.257058191171572E-3</v>
      </c>
    </row>
    <row r="520" spans="1:16">
      <c r="A520" s="73">
        <v>45418</v>
      </c>
      <c r="B520" s="45">
        <v>1331.3</v>
      </c>
      <c r="C520" s="105">
        <v>4509.05</v>
      </c>
      <c r="D520" s="5">
        <v>288.95</v>
      </c>
      <c r="E520" s="5">
        <v>530.79999999999995</v>
      </c>
      <c r="F520" s="45">
        <v>2256.0500000000002</v>
      </c>
      <c r="G520" s="5">
        <v>22442.7</v>
      </c>
      <c r="H520" s="5">
        <f t="shared" si="41"/>
        <v>-5.2676803526730343E-3</v>
      </c>
      <c r="I520" s="5">
        <f t="shared" si="41"/>
        <v>-3.2274822322680701E-3</v>
      </c>
      <c r="J520" s="5">
        <f t="shared" si="41"/>
        <v>-5.2622950819672165E-2</v>
      </c>
      <c r="K520" s="5">
        <f t="shared" si="40"/>
        <v>-1.7865538316879088E-3</v>
      </c>
      <c r="L520" s="5">
        <f t="shared" si="40"/>
        <v>-4.5946631708038928E-2</v>
      </c>
      <c r="M520" s="5">
        <f t="shared" si="40"/>
        <v>-1.4749164102802706E-3</v>
      </c>
      <c r="N520" s="5">
        <f t="shared" si="44"/>
        <v>-2.5114036636687664E-2</v>
      </c>
      <c r="O520" s="5">
        <f t="shared" si="42"/>
        <v>-5.5974025568724479E-3</v>
      </c>
      <c r="P520" s="79">
        <f t="shared" si="43"/>
        <v>-6.7095641569141374E-3</v>
      </c>
    </row>
    <row r="521" spans="1:16">
      <c r="A521" s="73">
        <v>45419</v>
      </c>
      <c r="B521" s="45">
        <v>1324</v>
      </c>
      <c r="C521" s="105">
        <v>4503.95</v>
      </c>
      <c r="D521" s="5">
        <v>280.25</v>
      </c>
      <c r="E521" s="5">
        <v>558.45000000000005</v>
      </c>
      <c r="F521" s="45">
        <v>2163.65</v>
      </c>
      <c r="G521" s="5">
        <v>22302.5</v>
      </c>
      <c r="H521" s="5">
        <f t="shared" si="41"/>
        <v>-5.4833621272440134E-3</v>
      </c>
      <c r="I521" s="5">
        <f t="shared" si="41"/>
        <v>-1.1310586487176598E-3</v>
      </c>
      <c r="J521" s="5">
        <f t="shared" si="41"/>
        <v>-3.0109015400588298E-2</v>
      </c>
      <c r="K521" s="5">
        <f t="shared" si="40"/>
        <v>5.2091183119819313E-2</v>
      </c>
      <c r="L521" s="5">
        <f t="shared" si="40"/>
        <v>-4.0956539083796942E-2</v>
      </c>
      <c r="M521" s="5">
        <f t="shared" si="40"/>
        <v>-6.2470201891929545E-3</v>
      </c>
      <c r="N521" s="5">
        <f t="shared" si="44"/>
        <v>-1.4700261786739957E-2</v>
      </c>
      <c r="O521" s="5">
        <f t="shared" si="42"/>
        <v>2.1398260700012387E-2</v>
      </c>
      <c r="P521" s="79">
        <f t="shared" si="43"/>
        <v>1.5953293602456307E-2</v>
      </c>
    </row>
    <row r="522" spans="1:16">
      <c r="A522" s="73">
        <v>45420</v>
      </c>
      <c r="B522" s="45">
        <v>1320.55</v>
      </c>
      <c r="C522" s="105">
        <v>4498.6000000000004</v>
      </c>
      <c r="D522" s="5">
        <v>286.3</v>
      </c>
      <c r="E522" s="5">
        <v>556.6</v>
      </c>
      <c r="F522" s="45">
        <v>2261.6</v>
      </c>
      <c r="G522" s="5">
        <v>22302.5</v>
      </c>
      <c r="H522" s="5">
        <f t="shared" si="41"/>
        <v>-2.6057401812689166E-3</v>
      </c>
      <c r="I522" s="5">
        <f t="shared" si="41"/>
        <v>-1.1878462238700373E-3</v>
      </c>
      <c r="J522" s="5">
        <f t="shared" si="41"/>
        <v>2.1587867975022341E-2</v>
      </c>
      <c r="K522" s="5">
        <f t="shared" si="40"/>
        <v>-3.312740621362741E-3</v>
      </c>
      <c r="L522" s="5">
        <f t="shared" si="40"/>
        <v>4.5270723083677959E-2</v>
      </c>
      <c r="M522" s="5">
        <f t="shared" si="40"/>
        <v>0</v>
      </c>
      <c r="N522" s="5">
        <f t="shared" si="44"/>
        <v>2.0617590454280032E-2</v>
      </c>
      <c r="O522" s="5">
        <f t="shared" si="42"/>
        <v>-1.0808211101237906E-3</v>
      </c>
      <c r="P522" s="79">
        <f t="shared" si="43"/>
        <v>-8.7297851748284277E-4</v>
      </c>
    </row>
    <row r="523" spans="1:16">
      <c r="A523" s="73">
        <v>45421</v>
      </c>
      <c r="B523" s="45">
        <v>1298.55</v>
      </c>
      <c r="C523" s="105">
        <v>4407.95</v>
      </c>
      <c r="D523" s="5">
        <v>273.14999999999998</v>
      </c>
      <c r="E523" s="5">
        <v>552.79999999999995</v>
      </c>
      <c r="F523" s="45">
        <v>2212.1999999999998</v>
      </c>
      <c r="G523" s="5">
        <v>21957.5</v>
      </c>
      <c r="H523" s="5">
        <f t="shared" si="41"/>
        <v>-1.665972511453561E-2</v>
      </c>
      <c r="I523" s="5">
        <f t="shared" si="41"/>
        <v>-2.0150713555328444E-2</v>
      </c>
      <c r="J523" s="5">
        <f t="shared" si="41"/>
        <v>-4.5930841774362671E-2</v>
      </c>
      <c r="K523" s="5">
        <f t="shared" si="40"/>
        <v>-6.8271649299318504E-3</v>
      </c>
      <c r="L523" s="5">
        <f t="shared" si="40"/>
        <v>-2.184294304916877E-2</v>
      </c>
      <c r="M523" s="5">
        <f t="shared" si="40"/>
        <v>-1.5469117811904494E-2</v>
      </c>
      <c r="N523" s="5">
        <f t="shared" si="44"/>
        <v>-1.8766021447627346E-2</v>
      </c>
      <c r="O523" s="5">
        <f t="shared" si="42"/>
        <v>-1.3138028870050882E-2</v>
      </c>
      <c r="P523" s="79">
        <f t="shared" si="43"/>
        <v>-1.5109767005799973E-2</v>
      </c>
    </row>
    <row r="524" spans="1:16">
      <c r="A524" s="73">
        <v>45422</v>
      </c>
      <c r="B524" s="45">
        <v>1309.0999999999999</v>
      </c>
      <c r="C524" s="105">
        <v>4471.3999999999996</v>
      </c>
      <c r="D524" s="5">
        <v>274.3</v>
      </c>
      <c r="E524" s="5">
        <v>550.79999999999995</v>
      </c>
      <c r="F524" s="45">
        <v>2196.9499999999998</v>
      </c>
      <c r="G524" s="5">
        <v>22055.200000000001</v>
      </c>
      <c r="H524" s="5">
        <f t="shared" si="41"/>
        <v>8.124446498016984E-3</v>
      </c>
      <c r="I524" s="5">
        <f t="shared" si="41"/>
        <v>1.4394446397985417E-2</v>
      </c>
      <c r="J524" s="5">
        <f t="shared" si="41"/>
        <v>4.2101409481970862E-3</v>
      </c>
      <c r="K524" s="5">
        <f t="shared" si="40"/>
        <v>-3.6179450072358903E-3</v>
      </c>
      <c r="L524" s="5">
        <f t="shared" si="40"/>
        <v>-6.8935900913118173E-3</v>
      </c>
      <c r="M524" s="5">
        <f t="shared" si="40"/>
        <v>4.4495047250370364E-3</v>
      </c>
      <c r="N524" s="5">
        <f t="shared" si="44"/>
        <v>-2.6917460045265771E-4</v>
      </c>
      <c r="O524" s="5">
        <f t="shared" si="42"/>
        <v>2.5734100097397111E-3</v>
      </c>
      <c r="P524" s="79">
        <f t="shared" si="43"/>
        <v>4.130076052658185E-3</v>
      </c>
    </row>
    <row r="525" spans="1:16">
      <c r="A525" s="73">
        <v>45425</v>
      </c>
      <c r="B525" s="45">
        <v>1317.2</v>
      </c>
      <c r="C525" s="105">
        <v>4465.7</v>
      </c>
      <c r="D525" s="5">
        <v>283.3</v>
      </c>
      <c r="E525" s="5">
        <v>550.25</v>
      </c>
      <c r="F525" s="45">
        <v>2132.6</v>
      </c>
      <c r="G525" s="5">
        <v>22104.05</v>
      </c>
      <c r="H525" s="5">
        <f t="shared" si="41"/>
        <v>6.1874570315484968E-3</v>
      </c>
      <c r="I525" s="5">
        <f t="shared" si="41"/>
        <v>-1.2747685288723484E-3</v>
      </c>
      <c r="J525" s="5">
        <f t="shared" si="41"/>
        <v>3.2810791104629963E-2</v>
      </c>
      <c r="K525" s="5">
        <f t="shared" si="40"/>
        <v>-9.9854756717493573E-4</v>
      </c>
      <c r="L525" s="5">
        <f t="shared" si="40"/>
        <v>-2.929060743303212E-2</v>
      </c>
      <c r="M525" s="5">
        <f t="shared" si="40"/>
        <v>2.2148971671079177E-3</v>
      </c>
      <c r="N525" s="5">
        <f t="shared" si="44"/>
        <v>-1.1297842070615266E-2</v>
      </c>
      <c r="O525" s="5">
        <f t="shared" si="42"/>
        <v>1.9380558420833232E-3</v>
      </c>
      <c r="P525" s="79">
        <f t="shared" si="43"/>
        <v>3.557900661161904E-3</v>
      </c>
    </row>
    <row r="526" spans="1:16">
      <c r="A526" s="73">
        <v>45426</v>
      </c>
      <c r="B526" s="45">
        <v>1328.85</v>
      </c>
      <c r="C526" s="105">
        <v>4540.3500000000004</v>
      </c>
      <c r="D526" s="5">
        <v>288.25</v>
      </c>
      <c r="E526" s="5">
        <v>554.54999999999995</v>
      </c>
      <c r="F526" s="45">
        <v>2333.6</v>
      </c>
      <c r="G526" s="5">
        <v>22217.85</v>
      </c>
      <c r="H526" s="5">
        <f t="shared" si="41"/>
        <v>8.8445186759792457E-3</v>
      </c>
      <c r="I526" s="5">
        <f t="shared" si="41"/>
        <v>1.6716304274805863E-2</v>
      </c>
      <c r="J526" s="5">
        <f t="shared" si="41"/>
        <v>1.7472643840451777E-2</v>
      </c>
      <c r="K526" s="5">
        <f t="shared" si="40"/>
        <v>7.8146297137663863E-3</v>
      </c>
      <c r="L526" s="5">
        <f t="shared" si="40"/>
        <v>9.4251148832411147E-2</v>
      </c>
      <c r="M526" s="5">
        <f t="shared" si="40"/>
        <v>5.1483777859713167E-3</v>
      </c>
      <c r="N526" s="5">
        <f t="shared" si="44"/>
        <v>4.9722989843103513E-2</v>
      </c>
      <c r="O526" s="5">
        <f t="shared" si="42"/>
        <v>1.122990220085906E-2</v>
      </c>
      <c r="P526" s="79">
        <f t="shared" si="43"/>
        <v>1.0788737360921006E-2</v>
      </c>
    </row>
    <row r="527" spans="1:16">
      <c r="A527" s="73">
        <v>45427</v>
      </c>
      <c r="B527" s="45">
        <v>1327.15</v>
      </c>
      <c r="C527" s="105">
        <v>4527</v>
      </c>
      <c r="D527" s="5">
        <v>291.35000000000002</v>
      </c>
      <c r="E527" s="5">
        <v>545.85</v>
      </c>
      <c r="F527" s="45">
        <v>2392.1</v>
      </c>
      <c r="G527" s="5">
        <v>22200.55</v>
      </c>
      <c r="H527" s="5">
        <f t="shared" si="41"/>
        <v>-1.2793016518040548E-3</v>
      </c>
      <c r="I527" s="5">
        <f t="shared" si="41"/>
        <v>-2.9403019591001493E-3</v>
      </c>
      <c r="J527" s="5">
        <f t="shared" si="41"/>
        <v>1.075455333911543E-2</v>
      </c>
      <c r="K527" s="5">
        <f t="shared" si="40"/>
        <v>-1.5688395996754003E-2</v>
      </c>
      <c r="L527" s="5">
        <f t="shared" si="40"/>
        <v>2.5068563592732261E-2</v>
      </c>
      <c r="M527" s="5">
        <f t="shared" si="40"/>
        <v>-7.7865320001707064E-4</v>
      </c>
      <c r="N527" s="5">
        <f t="shared" si="44"/>
        <v>9.3874380538223022E-3</v>
      </c>
      <c r="O527" s="5">
        <f t="shared" si="42"/>
        <v>-7.5092587773609824E-3</v>
      </c>
      <c r="P527" s="79">
        <f t="shared" si="43"/>
        <v>-6.24956639361592E-3</v>
      </c>
    </row>
    <row r="528" spans="1:16">
      <c r="A528" s="73">
        <v>45428</v>
      </c>
      <c r="B528" s="45">
        <v>1334.5</v>
      </c>
      <c r="C528" s="105">
        <v>4596.6499999999996</v>
      </c>
      <c r="D528" s="5">
        <v>294.8</v>
      </c>
      <c r="E528" s="5">
        <v>542.04999999999995</v>
      </c>
      <c r="F528" s="45">
        <v>2439.8000000000002</v>
      </c>
      <c r="G528" s="5">
        <v>22403.85</v>
      </c>
      <c r="H528" s="5">
        <f t="shared" si="41"/>
        <v>5.5381833251704092E-3</v>
      </c>
      <c r="I528" s="5">
        <f t="shared" si="41"/>
        <v>1.5385464987850593E-2</v>
      </c>
      <c r="J528" s="5">
        <f t="shared" si="41"/>
        <v>1.1841427835936119E-2</v>
      </c>
      <c r="K528" s="5">
        <f t="shared" si="40"/>
        <v>-6.9616194925347036E-3</v>
      </c>
      <c r="L528" s="5">
        <f t="shared" si="40"/>
        <v>1.9940637933196888E-2</v>
      </c>
      <c r="M528" s="5">
        <f t="shared" si="40"/>
        <v>9.1574307843724275E-3</v>
      </c>
      <c r="N528" s="5">
        <f t="shared" si="44"/>
        <v>1.1421016317614666E-2</v>
      </c>
      <c r="O528" s="5">
        <f t="shared" si="42"/>
        <v>8.9438909095714307E-4</v>
      </c>
      <c r="P528" s="79">
        <f t="shared" si="43"/>
        <v>2.6144009606964523E-3</v>
      </c>
    </row>
    <row r="529" spans="1:16">
      <c r="A529" s="73">
        <v>45429</v>
      </c>
      <c r="B529" s="45">
        <v>1353.05</v>
      </c>
      <c r="C529" s="105">
        <v>4634.55</v>
      </c>
      <c r="D529" s="5">
        <v>299.89999999999998</v>
      </c>
      <c r="E529" s="5">
        <v>535.79999999999995</v>
      </c>
      <c r="F529" s="45">
        <v>2756.65</v>
      </c>
      <c r="G529" s="5">
        <v>22466.1</v>
      </c>
      <c r="H529" s="5">
        <f t="shared" si="41"/>
        <v>1.3900337204945639E-2</v>
      </c>
      <c r="I529" s="5">
        <f t="shared" si="41"/>
        <v>8.2451350439995529E-3</v>
      </c>
      <c r="J529" s="5">
        <f t="shared" si="41"/>
        <v>1.7299864314789571E-2</v>
      </c>
      <c r="K529" s="5">
        <f t="shared" si="40"/>
        <v>-1.1530301632690712E-2</v>
      </c>
      <c r="L529" s="5">
        <f t="shared" si="40"/>
        <v>0.12986720222969092</v>
      </c>
      <c r="M529" s="5">
        <f t="shared" si="40"/>
        <v>2.778540295529563E-3</v>
      </c>
      <c r="N529" s="5">
        <f t="shared" si="44"/>
        <v>6.4834808784808309E-2</v>
      </c>
      <c r="O529" s="5">
        <f t="shared" si="42"/>
        <v>3.7080749438207299E-3</v>
      </c>
      <c r="P529" s="79">
        <f t="shared" si="43"/>
        <v>4.1963582124312938E-3</v>
      </c>
    </row>
    <row r="530" spans="1:16">
      <c r="A530" s="73">
        <v>45430</v>
      </c>
      <c r="B530" s="45">
        <v>1374.1</v>
      </c>
      <c r="C530" s="105">
        <v>4643</v>
      </c>
      <c r="D530" s="5">
        <v>310.35000000000002</v>
      </c>
      <c r="E530" s="5">
        <v>540</v>
      </c>
      <c r="F530" s="45">
        <v>2874.3</v>
      </c>
      <c r="G530" s="5">
        <v>22502</v>
      </c>
      <c r="H530" s="5">
        <f t="shared" si="41"/>
        <v>1.5557444292524264E-2</v>
      </c>
      <c r="I530" s="5">
        <f t="shared" si="41"/>
        <v>1.823262236894589E-3</v>
      </c>
      <c r="J530" s="5">
        <f t="shared" si="41"/>
        <v>3.4844948316105524E-2</v>
      </c>
      <c r="K530" s="5">
        <f t="shared" si="40"/>
        <v>7.8387458006719778E-3</v>
      </c>
      <c r="L530" s="5">
        <f t="shared" si="40"/>
        <v>4.2678613534543774E-2</v>
      </c>
      <c r="M530" s="5">
        <f t="shared" si="40"/>
        <v>1.5979631533733695E-3</v>
      </c>
      <c r="N530" s="5">
        <f t="shared" si="44"/>
        <v>2.6922287451121796E-2</v>
      </c>
      <c r="O530" s="5">
        <f t="shared" si="42"/>
        <v>1.1654141583864897E-2</v>
      </c>
      <c r="P530" s="79">
        <f t="shared" si="43"/>
        <v>1.182234745881452E-2</v>
      </c>
    </row>
    <row r="531" spans="1:16">
      <c r="A531" s="73">
        <v>45433</v>
      </c>
      <c r="B531" s="45">
        <v>1361.35</v>
      </c>
      <c r="C531" s="105">
        <v>4667.3</v>
      </c>
      <c r="D531" s="5">
        <v>319.2</v>
      </c>
      <c r="E531" s="5">
        <v>539.35</v>
      </c>
      <c r="F531" s="45">
        <v>2912.1</v>
      </c>
      <c r="G531" s="5">
        <v>22529.05</v>
      </c>
      <c r="H531" s="5">
        <f t="shared" si="41"/>
        <v>-9.2788006695291476E-3</v>
      </c>
      <c r="I531" s="5">
        <f t="shared" si="41"/>
        <v>5.2336851173810425E-3</v>
      </c>
      <c r="J531" s="5">
        <f t="shared" si="41"/>
        <v>2.8516191396809942E-2</v>
      </c>
      <c r="K531" s="5">
        <f t="shared" si="40"/>
        <v>-1.2037037037036615E-3</v>
      </c>
      <c r="L531" s="5">
        <f t="shared" si="40"/>
        <v>1.3151028076401115E-2</v>
      </c>
      <c r="M531" s="5">
        <f t="shared" si="40"/>
        <v>1.2021153675228545E-3</v>
      </c>
      <c r="N531" s="5">
        <f t="shared" si="44"/>
        <v>4.3556382308896227E-3</v>
      </c>
      <c r="O531" s="5">
        <f t="shared" si="42"/>
        <v>-2.4521997405152975E-3</v>
      </c>
      <c r="P531" s="79">
        <f t="shared" si="43"/>
        <v>-1.5351282309285263E-3</v>
      </c>
    </row>
    <row r="532" spans="1:16">
      <c r="A532" s="73">
        <v>45434</v>
      </c>
      <c r="B532" s="45">
        <v>1366.45</v>
      </c>
      <c r="C532" s="105">
        <v>4646.95</v>
      </c>
      <c r="D532" s="5">
        <v>301.95</v>
      </c>
      <c r="E532" s="5">
        <v>554</v>
      </c>
      <c r="F532" s="45">
        <v>2878.5</v>
      </c>
      <c r="G532" s="5">
        <v>22597.8</v>
      </c>
      <c r="H532" s="5">
        <f t="shared" si="41"/>
        <v>3.7462812649209512E-3</v>
      </c>
      <c r="I532" s="5">
        <f t="shared" si="41"/>
        <v>-4.3601225547962126E-3</v>
      </c>
      <c r="J532" s="5">
        <f t="shared" si="41"/>
        <v>-5.4041353383458647E-2</v>
      </c>
      <c r="K532" s="5">
        <f t="shared" si="40"/>
        <v>2.7162325020858396E-2</v>
      </c>
      <c r="L532" s="5">
        <f t="shared" si="40"/>
        <v>-1.153806531369112E-2</v>
      </c>
      <c r="M532" s="5">
        <f t="shared" si="40"/>
        <v>3.0516155807723809E-3</v>
      </c>
      <c r="N532" s="5">
        <f t="shared" si="44"/>
        <v>-2.3238075116810935E-3</v>
      </c>
      <c r="O532" s="5">
        <f t="shared" si="42"/>
        <v>1.2415108865840357E-2</v>
      </c>
      <c r="P532" s="79">
        <f t="shared" si="43"/>
        <v>8.150547336036507E-3</v>
      </c>
    </row>
    <row r="533" spans="1:16">
      <c r="A533" s="73">
        <v>45435</v>
      </c>
      <c r="B533" s="45">
        <v>1355.95</v>
      </c>
      <c r="C533" s="105">
        <v>4698.55</v>
      </c>
      <c r="D533" s="5">
        <v>304.8</v>
      </c>
      <c r="E533" s="5">
        <v>559.95000000000005</v>
      </c>
      <c r="F533" s="45">
        <v>3125.75</v>
      </c>
      <c r="G533" s="5">
        <v>22967.65</v>
      </c>
      <c r="H533" s="5">
        <f t="shared" si="41"/>
        <v>-7.6841450473855606E-3</v>
      </c>
      <c r="I533" s="5">
        <f t="shared" si="41"/>
        <v>1.1104057500080778E-2</v>
      </c>
      <c r="J533" s="5">
        <f t="shared" si="41"/>
        <v>9.4386487829111534E-3</v>
      </c>
      <c r="K533" s="5">
        <f t="shared" si="40"/>
        <v>1.0740072202166146E-2</v>
      </c>
      <c r="L533" s="5">
        <f t="shared" si="40"/>
        <v>8.5895431648428E-2</v>
      </c>
      <c r="M533" s="5">
        <f t="shared" si="40"/>
        <v>1.6366637460283842E-2</v>
      </c>
      <c r="N533" s="5">
        <f t="shared" si="44"/>
        <v>4.0647443749088644E-2</v>
      </c>
      <c r="O533" s="5">
        <f t="shared" si="42"/>
        <v>5.5868058026916677E-3</v>
      </c>
      <c r="P533" s="79">
        <f t="shared" si="43"/>
        <v>4.071329234638107E-3</v>
      </c>
    </row>
    <row r="534" spans="1:16">
      <c r="A534" s="73">
        <v>45436</v>
      </c>
      <c r="B534" s="45">
        <v>1346.4</v>
      </c>
      <c r="C534" s="105">
        <v>4715.3999999999996</v>
      </c>
      <c r="D534" s="5">
        <v>305.64999999999998</v>
      </c>
      <c r="E534" s="5">
        <v>558.1</v>
      </c>
      <c r="F534" s="45">
        <v>3177.05</v>
      </c>
      <c r="G534" s="5">
        <v>22957.1</v>
      </c>
      <c r="H534" s="5">
        <f t="shared" si="41"/>
        <v>-7.0430325601976134E-3</v>
      </c>
      <c r="I534" s="5">
        <f t="shared" si="41"/>
        <v>3.5862127677686634E-3</v>
      </c>
      <c r="J534" s="5">
        <f t="shared" si="41"/>
        <v>2.7887139107610429E-3</v>
      </c>
      <c r="K534" s="5">
        <f t="shared" si="40"/>
        <v>-3.3038664166443834E-3</v>
      </c>
      <c r="L534" s="5">
        <f t="shared" si="40"/>
        <v>1.6412061105334778E-2</v>
      </c>
      <c r="M534" s="5">
        <f t="shared" si="40"/>
        <v>-4.5934172629776704E-4</v>
      </c>
      <c r="N534" s="5">
        <f t="shared" si="44"/>
        <v>5.4806193588121371E-3</v>
      </c>
      <c r="O534" s="5">
        <f t="shared" si="42"/>
        <v>-3.4331502209098931E-3</v>
      </c>
      <c r="P534" s="79">
        <f t="shared" si="43"/>
        <v>-3.2227960823301796E-3</v>
      </c>
    </row>
    <row r="535" spans="1:16">
      <c r="A535" s="73">
        <v>45439</v>
      </c>
      <c r="B535" s="45">
        <v>1355.6</v>
      </c>
      <c r="C535" s="105">
        <v>4682</v>
      </c>
      <c r="D535" s="5">
        <v>298.55</v>
      </c>
      <c r="E535" s="5">
        <v>567.4</v>
      </c>
      <c r="F535" s="45">
        <v>3134.65</v>
      </c>
      <c r="G535" s="5">
        <v>22932.45</v>
      </c>
      <c r="H535" s="5">
        <f t="shared" si="41"/>
        <v>6.8330362448008148E-3</v>
      </c>
      <c r="I535" s="5">
        <f t="shared" si="41"/>
        <v>-7.0831742800185858E-3</v>
      </c>
      <c r="J535" s="5">
        <f t="shared" si="41"/>
        <v>-2.3229183706854135E-2</v>
      </c>
      <c r="K535" s="5">
        <f t="shared" si="40"/>
        <v>1.6663680344024285E-2</v>
      </c>
      <c r="L535" s="5">
        <f t="shared" si="40"/>
        <v>-1.334571379109554E-2</v>
      </c>
      <c r="M535" s="5">
        <f t="shared" si="40"/>
        <v>-1.0737418924863253E-3</v>
      </c>
      <c r="N535" s="5">
        <f t="shared" si="44"/>
        <v>-3.039217701114592E-3</v>
      </c>
      <c r="O535" s="5">
        <f t="shared" si="42"/>
        <v>9.0154117955751623E-3</v>
      </c>
      <c r="P535" s="79">
        <f t="shared" si="43"/>
        <v>6.6534759781658667E-3</v>
      </c>
    </row>
    <row r="536" spans="1:16">
      <c r="A536" s="73">
        <v>45440</v>
      </c>
      <c r="B536" s="45">
        <v>1356.75</v>
      </c>
      <c r="C536" s="105">
        <v>4615.8999999999996</v>
      </c>
      <c r="D536" s="5">
        <v>291.5</v>
      </c>
      <c r="E536" s="5">
        <v>570.79999999999995</v>
      </c>
      <c r="F536" s="45">
        <v>3036.85</v>
      </c>
      <c r="G536" s="5">
        <v>22888.15</v>
      </c>
      <c r="H536" s="5">
        <f t="shared" si="41"/>
        <v>8.4833284154624592E-4</v>
      </c>
      <c r="I536" s="5">
        <f t="shared" si="41"/>
        <v>-1.4117898334045358E-2</v>
      </c>
      <c r="J536" s="5">
        <f t="shared" si="41"/>
        <v>-2.3614134985764566E-2</v>
      </c>
      <c r="K536" s="5">
        <f t="shared" si="40"/>
        <v>5.9922453295734529E-3</v>
      </c>
      <c r="L536" s="5">
        <f t="shared" si="40"/>
        <v>-3.1199655463927448E-2</v>
      </c>
      <c r="M536" s="5">
        <f t="shared" si="40"/>
        <v>-1.9317604529825322E-3</v>
      </c>
      <c r="N536" s="5">
        <f t="shared" si="44"/>
        <v>-1.5181997264576062E-2</v>
      </c>
      <c r="O536" s="5">
        <f t="shared" si="42"/>
        <v>5.4650559659645407E-4</v>
      </c>
      <c r="P536" s="79">
        <f t="shared" si="43"/>
        <v>-1.0813213218054632E-3</v>
      </c>
    </row>
    <row r="537" spans="1:16">
      <c r="A537" s="73">
        <v>45441</v>
      </c>
      <c r="B537" s="45">
        <v>1373.95</v>
      </c>
      <c r="C537" s="105">
        <v>4672.05</v>
      </c>
      <c r="D537" s="5">
        <v>294.10000000000002</v>
      </c>
      <c r="E537" s="5">
        <v>555.45000000000005</v>
      </c>
      <c r="F537" s="45">
        <v>3357.35</v>
      </c>
      <c r="G537" s="5">
        <v>22704.7</v>
      </c>
      <c r="H537" s="5">
        <f t="shared" si="41"/>
        <v>1.2677353970886342E-2</v>
      </c>
      <c r="I537" s="5">
        <f t="shared" si="41"/>
        <v>1.2164474966962142E-2</v>
      </c>
      <c r="J537" s="5">
        <f t="shared" si="41"/>
        <v>8.9193825042882431E-3</v>
      </c>
      <c r="K537" s="5">
        <f t="shared" si="40"/>
        <v>-2.6892081289418203E-2</v>
      </c>
      <c r="L537" s="5">
        <f t="shared" si="40"/>
        <v>0.1055369873388544</v>
      </c>
      <c r="M537" s="5">
        <f t="shared" si="40"/>
        <v>-8.0150645639774608E-3</v>
      </c>
      <c r="N537" s="5">
        <f t="shared" si="44"/>
        <v>5.0914876335379743E-2</v>
      </c>
      <c r="O537" s="5">
        <f t="shared" si="42"/>
        <v>-4.6049580411663404E-3</v>
      </c>
      <c r="P537" s="79">
        <f t="shared" si="43"/>
        <v>-2.3809545514547172E-3</v>
      </c>
    </row>
    <row r="538" spans="1:16">
      <c r="A538" s="73">
        <v>45442</v>
      </c>
      <c r="B538" s="45">
        <v>1372.2</v>
      </c>
      <c r="C538" s="105">
        <v>4651.3500000000004</v>
      </c>
      <c r="D538" s="5">
        <v>290.75</v>
      </c>
      <c r="E538" s="5">
        <v>551.15</v>
      </c>
      <c r="F538" s="45">
        <v>3295.1</v>
      </c>
      <c r="G538" s="5">
        <v>22488.65</v>
      </c>
      <c r="H538" s="5">
        <f t="shared" si="41"/>
        <v>-1.2736999162997198E-3</v>
      </c>
      <c r="I538" s="5">
        <f t="shared" si="41"/>
        <v>-4.4306032683725169E-3</v>
      </c>
      <c r="J538" s="5">
        <f t="shared" si="41"/>
        <v>-1.1390683441006537E-2</v>
      </c>
      <c r="K538" s="5">
        <f t="shared" si="40"/>
        <v>-7.7414708794672207E-3</v>
      </c>
      <c r="L538" s="5">
        <f t="shared" si="40"/>
        <v>-1.8541409147095178E-2</v>
      </c>
      <c r="M538" s="5">
        <f t="shared" si="40"/>
        <v>-9.5156509445180632E-3</v>
      </c>
      <c r="N538" s="5">
        <f t="shared" si="44"/>
        <v>-1.077918516176064E-2</v>
      </c>
      <c r="O538" s="5">
        <f t="shared" si="42"/>
        <v>-5.3737428252280542E-3</v>
      </c>
      <c r="P538" s="79">
        <f t="shared" si="43"/>
        <v>-5.0068526619447664E-3</v>
      </c>
    </row>
    <row r="539" spans="1:16">
      <c r="A539" s="73">
        <v>45443</v>
      </c>
      <c r="B539" s="45">
        <v>1365.45</v>
      </c>
      <c r="C539" s="105">
        <v>4559.1499999999996</v>
      </c>
      <c r="D539" s="5">
        <v>298.89999999999998</v>
      </c>
      <c r="E539" s="5">
        <v>545.1</v>
      </c>
      <c r="F539" s="45">
        <v>3184.05</v>
      </c>
      <c r="G539" s="5">
        <v>22530.7</v>
      </c>
      <c r="H539" s="5">
        <f t="shared" si="41"/>
        <v>-4.919108001749016E-3</v>
      </c>
      <c r="I539" s="5">
        <f t="shared" si="41"/>
        <v>-1.982220215636336E-2</v>
      </c>
      <c r="J539" s="5">
        <f t="shared" si="41"/>
        <v>2.8030954428202845E-2</v>
      </c>
      <c r="K539" s="5">
        <f t="shared" si="40"/>
        <v>-1.0977047990565101E-2</v>
      </c>
      <c r="L539" s="5">
        <f t="shared" si="40"/>
        <v>-3.3701556857151448E-2</v>
      </c>
      <c r="M539" s="5">
        <f t="shared" si="40"/>
        <v>1.869832115311469E-3</v>
      </c>
      <c r="N539" s="5">
        <f t="shared" si="44"/>
        <v>-1.9401919171720919E-2</v>
      </c>
      <c r="O539" s="5">
        <f t="shared" si="42"/>
        <v>-8.9983054983809579E-3</v>
      </c>
      <c r="P539" s="79">
        <f t="shared" si="43"/>
        <v>-7.8011655388645421E-3</v>
      </c>
    </row>
    <row r="540" spans="1:16">
      <c r="A540" s="73">
        <v>45446</v>
      </c>
      <c r="B540" s="45">
        <v>1368.45</v>
      </c>
      <c r="C540" s="105">
        <v>4662.2</v>
      </c>
      <c r="D540" s="5">
        <v>311.45</v>
      </c>
      <c r="E540" s="5">
        <v>544.79999999999995</v>
      </c>
      <c r="F540" s="45">
        <v>3257.6</v>
      </c>
      <c r="G540" s="5">
        <v>23263.9</v>
      </c>
      <c r="H540" s="5">
        <f t="shared" si="41"/>
        <v>2.197077886411073E-3</v>
      </c>
      <c r="I540" s="5">
        <f t="shared" si="41"/>
        <v>2.2602897469923163E-2</v>
      </c>
      <c r="J540" s="5">
        <f t="shared" si="41"/>
        <v>4.1987286717965915E-2</v>
      </c>
      <c r="K540" s="5">
        <f t="shared" si="40"/>
        <v>-5.5035773252626709E-4</v>
      </c>
      <c r="L540" s="5">
        <f t="shared" si="40"/>
        <v>2.3099511628272083E-2</v>
      </c>
      <c r="M540" s="5">
        <f t="shared" si="40"/>
        <v>3.2542264554585552E-2</v>
      </c>
      <c r="N540" s="5">
        <f t="shared" si="44"/>
        <v>1.406082083764576E-2</v>
      </c>
      <c r="O540" s="5">
        <f t="shared" si="42"/>
        <v>4.347337920462914E-3</v>
      </c>
      <c r="P540" s="79">
        <f t="shared" si="43"/>
        <v>6.7018166931640151E-3</v>
      </c>
    </row>
    <row r="541" spans="1:16">
      <c r="A541" s="73">
        <v>45447</v>
      </c>
      <c r="B541" s="45">
        <v>1337.2</v>
      </c>
      <c r="C541" s="105">
        <v>4538.1499999999996</v>
      </c>
      <c r="D541" s="5">
        <v>246.55</v>
      </c>
      <c r="E541" s="5">
        <v>578.20000000000005</v>
      </c>
      <c r="F541" s="45">
        <v>2679.5</v>
      </c>
      <c r="G541" s="5">
        <v>21884.5</v>
      </c>
      <c r="H541" s="5">
        <f t="shared" si="41"/>
        <v>-2.2836055391135954E-2</v>
      </c>
      <c r="I541" s="5">
        <f t="shared" si="41"/>
        <v>-2.6607610141135128E-2</v>
      </c>
      <c r="J541" s="5">
        <f t="shared" si="41"/>
        <v>-0.20838015732862411</v>
      </c>
      <c r="K541" s="5">
        <f t="shared" si="40"/>
        <v>6.130690161527183E-2</v>
      </c>
      <c r="L541" s="5">
        <f t="shared" si="40"/>
        <v>-0.17746193516699407</v>
      </c>
      <c r="M541" s="5">
        <f t="shared" si="40"/>
        <v>-5.9293583620975046E-2</v>
      </c>
      <c r="N541" s="5">
        <f t="shared" si="44"/>
        <v>-8.944470826834286E-2</v>
      </c>
      <c r="O541" s="5">
        <f t="shared" si="42"/>
        <v>9.085845746182715E-3</v>
      </c>
      <c r="P541" s="79">
        <f t="shared" si="43"/>
        <v>-2.6542642597787579E-3</v>
      </c>
    </row>
    <row r="542" spans="1:16">
      <c r="A542" s="73">
        <v>45448</v>
      </c>
      <c r="B542" s="45">
        <v>1423.95</v>
      </c>
      <c r="C542" s="105">
        <v>4903.8</v>
      </c>
      <c r="D542" s="5">
        <v>255.35</v>
      </c>
      <c r="E542" s="5">
        <v>600.25</v>
      </c>
      <c r="F542" s="45">
        <v>2798.2</v>
      </c>
      <c r="G542" s="5">
        <v>22620.35</v>
      </c>
      <c r="H542" s="5">
        <f t="shared" si="41"/>
        <v>6.4874364343404128E-2</v>
      </c>
      <c r="I542" s="5">
        <f t="shared" si="41"/>
        <v>8.0572479975320466E-2</v>
      </c>
      <c r="J542" s="5">
        <f t="shared" si="41"/>
        <v>3.5692557290610355E-2</v>
      </c>
      <c r="K542" s="5">
        <f t="shared" si="40"/>
        <v>3.8135593220338902E-2</v>
      </c>
      <c r="L542" s="5">
        <f t="shared" si="40"/>
        <v>4.4299309572681404E-2</v>
      </c>
      <c r="M542" s="5">
        <f t="shared" si="40"/>
        <v>3.3624254609426696E-2</v>
      </c>
      <c r="N542" s="5">
        <f t="shared" si="44"/>
        <v>5.1734372608324565E-2</v>
      </c>
      <c r="O542" s="5">
        <f t="shared" si="42"/>
        <v>5.2114055013806726E-2</v>
      </c>
      <c r="P542" s="79">
        <f t="shared" si="43"/>
        <v>5.4898877614811499E-2</v>
      </c>
    </row>
    <row r="543" spans="1:16">
      <c r="A543" s="73">
        <v>45449</v>
      </c>
      <c r="B543" s="45">
        <v>1456.95</v>
      </c>
      <c r="C543" s="105">
        <v>4878.45</v>
      </c>
      <c r="D543" s="5">
        <v>277.95</v>
      </c>
      <c r="E543" s="5">
        <v>597.20000000000005</v>
      </c>
      <c r="F543" s="45">
        <v>3160.65</v>
      </c>
      <c r="G543" s="5">
        <v>22821.4</v>
      </c>
      <c r="H543" s="5">
        <f t="shared" si="41"/>
        <v>2.3174971031286209E-2</v>
      </c>
      <c r="I543" s="5">
        <f t="shared" si="41"/>
        <v>-5.1694604184510714E-3</v>
      </c>
      <c r="J543" s="5">
        <f t="shared" si="41"/>
        <v>8.8505972195026414E-2</v>
      </c>
      <c r="K543" s="5">
        <f t="shared" si="40"/>
        <v>-5.0812161599332857E-3</v>
      </c>
      <c r="L543" s="5">
        <f t="shared" si="40"/>
        <v>0.12952969766278333</v>
      </c>
      <c r="M543" s="5">
        <f t="shared" si="40"/>
        <v>8.8880145532674298E-3</v>
      </c>
      <c r="N543" s="5">
        <f t="shared" si="44"/>
        <v>6.9386166315822714E-2</v>
      </c>
      <c r="O543" s="5">
        <f t="shared" si="42"/>
        <v>1.0964381474019062E-2</v>
      </c>
      <c r="P543" s="79">
        <f t="shared" si="43"/>
        <v>1.254136224608569E-2</v>
      </c>
    </row>
    <row r="544" spans="1:16">
      <c r="A544" s="73">
        <v>45450</v>
      </c>
      <c r="B544" s="45">
        <v>1465.9</v>
      </c>
      <c r="C544" s="105">
        <v>4964.6000000000004</v>
      </c>
      <c r="D544" s="5">
        <v>285.5</v>
      </c>
      <c r="E544" s="5">
        <v>613.1</v>
      </c>
      <c r="F544" s="45">
        <v>3153.15</v>
      </c>
      <c r="G544" s="5">
        <v>23290.15</v>
      </c>
      <c r="H544" s="5">
        <f t="shared" si="41"/>
        <v>6.1429699028793337E-3</v>
      </c>
      <c r="I544" s="5">
        <f t="shared" si="41"/>
        <v>1.7659297522778863E-2</v>
      </c>
      <c r="J544" s="5">
        <f t="shared" si="41"/>
        <v>2.7163158841518299E-2</v>
      </c>
      <c r="K544" s="5">
        <f t="shared" si="40"/>
        <v>2.6624246483590047E-2</v>
      </c>
      <c r="L544" s="5">
        <f t="shared" si="40"/>
        <v>-2.3729296189075031E-3</v>
      </c>
      <c r="M544" s="5">
        <f t="shared" si="40"/>
        <v>2.0539931818380992E-2</v>
      </c>
      <c r="N544" s="5">
        <f t="shared" si="44"/>
        <v>6.2402589129790832E-3</v>
      </c>
      <c r="O544" s="5">
        <f t="shared" si="42"/>
        <v>1.7555756527529179E-2</v>
      </c>
      <c r="P544" s="79">
        <f t="shared" si="43"/>
        <v>1.7058401899006839E-2</v>
      </c>
    </row>
    <row r="545" spans="1:16">
      <c r="A545" s="73">
        <v>45453</v>
      </c>
      <c r="B545" s="45">
        <v>1482.7</v>
      </c>
      <c r="C545" s="105">
        <v>4969.45</v>
      </c>
      <c r="D545" s="5">
        <v>284.45</v>
      </c>
      <c r="E545" s="5">
        <v>619.85</v>
      </c>
      <c r="F545" s="45">
        <v>3124</v>
      </c>
      <c r="G545" s="5">
        <v>23259.200000000001</v>
      </c>
      <c r="H545" s="5">
        <f t="shared" si="41"/>
        <v>1.1460536189371685E-2</v>
      </c>
      <c r="I545" s="5">
        <f t="shared" si="41"/>
        <v>9.7691656931060992E-4</v>
      </c>
      <c r="J545" s="5">
        <f t="shared" si="41"/>
        <v>-3.6777583187390943E-3</v>
      </c>
      <c r="K545" s="5">
        <f t="shared" si="40"/>
        <v>1.1009623226227368E-2</v>
      </c>
      <c r="L545" s="5">
        <f t="shared" si="40"/>
        <v>-9.2447235304378445E-3</v>
      </c>
      <c r="M545" s="5">
        <f t="shared" si="40"/>
        <v>-1.3288879633665187E-3</v>
      </c>
      <c r="N545" s="5">
        <f t="shared" si="44"/>
        <v>5.5174746148612796E-4</v>
      </c>
      <c r="O545" s="5">
        <f t="shared" si="42"/>
        <v>9.3755064757502313E-3</v>
      </c>
      <c r="P545" s="79">
        <f t="shared" si="43"/>
        <v>8.6552262627065217E-3</v>
      </c>
    </row>
    <row r="546" spans="1:16">
      <c r="A546" s="73">
        <v>45454</v>
      </c>
      <c r="B546" s="45">
        <v>1474.45</v>
      </c>
      <c r="C546" s="105">
        <v>4906.6000000000004</v>
      </c>
      <c r="D546" s="5">
        <v>295.2</v>
      </c>
      <c r="E546" s="5">
        <v>613.45000000000005</v>
      </c>
      <c r="F546" s="45">
        <v>3199.85</v>
      </c>
      <c r="G546" s="5">
        <v>23264.85</v>
      </c>
      <c r="H546" s="5">
        <f t="shared" si="41"/>
        <v>-5.5641734673231268E-3</v>
      </c>
      <c r="I546" s="5">
        <f t="shared" si="41"/>
        <v>-1.2647274849329293E-2</v>
      </c>
      <c r="J546" s="5">
        <f t="shared" si="41"/>
        <v>3.7792230620495693E-2</v>
      </c>
      <c r="K546" s="5">
        <f t="shared" si="40"/>
        <v>-1.0325078648059977E-2</v>
      </c>
      <c r="L546" s="5">
        <f t="shared" si="40"/>
        <v>2.4279769526248371E-2</v>
      </c>
      <c r="M546" s="5">
        <f t="shared" si="40"/>
        <v>2.4291463162954088E-4</v>
      </c>
      <c r="N546" s="5">
        <f t="shared" si="44"/>
        <v>8.5642669578977985E-3</v>
      </c>
      <c r="O546" s="5">
        <f t="shared" si="42"/>
        <v>-6.6824053103526878E-3</v>
      </c>
      <c r="P546" s="79">
        <f t="shared" si="43"/>
        <v>-5.6999564207781961E-3</v>
      </c>
    </row>
    <row r="547" spans="1:16">
      <c r="A547" s="73">
        <v>45455</v>
      </c>
      <c r="B547" s="45">
        <v>1464.2</v>
      </c>
      <c r="C547" s="105">
        <v>5028.05</v>
      </c>
      <c r="D547" s="5">
        <v>295.14999999999998</v>
      </c>
      <c r="E547" s="5">
        <v>619.5</v>
      </c>
      <c r="F547" s="45">
        <v>3199.75</v>
      </c>
      <c r="G547" s="5">
        <v>23322.95</v>
      </c>
      <c r="H547" s="5">
        <f t="shared" si="41"/>
        <v>-6.951744718369561E-3</v>
      </c>
      <c r="I547" s="5">
        <f t="shared" si="41"/>
        <v>2.4752374352912363E-2</v>
      </c>
      <c r="J547" s="5">
        <f t="shared" si="41"/>
        <v>-1.6937669376697619E-4</v>
      </c>
      <c r="K547" s="5">
        <f t="shared" si="40"/>
        <v>9.862254462466304E-3</v>
      </c>
      <c r="L547" s="5">
        <f t="shared" si="40"/>
        <v>-3.1251464912389344E-5</v>
      </c>
      <c r="M547" s="5">
        <f t="shared" si="40"/>
        <v>2.4973296625597063E-3</v>
      </c>
      <c r="N547" s="5">
        <f t="shared" si="44"/>
        <v>8.4285908109228572E-4</v>
      </c>
      <c r="O547" s="5">
        <f t="shared" si="42"/>
        <v>4.5353949640982933E-3</v>
      </c>
      <c r="P547" s="79">
        <f t="shared" si="43"/>
        <v>4.841674696527791E-3</v>
      </c>
    </row>
    <row r="548" spans="1:16">
      <c r="A548" s="73">
        <v>45456</v>
      </c>
      <c r="B548" s="45">
        <v>1468.4</v>
      </c>
      <c r="C548" s="105">
        <v>5023.8500000000004</v>
      </c>
      <c r="D548" s="5">
        <v>303.95</v>
      </c>
      <c r="E548" s="5">
        <v>609.65</v>
      </c>
      <c r="F548" s="45">
        <v>3389.9</v>
      </c>
      <c r="G548" s="5">
        <v>23398.9</v>
      </c>
      <c r="H548" s="5">
        <f t="shared" si="41"/>
        <v>2.8684605928152203E-3</v>
      </c>
      <c r="I548" s="5">
        <f t="shared" si="41"/>
        <v>-8.3531388908221233E-4</v>
      </c>
      <c r="J548" s="5">
        <f t="shared" si="41"/>
        <v>2.9815348128070514E-2</v>
      </c>
      <c r="K548" s="5">
        <f t="shared" si="40"/>
        <v>-1.5899919289749834E-2</v>
      </c>
      <c r="L548" s="5">
        <f t="shared" si="40"/>
        <v>5.9426517696695082E-2</v>
      </c>
      <c r="M548" s="5">
        <f t="shared" si="40"/>
        <v>3.2564491198583683E-3</v>
      </c>
      <c r="N548" s="5">
        <f t="shared" si="44"/>
        <v>2.7453894490439532E-2</v>
      </c>
      <c r="O548" s="5">
        <f t="shared" si="42"/>
        <v>-4.5847373682833805E-3</v>
      </c>
      <c r="P548" s="79">
        <f t="shared" si="43"/>
        <v>-3.0007637672869896E-3</v>
      </c>
    </row>
    <row r="549" spans="1:16">
      <c r="A549" s="73">
        <v>45457</v>
      </c>
      <c r="B549" s="45">
        <v>1451.8</v>
      </c>
      <c r="C549" s="105">
        <v>5245.55</v>
      </c>
      <c r="D549" s="5">
        <v>305.7</v>
      </c>
      <c r="E549" s="5">
        <v>608.65</v>
      </c>
      <c r="F549" s="45">
        <v>3877.55</v>
      </c>
      <c r="G549" s="5">
        <v>23465.599999999999</v>
      </c>
      <c r="H549" s="5">
        <f t="shared" si="41"/>
        <v>-1.1304821574502952E-2</v>
      </c>
      <c r="I549" s="5">
        <f t="shared" si="41"/>
        <v>4.4129502274152257E-2</v>
      </c>
      <c r="J549" s="5">
        <f t="shared" si="41"/>
        <v>5.7575259088665899E-3</v>
      </c>
      <c r="K549" s="5">
        <f t="shared" si="40"/>
        <v>-1.640285409661281E-3</v>
      </c>
      <c r="L549" s="5">
        <f t="shared" si="40"/>
        <v>0.14385380099707959</v>
      </c>
      <c r="M549" s="5">
        <f t="shared" si="40"/>
        <v>2.8505613511745033E-3</v>
      </c>
      <c r="N549" s="5">
        <f t="shared" si="44"/>
        <v>6.7229522723124005E-2</v>
      </c>
      <c r="O549" s="5">
        <f t="shared" si="42"/>
        <v>2.5393747178711892E-3</v>
      </c>
      <c r="P549" s="79">
        <f t="shared" si="43"/>
        <v>3.0028641866415018E-3</v>
      </c>
    </row>
    <row r="550" spans="1:16">
      <c r="A550" s="73">
        <v>45461</v>
      </c>
      <c r="B550" s="45">
        <v>1455.85</v>
      </c>
      <c r="C550" s="105">
        <v>5357.6</v>
      </c>
      <c r="D550" s="5">
        <v>305.60000000000002</v>
      </c>
      <c r="E550" s="5">
        <v>600.20000000000005</v>
      </c>
      <c r="F550" s="45">
        <v>4178.25</v>
      </c>
      <c r="G550" s="5">
        <v>23557.9</v>
      </c>
      <c r="H550" s="5">
        <f t="shared" si="41"/>
        <v>2.7896404463424404E-3</v>
      </c>
      <c r="I550" s="5">
        <f t="shared" si="41"/>
        <v>2.136096310205797E-2</v>
      </c>
      <c r="J550" s="5">
        <f t="shared" si="41"/>
        <v>-3.2711808963024501E-4</v>
      </c>
      <c r="K550" s="5">
        <f t="shared" si="40"/>
        <v>-1.3883184095949942E-2</v>
      </c>
      <c r="L550" s="5">
        <f t="shared" si="40"/>
        <v>7.75489677760441E-2</v>
      </c>
      <c r="M550" s="5">
        <f t="shared" si="40"/>
        <v>3.9334174280650364E-3</v>
      </c>
      <c r="N550" s="5">
        <f t="shared" si="44"/>
        <v>3.68767826636291E-2</v>
      </c>
      <c r="O550" s="5">
        <f t="shared" si="42"/>
        <v>-1.9697229195108201E-3</v>
      </c>
      <c r="P550" s="79">
        <f t="shared" si="43"/>
        <v>-5.4879567184443374E-4</v>
      </c>
    </row>
    <row r="551" spans="1:16">
      <c r="A551" s="73">
        <v>45462</v>
      </c>
      <c r="B551" s="45">
        <v>1449.4</v>
      </c>
      <c r="C551" s="105">
        <v>5356.8</v>
      </c>
      <c r="D551" s="5">
        <v>297.05</v>
      </c>
      <c r="E551" s="5">
        <v>598.54999999999995</v>
      </c>
      <c r="F551" s="45">
        <v>3969.45</v>
      </c>
      <c r="G551" s="5">
        <v>23516</v>
      </c>
      <c r="H551" s="5">
        <f t="shared" si="41"/>
        <v>-4.4304014836692093E-3</v>
      </c>
      <c r="I551" s="5">
        <f t="shared" si="41"/>
        <v>-1.4932059130957554E-4</v>
      </c>
      <c r="J551" s="5">
        <f t="shared" si="41"/>
        <v>-2.7977748691099511E-2</v>
      </c>
      <c r="K551" s="5">
        <f t="shared" si="40"/>
        <v>-2.7490836387872222E-3</v>
      </c>
      <c r="L551" s="5">
        <f t="shared" si="40"/>
        <v>-4.9973074851911728E-2</v>
      </c>
      <c r="M551" s="5">
        <f t="shared" si="40"/>
        <v>-1.7785965642099445E-3</v>
      </c>
      <c r="N551" s="5">
        <f t="shared" si="44"/>
        <v>-2.603476167740592E-2</v>
      </c>
      <c r="O551" s="5">
        <f t="shared" si="42"/>
        <v>-4.8758376381751664E-3</v>
      </c>
      <c r="P551" s="79">
        <f t="shared" si="43"/>
        <v>-4.8694549007894791E-3</v>
      </c>
    </row>
    <row r="552" spans="1:16">
      <c r="A552" s="73">
        <v>45463</v>
      </c>
      <c r="B552" s="45">
        <v>1467.25</v>
      </c>
      <c r="C552" s="105">
        <v>5337.15</v>
      </c>
      <c r="D552" s="5">
        <v>293.39999999999998</v>
      </c>
      <c r="E552" s="5">
        <v>600.75</v>
      </c>
      <c r="F552" s="45">
        <v>3982.4</v>
      </c>
      <c r="G552" s="5">
        <v>23567</v>
      </c>
      <c r="H552" s="5">
        <f t="shared" si="41"/>
        <v>1.2315440872084938E-2</v>
      </c>
      <c r="I552" s="5">
        <f t="shared" si="41"/>
        <v>-3.6682347670251914E-3</v>
      </c>
      <c r="J552" s="5">
        <f t="shared" si="41"/>
        <v>-1.2287493687931439E-2</v>
      </c>
      <c r="K552" s="5">
        <f t="shared" si="40"/>
        <v>3.6755492440064251E-3</v>
      </c>
      <c r="L552" s="5">
        <f t="shared" si="40"/>
        <v>3.2624167076043971E-3</v>
      </c>
      <c r="M552" s="5">
        <f t="shared" si="40"/>
        <v>2.1687361796223848E-3</v>
      </c>
      <c r="N552" s="5">
        <f t="shared" si="44"/>
        <v>5.1713606082900597E-3</v>
      </c>
      <c r="O552" s="5">
        <f t="shared" si="42"/>
        <v>5.7378261553635837E-3</v>
      </c>
      <c r="P552" s="79">
        <f t="shared" si="43"/>
        <v>5.0116862497195189E-3</v>
      </c>
    </row>
    <row r="553" spans="1:16">
      <c r="A553" s="73">
        <v>45464</v>
      </c>
      <c r="B553" s="45">
        <v>1461.2</v>
      </c>
      <c r="C553" s="105">
        <v>5266.35</v>
      </c>
      <c r="D553" s="5">
        <v>295.05</v>
      </c>
      <c r="E553" s="5">
        <v>589.95000000000005</v>
      </c>
      <c r="F553" s="45">
        <v>3894.2</v>
      </c>
      <c r="G553" s="5">
        <v>23501.1</v>
      </c>
      <c r="H553" s="5">
        <f t="shared" si="41"/>
        <v>-4.1233600272618538E-3</v>
      </c>
      <c r="I553" s="5">
        <f t="shared" si="41"/>
        <v>-1.3265506871644843E-2</v>
      </c>
      <c r="J553" s="5">
        <f t="shared" si="41"/>
        <v>5.6237218813907095E-3</v>
      </c>
      <c r="K553" s="5">
        <f t="shared" si="40"/>
        <v>-1.7977528089887566E-2</v>
      </c>
      <c r="L553" s="5">
        <f t="shared" si="40"/>
        <v>-2.2147448774608343E-2</v>
      </c>
      <c r="M553" s="5">
        <f t="shared" si="40"/>
        <v>-2.7962829380065962E-3</v>
      </c>
      <c r="N553" s="5">
        <f t="shared" si="44"/>
        <v>-1.4851559844033588E-2</v>
      </c>
      <c r="O553" s="5">
        <f t="shared" si="42"/>
        <v>-1.1841968592182872E-2</v>
      </c>
      <c r="P553" s="79">
        <f t="shared" si="43"/>
        <v>-1.0476050904996757E-2</v>
      </c>
    </row>
    <row r="554" spans="1:16">
      <c r="A554" s="73">
        <v>45467</v>
      </c>
      <c r="B554" s="45">
        <v>1454.85</v>
      </c>
      <c r="C554" s="105">
        <v>5395.75</v>
      </c>
      <c r="D554" s="5">
        <v>294.7</v>
      </c>
      <c r="E554" s="5">
        <v>599.75</v>
      </c>
      <c r="F554" s="45">
        <v>3965.25</v>
      </c>
      <c r="G554" s="5">
        <v>23537.85</v>
      </c>
      <c r="H554" s="5">
        <f t="shared" si="41"/>
        <v>-4.3457432247468765E-3</v>
      </c>
      <c r="I554" s="5">
        <f t="shared" si="41"/>
        <v>2.4571097629287768E-2</v>
      </c>
      <c r="J554" s="5">
        <f t="shared" si="41"/>
        <v>-1.1862396204033985E-3</v>
      </c>
      <c r="K554" s="5">
        <f t="shared" si="41"/>
        <v>1.661157725230944E-2</v>
      </c>
      <c r="L554" s="5">
        <f t="shared" si="41"/>
        <v>1.8245082430280977E-2</v>
      </c>
      <c r="M554" s="5">
        <f t="shared" si="41"/>
        <v>1.5637565901170584E-3</v>
      </c>
      <c r="N554" s="5">
        <f t="shared" si="44"/>
        <v>1.113080541776466E-2</v>
      </c>
      <c r="O554" s="5">
        <f t="shared" si="42"/>
        <v>9.139709752388505E-3</v>
      </c>
      <c r="P554" s="79">
        <f t="shared" si="43"/>
        <v>8.5543521304376757E-3</v>
      </c>
    </row>
    <row r="555" spans="1:16">
      <c r="A555" s="73">
        <v>45468</v>
      </c>
      <c r="B555" s="45">
        <v>1459.25</v>
      </c>
      <c r="C555" s="105">
        <v>5338.8</v>
      </c>
      <c r="D555" s="5">
        <v>293.89999999999998</v>
      </c>
      <c r="E555" s="5">
        <v>593.35</v>
      </c>
      <c r="F555" s="45">
        <v>3974.05</v>
      </c>
      <c r="G555" s="5">
        <v>23721.3</v>
      </c>
      <c r="H555" s="5">
        <f t="shared" ref="H555:M597" si="45">(B555 - B554) / B554</f>
        <v>3.0243667732069227E-3</v>
      </c>
      <c r="I555" s="5">
        <f t="shared" si="45"/>
        <v>-1.0554603159894328E-2</v>
      </c>
      <c r="J555" s="5">
        <f t="shared" si="45"/>
        <v>-2.7146250424160551E-3</v>
      </c>
      <c r="K555" s="5">
        <f t="shared" si="45"/>
        <v>-1.0671112963734852E-2</v>
      </c>
      <c r="L555" s="5">
        <f t="shared" si="45"/>
        <v>2.2192799949562279E-3</v>
      </c>
      <c r="M555" s="5">
        <f t="shared" si="45"/>
        <v>7.7938299377386102E-3</v>
      </c>
      <c r="N555" s="5">
        <f t="shared" si="44"/>
        <v>-2.6208793782210474E-4</v>
      </c>
      <c r="O555" s="5">
        <f t="shared" si="42"/>
        <v>-5.0769885445127753E-3</v>
      </c>
      <c r="P555" s="79">
        <f t="shared" si="43"/>
        <v>-4.7165837055790638E-3</v>
      </c>
    </row>
    <row r="556" spans="1:16">
      <c r="A556" s="73">
        <v>45469</v>
      </c>
      <c r="B556" s="45">
        <v>1445.2</v>
      </c>
      <c r="C556" s="105">
        <v>5363.8</v>
      </c>
      <c r="D556" s="5">
        <v>295.75</v>
      </c>
      <c r="E556" s="5">
        <v>601.79999999999995</v>
      </c>
      <c r="F556" s="45">
        <v>4081</v>
      </c>
      <c r="G556" s="5">
        <v>23868.799999999999</v>
      </c>
      <c r="H556" s="5">
        <f t="shared" si="45"/>
        <v>-9.6282336816857668E-3</v>
      </c>
      <c r="I556" s="5">
        <f t="shared" si="45"/>
        <v>4.6827002322619316E-3</v>
      </c>
      <c r="J556" s="5">
        <f t="shared" si="45"/>
        <v>6.2946580469548244E-3</v>
      </c>
      <c r="K556" s="5">
        <f t="shared" si="45"/>
        <v>1.424117300075829E-2</v>
      </c>
      <c r="L556" s="5">
        <f t="shared" si="45"/>
        <v>2.6912092198135357E-2</v>
      </c>
      <c r="M556" s="5">
        <f t="shared" si="45"/>
        <v>6.2180403266262809E-3</v>
      </c>
      <c r="N556" s="5">
        <f t="shared" si="44"/>
        <v>1.2227246602220188E-2</v>
      </c>
      <c r="O556" s="5">
        <f t="shared" si="42"/>
        <v>4.5574317302962269E-3</v>
      </c>
      <c r="P556" s="79">
        <f t="shared" si="43"/>
        <v>3.0755429560855251E-3</v>
      </c>
    </row>
    <row r="557" spans="1:16">
      <c r="A557" s="73">
        <v>45470</v>
      </c>
      <c r="B557" s="45">
        <v>1441.05</v>
      </c>
      <c r="C557" s="105">
        <v>5329</v>
      </c>
      <c r="D557" s="5">
        <v>296.95</v>
      </c>
      <c r="E557" s="5">
        <v>599.29999999999995</v>
      </c>
      <c r="F557" s="45">
        <v>4416.3500000000004</v>
      </c>
      <c r="G557" s="5">
        <v>24044.5</v>
      </c>
      <c r="H557" s="5">
        <f t="shared" si="45"/>
        <v>-2.87157486853037E-3</v>
      </c>
      <c r="I557" s="5">
        <f t="shared" si="45"/>
        <v>-6.4879376561393382E-3</v>
      </c>
      <c r="J557" s="5">
        <f t="shared" si="45"/>
        <v>4.0574809805578654E-3</v>
      </c>
      <c r="K557" s="5">
        <f t="shared" si="45"/>
        <v>-4.1542040545031571E-3</v>
      </c>
      <c r="L557" s="5">
        <f t="shared" si="45"/>
        <v>8.2173486890468106E-2</v>
      </c>
      <c r="M557" s="5">
        <f t="shared" si="45"/>
        <v>7.3610738704920535E-3</v>
      </c>
      <c r="N557" s="5">
        <f t="shared" si="44"/>
        <v>3.7015614905614315E-2</v>
      </c>
      <c r="O557" s="5">
        <f t="shared" si="42"/>
        <v>-1.7457029761215942E-3</v>
      </c>
      <c r="P557" s="79">
        <f t="shared" si="43"/>
        <v>-2.8563851074673097E-3</v>
      </c>
    </row>
    <row r="558" spans="1:16">
      <c r="A558" s="73">
        <v>45471</v>
      </c>
      <c r="B558" s="45">
        <v>1513.75</v>
      </c>
      <c r="C558" s="105">
        <v>5479.85</v>
      </c>
      <c r="D558" s="5">
        <v>300.85000000000002</v>
      </c>
      <c r="E558" s="5">
        <v>600.70000000000005</v>
      </c>
      <c r="F558" s="45">
        <v>4281.45</v>
      </c>
      <c r="G558" s="5">
        <v>24010.6</v>
      </c>
      <c r="H558" s="5">
        <f t="shared" si="45"/>
        <v>5.0449325144859683E-2</v>
      </c>
      <c r="I558" s="5">
        <f t="shared" si="45"/>
        <v>2.8307374741977927E-2</v>
      </c>
      <c r="J558" s="5">
        <f t="shared" si="45"/>
        <v>1.3133524162317004E-2</v>
      </c>
      <c r="K558" s="5">
        <f t="shared" si="45"/>
        <v>2.3360587351912081E-3</v>
      </c>
      <c r="L558" s="5">
        <f t="shared" si="45"/>
        <v>-3.0545586287318835E-2</v>
      </c>
      <c r="M558" s="5">
        <f t="shared" si="45"/>
        <v>-1.409885836677887E-3</v>
      </c>
      <c r="N558" s="5">
        <f t="shared" si="44"/>
        <v>3.2254539709126763E-3</v>
      </c>
      <c r="O558" s="5">
        <f t="shared" si="42"/>
        <v>2.2179391748299332E-2</v>
      </c>
      <c r="P558" s="79">
        <f t="shared" si="43"/>
        <v>2.548573377956485E-2</v>
      </c>
    </row>
    <row r="559" spans="1:16">
      <c r="A559" s="73">
        <v>45474</v>
      </c>
      <c r="B559" s="45">
        <v>1496.15</v>
      </c>
      <c r="C559" s="105">
        <v>5515.65</v>
      </c>
      <c r="D559" s="5">
        <v>302.39999999999998</v>
      </c>
      <c r="E559" s="5">
        <v>610.95000000000005</v>
      </c>
      <c r="F559" s="45">
        <v>4393.8999999999996</v>
      </c>
      <c r="G559" s="5">
        <v>24141.95</v>
      </c>
      <c r="H559" s="5">
        <f t="shared" si="45"/>
        <v>-1.1626754748141972E-2</v>
      </c>
      <c r="I559" s="5">
        <f t="shared" si="45"/>
        <v>6.5330255390200955E-3</v>
      </c>
      <c r="J559" s="5">
        <f t="shared" si="45"/>
        <v>5.1520691374437573E-3</v>
      </c>
      <c r="K559" s="5">
        <f t="shared" si="45"/>
        <v>1.7063426002996502E-2</v>
      </c>
      <c r="L559" s="5">
        <f t="shared" si="45"/>
        <v>2.6264466477478383E-2</v>
      </c>
      <c r="M559" s="5">
        <f t="shared" si="45"/>
        <v>5.4705005289331461E-3</v>
      </c>
      <c r="N559" s="5">
        <f t="shared" si="44"/>
        <v>1.1797808598886786E-2</v>
      </c>
      <c r="O559" s="5">
        <f t="shared" si="42"/>
        <v>5.3146744869498729E-3</v>
      </c>
      <c r="P559" s="79">
        <f t="shared" si="43"/>
        <v>3.6012470535360381E-3</v>
      </c>
    </row>
    <row r="560" spans="1:16">
      <c r="A560" s="73">
        <v>45475</v>
      </c>
      <c r="B560" s="45">
        <v>1495.4</v>
      </c>
      <c r="C560" s="105">
        <v>5535.9</v>
      </c>
      <c r="D560" s="5">
        <v>297.14999999999998</v>
      </c>
      <c r="E560" s="5">
        <v>602.79999999999995</v>
      </c>
      <c r="F560" s="45">
        <v>4329.55</v>
      </c>
      <c r="G560" s="5">
        <v>24123.85</v>
      </c>
      <c r="H560" s="5">
        <f t="shared" si="45"/>
        <v>-5.0128663569829228E-4</v>
      </c>
      <c r="I560" s="5">
        <f t="shared" si="45"/>
        <v>3.6713714612058418E-3</v>
      </c>
      <c r="J560" s="5">
        <f t="shared" si="45"/>
        <v>-1.7361111111111112E-2</v>
      </c>
      <c r="K560" s="5">
        <f t="shared" si="45"/>
        <v>-1.3339880513953826E-2</v>
      </c>
      <c r="L560" s="5">
        <f t="shared" si="45"/>
        <v>-1.4645303716515956E-2</v>
      </c>
      <c r="M560" s="5">
        <f t="shared" si="45"/>
        <v>-7.4973231242721412E-4</v>
      </c>
      <c r="N560" s="5">
        <f t="shared" si="44"/>
        <v>-9.1151897285099114E-3</v>
      </c>
      <c r="O560" s="5">
        <f t="shared" si="42"/>
        <v>-7.1186350227927667E-3</v>
      </c>
      <c r="P560" s="79">
        <f t="shared" si="43"/>
        <v>-5.9977863409501238E-3</v>
      </c>
    </row>
    <row r="561" spans="1:16">
      <c r="A561" s="73">
        <v>45476</v>
      </c>
      <c r="B561" s="45">
        <v>1492.65</v>
      </c>
      <c r="C561" s="105">
        <v>5494.1</v>
      </c>
      <c r="D561" s="5">
        <v>311.3</v>
      </c>
      <c r="E561" s="5">
        <v>609.70000000000005</v>
      </c>
      <c r="F561" s="45">
        <v>4684.55</v>
      </c>
      <c r="G561" s="5">
        <v>24286.5</v>
      </c>
      <c r="H561" s="5">
        <f t="shared" si="45"/>
        <v>-1.8389728500735588E-3</v>
      </c>
      <c r="I561" s="5">
        <f t="shared" si="45"/>
        <v>-7.550714427644877E-3</v>
      </c>
      <c r="J561" s="5">
        <f t="shared" si="45"/>
        <v>4.7619047619047734E-2</v>
      </c>
      <c r="K561" s="5">
        <f t="shared" si="45"/>
        <v>1.1446582614465978E-2</v>
      </c>
      <c r="L561" s="5">
        <f t="shared" si="45"/>
        <v>8.1994664572530629E-2</v>
      </c>
      <c r="M561" s="5">
        <f t="shared" si="45"/>
        <v>6.7422903060664636E-3</v>
      </c>
      <c r="N561" s="5">
        <f t="shared" si="44"/>
        <v>4.0479036611232339E-2</v>
      </c>
      <c r="O561" s="5">
        <f t="shared" si="42"/>
        <v>7.3030043213258844E-3</v>
      </c>
      <c r="P561" s="79">
        <f t="shared" si="43"/>
        <v>6.0604685543899648E-3</v>
      </c>
    </row>
    <row r="562" spans="1:16">
      <c r="A562" s="73">
        <v>45477</v>
      </c>
      <c r="B562" s="45">
        <v>1509.65</v>
      </c>
      <c r="C562" s="105">
        <v>5597.45</v>
      </c>
      <c r="D562" s="5">
        <v>311.05</v>
      </c>
      <c r="E562" s="5">
        <v>605.95000000000005</v>
      </c>
      <c r="F562" s="45">
        <v>5585.5</v>
      </c>
      <c r="G562" s="5">
        <v>24302.15</v>
      </c>
      <c r="H562" s="5">
        <f t="shared" si="45"/>
        <v>1.1389140119920945E-2</v>
      </c>
      <c r="I562" s="5">
        <f t="shared" si="45"/>
        <v>1.8811088258313364E-2</v>
      </c>
      <c r="J562" s="5">
        <f t="shared" si="45"/>
        <v>-8.0308384195309991E-4</v>
      </c>
      <c r="K562" s="5">
        <f t="shared" si="45"/>
        <v>-6.1505658520583893E-3</v>
      </c>
      <c r="L562" s="5">
        <f t="shared" si="45"/>
        <v>0.19232370238336655</v>
      </c>
      <c r="M562" s="5">
        <f t="shared" si="45"/>
        <v>6.4439091676451749E-4</v>
      </c>
      <c r="N562" s="5">
        <f t="shared" si="44"/>
        <v>9.4471625738402495E-2</v>
      </c>
      <c r="O562" s="5">
        <f t="shared" si="42"/>
        <v>7.2790669207540258E-3</v>
      </c>
      <c r="P562" s="79">
        <f t="shared" si="43"/>
        <v>6.3119689977453267E-3</v>
      </c>
    </row>
    <row r="563" spans="1:16">
      <c r="A563" s="73">
        <v>45478</v>
      </c>
      <c r="B563" s="45">
        <v>1507.65</v>
      </c>
      <c r="C563" s="105">
        <v>5619.9</v>
      </c>
      <c r="D563" s="5">
        <v>316.39999999999998</v>
      </c>
      <c r="E563" s="5">
        <v>606.45000000000005</v>
      </c>
      <c r="F563" s="45">
        <v>5685.8</v>
      </c>
      <c r="G563" s="5">
        <v>24323.85</v>
      </c>
      <c r="H563" s="5">
        <f t="shared" si="45"/>
        <v>-1.3248103865134303E-3</v>
      </c>
      <c r="I563" s="5">
        <f t="shared" si="45"/>
        <v>4.0107548973192823E-3</v>
      </c>
      <c r="J563" s="5">
        <f t="shared" si="45"/>
        <v>1.7199807104966935E-2</v>
      </c>
      <c r="K563" s="5">
        <f t="shared" si="45"/>
        <v>8.2515058998267174E-4</v>
      </c>
      <c r="L563" s="5">
        <f t="shared" si="45"/>
        <v>1.7957210634679113E-2</v>
      </c>
      <c r="M563" s="5">
        <f t="shared" si="45"/>
        <v>8.9292511156408331E-4</v>
      </c>
      <c r="N563" s="5">
        <f t="shared" si="44"/>
        <v>8.9045717187408203E-3</v>
      </c>
      <c r="O563" s="5">
        <f t="shared" si="42"/>
        <v>1.1613324735276378E-3</v>
      </c>
      <c r="P563" s="79">
        <f t="shared" si="43"/>
        <v>1.5600295661010923E-3</v>
      </c>
    </row>
    <row r="564" spans="1:16">
      <c r="A564" s="73">
        <v>45481</v>
      </c>
      <c r="B564" s="45">
        <v>1531.9</v>
      </c>
      <c r="C564" s="105">
        <v>5594.25</v>
      </c>
      <c r="D564" s="5">
        <v>328.35</v>
      </c>
      <c r="E564" s="5">
        <v>623.45000000000005</v>
      </c>
      <c r="F564" s="45">
        <v>5580.15</v>
      </c>
      <c r="G564" s="5">
        <v>24320.55</v>
      </c>
      <c r="H564" s="5">
        <f t="shared" si="45"/>
        <v>1.6084635028023743E-2</v>
      </c>
      <c r="I564" s="5">
        <f t="shared" si="45"/>
        <v>-4.5641381519243469E-3</v>
      </c>
      <c r="J564" s="5">
        <f t="shared" si="45"/>
        <v>3.7768647281921766E-2</v>
      </c>
      <c r="K564" s="5">
        <f t="shared" si="45"/>
        <v>2.8031989446780443E-2</v>
      </c>
      <c r="L564" s="5">
        <f t="shared" si="45"/>
        <v>-1.8581378170178433E-2</v>
      </c>
      <c r="M564" s="5">
        <f t="shared" si="45"/>
        <v>-1.3566931221822501E-4</v>
      </c>
      <c r="N564" s="5">
        <f t="shared" si="44"/>
        <v>6.229529675503831E-4</v>
      </c>
      <c r="O564" s="5">
        <f t="shared" si="42"/>
        <v>1.9760948109084464E-2</v>
      </c>
      <c r="P564" s="79">
        <f t="shared" si="43"/>
        <v>1.8667302637564935E-2</v>
      </c>
    </row>
    <row r="565" spans="1:16">
      <c r="A565" s="73">
        <v>45482</v>
      </c>
      <c r="B565" s="45">
        <v>1515.3</v>
      </c>
      <c r="C565" s="105">
        <v>5592.85</v>
      </c>
      <c r="D565" s="5">
        <v>329.5</v>
      </c>
      <c r="E565" s="5">
        <v>630.20000000000005</v>
      </c>
      <c r="F565" s="45">
        <v>5513.4</v>
      </c>
      <c r="G565" s="5">
        <v>24433.200000000001</v>
      </c>
      <c r="H565" s="5">
        <f t="shared" si="45"/>
        <v>-1.0836216463215703E-2</v>
      </c>
      <c r="I565" s="5">
        <f t="shared" si="45"/>
        <v>-2.502569602716425E-4</v>
      </c>
      <c r="J565" s="5">
        <f t="shared" si="45"/>
        <v>3.5023602862798149E-3</v>
      </c>
      <c r="K565" s="5">
        <f t="shared" si="45"/>
        <v>1.0826850589461865E-2</v>
      </c>
      <c r="L565" s="5">
        <f t="shared" si="45"/>
        <v>-1.1962044031074434E-2</v>
      </c>
      <c r="M565" s="5">
        <f t="shared" si="45"/>
        <v>4.6318853808816601E-3</v>
      </c>
      <c r="N565" s="5">
        <f t="shared" si="44"/>
        <v>-7.3305606728877671E-3</v>
      </c>
      <c r="O565" s="5">
        <f t="shared" si="42"/>
        <v>1.043529732264892E-3</v>
      </c>
      <c r="P565" s="79">
        <f t="shared" si="43"/>
        <v>6.311450649064213E-5</v>
      </c>
    </row>
    <row r="566" spans="1:16">
      <c r="A566" s="73">
        <v>45483</v>
      </c>
      <c r="B566" s="45">
        <v>1540.65</v>
      </c>
      <c r="C566" s="105">
        <v>5568</v>
      </c>
      <c r="D566" s="5">
        <v>327.95</v>
      </c>
      <c r="E566" s="5">
        <v>631.70000000000005</v>
      </c>
      <c r="F566" s="45">
        <v>5358.15</v>
      </c>
      <c r="G566" s="5">
        <v>24324.45</v>
      </c>
      <c r="H566" s="5">
        <f t="shared" si="45"/>
        <v>1.6729360522668869E-2</v>
      </c>
      <c r="I566" s="5">
        <f t="shared" si="45"/>
        <v>-4.4431729797867565E-3</v>
      </c>
      <c r="J566" s="5">
        <f t="shared" si="45"/>
        <v>-4.7040971168437369E-3</v>
      </c>
      <c r="K566" s="5">
        <f t="shared" si="45"/>
        <v>2.3801967629324024E-3</v>
      </c>
      <c r="L566" s="5">
        <f t="shared" si="45"/>
        <v>-2.8158667972575907E-2</v>
      </c>
      <c r="M566" s="5">
        <f t="shared" si="45"/>
        <v>-4.4509110554491428E-3</v>
      </c>
      <c r="N566" s="5">
        <f t="shared" si="44"/>
        <v>-8.3480726543531357E-3</v>
      </c>
      <c r="O566" s="5">
        <f t="shared" si="42"/>
        <v>6.1796642952424118E-3</v>
      </c>
      <c r="P566" s="79">
        <f t="shared" si="43"/>
        <v>6.3265220247480051E-3</v>
      </c>
    </row>
    <row r="567" spans="1:16">
      <c r="A567" s="73">
        <v>45484</v>
      </c>
      <c r="B567" s="45">
        <v>1534.55</v>
      </c>
      <c r="C567" s="105">
        <v>5635.25</v>
      </c>
      <c r="D567" s="5">
        <v>332.7</v>
      </c>
      <c r="E567" s="5">
        <v>629.35</v>
      </c>
      <c r="F567" s="45">
        <v>5744.45</v>
      </c>
      <c r="G567" s="5">
        <v>24315.95</v>
      </c>
      <c r="H567" s="5">
        <f t="shared" si="45"/>
        <v>-3.9593677993055767E-3</v>
      </c>
      <c r="I567" s="5">
        <f t="shared" si="45"/>
        <v>1.207794540229885E-2</v>
      </c>
      <c r="J567" s="5">
        <f t="shared" si="45"/>
        <v>1.4483915230980332E-2</v>
      </c>
      <c r="K567" s="5">
        <f t="shared" si="45"/>
        <v>-3.7201203102738998E-3</v>
      </c>
      <c r="L567" s="5">
        <f t="shared" si="45"/>
        <v>7.2095779326819931E-2</v>
      </c>
      <c r="M567" s="5">
        <f t="shared" si="45"/>
        <v>-3.4944263899080964E-4</v>
      </c>
      <c r="N567" s="5">
        <f t="shared" si="44"/>
        <v>3.3472066095111851E-2</v>
      </c>
      <c r="O567" s="5">
        <f t="shared" si="42"/>
        <v>-1.2758332390405669E-4</v>
      </c>
      <c r="P567" s="79">
        <f t="shared" si="43"/>
        <v>2.1698843039347801E-4</v>
      </c>
    </row>
    <row r="568" spans="1:16">
      <c r="A568" s="73">
        <v>45485</v>
      </c>
      <c r="B568" s="45">
        <v>1516.1</v>
      </c>
      <c r="C568" s="105">
        <v>5651.25</v>
      </c>
      <c r="D568" s="5">
        <v>325.89999999999998</v>
      </c>
      <c r="E568" s="5">
        <v>630</v>
      </c>
      <c r="F568" s="45">
        <v>5553.2</v>
      </c>
      <c r="G568" s="5">
        <v>24502.15</v>
      </c>
      <c r="H568" s="5">
        <f t="shared" si="45"/>
        <v>-1.2023068652047861E-2</v>
      </c>
      <c r="I568" s="5">
        <f t="shared" si="45"/>
        <v>2.8392706623486092E-3</v>
      </c>
      <c r="J568" s="5">
        <f t="shared" si="45"/>
        <v>-2.0438833784189994E-2</v>
      </c>
      <c r="K568" s="5">
        <f t="shared" si="45"/>
        <v>1.0328116310478704E-3</v>
      </c>
      <c r="L568" s="5">
        <f t="shared" si="45"/>
        <v>-3.3293004552219972E-2</v>
      </c>
      <c r="M568" s="5">
        <f t="shared" si="45"/>
        <v>7.6575252046496524E-3</v>
      </c>
      <c r="N568" s="5">
        <f t="shared" si="44"/>
        <v>-1.9532404190132288E-2</v>
      </c>
      <c r="O568" s="5">
        <f t="shared" si="42"/>
        <v>-4.9935322631253576E-3</v>
      </c>
      <c r="P568" s="79">
        <f t="shared" si="43"/>
        <v>-5.3445884172048401E-3</v>
      </c>
    </row>
    <row r="569" spans="1:16">
      <c r="A569" s="73">
        <v>45488</v>
      </c>
      <c r="B569" s="45">
        <v>1527.95</v>
      </c>
      <c r="C569" s="105">
        <v>5675.55</v>
      </c>
      <c r="D569" s="5">
        <v>325.39999999999998</v>
      </c>
      <c r="E569" s="5">
        <v>632.4</v>
      </c>
      <c r="F569" s="45">
        <v>5392.45</v>
      </c>
      <c r="G569" s="5">
        <v>24586.7</v>
      </c>
      <c r="H569" s="5">
        <f t="shared" si="45"/>
        <v>7.8161071169448836E-3</v>
      </c>
      <c r="I569" s="5">
        <f t="shared" si="45"/>
        <v>4.2999336429993687E-3</v>
      </c>
      <c r="J569" s="5">
        <f t="shared" si="45"/>
        <v>-1.5342129487572877E-3</v>
      </c>
      <c r="K569" s="5">
        <f t="shared" si="45"/>
        <v>3.8095238095237735E-3</v>
      </c>
      <c r="L569" s="5">
        <f t="shared" si="45"/>
        <v>-2.8947273644025068E-2</v>
      </c>
      <c r="M569" s="5">
        <f t="shared" si="45"/>
        <v>3.4507175900890031E-3</v>
      </c>
      <c r="N569" s="5">
        <f t="shared" si="44"/>
        <v>-1.0549455260745208E-2</v>
      </c>
      <c r="O569" s="5">
        <f t="shared" si="42"/>
        <v>4.4626002899793094E-3</v>
      </c>
      <c r="P569" s="79">
        <f t="shared" si="43"/>
        <v>4.8872538194778608E-3</v>
      </c>
    </row>
    <row r="570" spans="1:16">
      <c r="A570" s="73">
        <v>45489</v>
      </c>
      <c r="B570" s="45">
        <v>1530</v>
      </c>
      <c r="C570" s="105">
        <v>5647.3</v>
      </c>
      <c r="D570" s="5">
        <v>320</v>
      </c>
      <c r="E570" s="5">
        <v>640.95000000000005</v>
      </c>
      <c r="F570" s="45">
        <v>5405</v>
      </c>
      <c r="G570" s="5">
        <v>24613</v>
      </c>
      <c r="H570" s="5">
        <f t="shared" si="45"/>
        <v>1.3416669393631693E-3</v>
      </c>
      <c r="I570" s="5">
        <f t="shared" si="45"/>
        <v>-4.9774911682568205E-3</v>
      </c>
      <c r="J570" s="5">
        <f t="shared" si="45"/>
        <v>-1.6594960049170184E-2</v>
      </c>
      <c r="K570" s="5">
        <f t="shared" si="45"/>
        <v>1.3519924098671835E-2</v>
      </c>
      <c r="L570" s="5">
        <f t="shared" si="45"/>
        <v>2.3273280234402142E-3</v>
      </c>
      <c r="M570" s="5">
        <f t="shared" si="45"/>
        <v>1.0696840161550461E-3</v>
      </c>
      <c r="N570" s="5">
        <f t="shared" si="44"/>
        <v>2.5879459191129003E-3</v>
      </c>
      <c r="O570" s="5">
        <f t="shared" si="42"/>
        <v>6.1850089286460096E-3</v>
      </c>
      <c r="P570" s="79">
        <f t="shared" si="43"/>
        <v>4.1004832691008825E-3</v>
      </c>
    </row>
    <row r="571" spans="1:16">
      <c r="A571" s="73">
        <v>45491</v>
      </c>
      <c r="B571" s="45">
        <v>1530.45</v>
      </c>
      <c r="C571" s="105">
        <v>5308.5</v>
      </c>
      <c r="D571" s="5">
        <v>308.60000000000002</v>
      </c>
      <c r="E571" s="5">
        <v>644.85</v>
      </c>
      <c r="F571" s="45">
        <v>5190.75</v>
      </c>
      <c r="G571" s="5">
        <v>24800.85</v>
      </c>
      <c r="H571" s="5">
        <f t="shared" si="45"/>
        <v>2.9411764705885326E-4</v>
      </c>
      <c r="I571" s="5">
        <f t="shared" si="45"/>
        <v>-5.9993271120712587E-2</v>
      </c>
      <c r="J571" s="5">
        <f t="shared" si="45"/>
        <v>-3.5624999999999928E-2</v>
      </c>
      <c r="K571" s="5">
        <f t="shared" si="45"/>
        <v>6.0847179967235777E-3</v>
      </c>
      <c r="L571" s="5">
        <f t="shared" si="45"/>
        <v>-3.9639222941720627E-2</v>
      </c>
      <c r="M571" s="5">
        <f t="shared" si="45"/>
        <v>7.6321456141063074E-3</v>
      </c>
      <c r="N571" s="5">
        <f t="shared" si="44"/>
        <v>-2.2595215347388349E-2</v>
      </c>
      <c r="O571" s="5">
        <f t="shared" si="42"/>
        <v>-4.4538046499440643E-3</v>
      </c>
      <c r="P571" s="79">
        <f t="shared" si="43"/>
        <v>-8.9333238585531712E-3</v>
      </c>
    </row>
    <row r="572" spans="1:16">
      <c r="A572" s="73">
        <v>45492</v>
      </c>
      <c r="B572" s="45">
        <v>1523.8</v>
      </c>
      <c r="C572" s="105">
        <v>5166.3500000000004</v>
      </c>
      <c r="D572" s="5">
        <v>294.10000000000002</v>
      </c>
      <c r="E572" s="5">
        <v>632.9</v>
      </c>
      <c r="F572" s="45">
        <v>5130.7</v>
      </c>
      <c r="G572" s="5">
        <v>24530.9</v>
      </c>
      <c r="H572" s="5">
        <f t="shared" si="45"/>
        <v>-4.3451272501552427E-3</v>
      </c>
      <c r="I572" s="5">
        <f t="shared" si="45"/>
        <v>-2.6777809173966213E-2</v>
      </c>
      <c r="J572" s="5">
        <f t="shared" si="45"/>
        <v>-4.6986390149060267E-2</v>
      </c>
      <c r="K572" s="5">
        <f t="shared" si="45"/>
        <v>-1.8531441420485455E-2</v>
      </c>
      <c r="L572" s="5">
        <f t="shared" si="45"/>
        <v>-1.1568655781919797E-2</v>
      </c>
      <c r="M572" s="5">
        <f t="shared" si="45"/>
        <v>-1.0884707580586839E-2</v>
      </c>
      <c r="N572" s="5">
        <f t="shared" si="44"/>
        <v>-1.2285988588924077E-2</v>
      </c>
      <c r="O572" s="5">
        <f t="shared" si="42"/>
        <v>-1.4677472696929227E-2</v>
      </c>
      <c r="P572" s="79">
        <f t="shared" si="43"/>
        <v>-1.5838664325263749E-2</v>
      </c>
    </row>
    <row r="573" spans="1:16">
      <c r="A573" s="73">
        <v>45495</v>
      </c>
      <c r="B573" s="45">
        <v>1539.65</v>
      </c>
      <c r="C573" s="105">
        <v>5210.2</v>
      </c>
      <c r="D573" s="5">
        <v>304.89999999999998</v>
      </c>
      <c r="E573" s="5">
        <v>636.65</v>
      </c>
      <c r="F573" s="45">
        <v>5325.15</v>
      </c>
      <c r="G573" s="5">
        <v>24509.25</v>
      </c>
      <c r="H573" s="5">
        <f t="shared" si="45"/>
        <v>1.0401627510172028E-2</v>
      </c>
      <c r="I573" s="5">
        <f t="shared" si="45"/>
        <v>8.4876169829762697E-3</v>
      </c>
      <c r="J573" s="5">
        <f t="shared" si="45"/>
        <v>3.6722203332199777E-2</v>
      </c>
      <c r="K573" s="5">
        <f t="shared" si="45"/>
        <v>5.9251066519197346E-3</v>
      </c>
      <c r="L573" s="5">
        <f t="shared" si="45"/>
        <v>3.7899311984719401E-2</v>
      </c>
      <c r="M573" s="5">
        <f t="shared" si="45"/>
        <v>-8.8256036264472372E-4</v>
      </c>
      <c r="N573" s="5">
        <f t="shared" si="44"/>
        <v>2.3339022393454287E-2</v>
      </c>
      <c r="O573" s="5">
        <f t="shared" si="42"/>
        <v>9.3870341919552822E-3</v>
      </c>
      <c r="P573" s="79">
        <f t="shared" si="43"/>
        <v>1.0129506645676295E-2</v>
      </c>
    </row>
    <row r="574" spans="1:16">
      <c r="A574" s="73">
        <v>45496</v>
      </c>
      <c r="B574" s="45">
        <v>1561.3</v>
      </c>
      <c r="C574" s="105">
        <v>5263.8</v>
      </c>
      <c r="D574" s="5">
        <v>307.35000000000002</v>
      </c>
      <c r="E574" s="5">
        <v>652.29999999999995</v>
      </c>
      <c r="F574" s="45">
        <v>5061.25</v>
      </c>
      <c r="G574" s="5">
        <v>24479.05</v>
      </c>
      <c r="H574" s="5">
        <f t="shared" si="45"/>
        <v>1.4061637385119905E-2</v>
      </c>
      <c r="I574" s="5">
        <f t="shared" si="45"/>
        <v>1.028751295535687E-2</v>
      </c>
      <c r="J574" s="5">
        <f t="shared" si="45"/>
        <v>8.0354214496557753E-3</v>
      </c>
      <c r="K574" s="5">
        <f t="shared" si="45"/>
        <v>2.4581795334956379E-2</v>
      </c>
      <c r="L574" s="5">
        <f t="shared" si="45"/>
        <v>-4.9557289466024369E-2</v>
      </c>
      <c r="M574" s="5">
        <f t="shared" si="45"/>
        <v>-1.2321878474453819E-3</v>
      </c>
      <c r="N574" s="5">
        <f t="shared" si="44"/>
        <v>-1.4905991074706075E-2</v>
      </c>
      <c r="O574" s="5">
        <f t="shared" si="42"/>
        <v>1.7225795021717935E-2</v>
      </c>
      <c r="P574" s="79">
        <f t="shared" si="43"/>
        <v>1.6764180069500052E-2</v>
      </c>
    </row>
    <row r="575" spans="1:16">
      <c r="A575" s="73">
        <v>45497</v>
      </c>
      <c r="B575" s="45">
        <v>1602.6</v>
      </c>
      <c r="C575" s="105">
        <v>5286.85</v>
      </c>
      <c r="D575" s="5">
        <v>309.14999999999998</v>
      </c>
      <c r="E575" s="5">
        <v>634.15</v>
      </c>
      <c r="F575" s="45">
        <v>5047.7</v>
      </c>
      <c r="G575" s="5">
        <v>24413.5</v>
      </c>
      <c r="H575" s="5">
        <f t="shared" si="45"/>
        <v>2.6452315378210436E-2</v>
      </c>
      <c r="I575" s="5">
        <f t="shared" si="45"/>
        <v>4.3789657661765609E-3</v>
      </c>
      <c r="J575" s="5">
        <f t="shared" si="45"/>
        <v>5.8565153733527069E-3</v>
      </c>
      <c r="K575" s="5">
        <f t="shared" si="45"/>
        <v>-2.7824620573355784E-2</v>
      </c>
      <c r="L575" s="5">
        <f t="shared" si="45"/>
        <v>-2.6772042479624959E-3</v>
      </c>
      <c r="M575" s="5">
        <f t="shared" si="45"/>
        <v>-2.677799996323357E-3</v>
      </c>
      <c r="N575" s="5">
        <f t="shared" si="44"/>
        <v>3.2977077275975156E-3</v>
      </c>
      <c r="O575" s="5">
        <f t="shared" si="42"/>
        <v>-3.1845875108008092E-3</v>
      </c>
      <c r="P575" s="79">
        <f t="shared" si="43"/>
        <v>4.742482853079521E-4</v>
      </c>
    </row>
    <row r="576" spans="1:16">
      <c r="A576" s="73">
        <v>45498</v>
      </c>
      <c r="B576" s="45">
        <v>1597.55</v>
      </c>
      <c r="C576" s="105">
        <v>5309.95</v>
      </c>
      <c r="D576" s="5">
        <v>311.55</v>
      </c>
      <c r="E576" s="5">
        <v>631.20000000000005</v>
      </c>
      <c r="F576" s="45">
        <v>4856.5</v>
      </c>
      <c r="G576" s="5">
        <v>24406.1</v>
      </c>
      <c r="H576" s="5">
        <f t="shared" si="45"/>
        <v>-3.1511294147010824E-3</v>
      </c>
      <c r="I576" s="5">
        <f t="shared" si="45"/>
        <v>4.3693314544576553E-3</v>
      </c>
      <c r="J576" s="5">
        <f t="shared" si="45"/>
        <v>7.7632217370209745E-3</v>
      </c>
      <c r="K576" s="5">
        <f t="shared" si="45"/>
        <v>-4.6518962390600521E-3</v>
      </c>
      <c r="L576" s="5">
        <f t="shared" si="45"/>
        <v>-3.7878637795431547E-2</v>
      </c>
      <c r="M576" s="5">
        <f t="shared" si="45"/>
        <v>-3.0311098367712352E-4</v>
      </c>
      <c r="N576" s="5">
        <f t="shared" si="44"/>
        <v>-1.8958297693293342E-2</v>
      </c>
      <c r="O576" s="5">
        <f t="shared" si="42"/>
        <v>-3.6458863471002492E-3</v>
      </c>
      <c r="P576" s="79">
        <f t="shared" si="43"/>
        <v>-2.2281246246720703E-3</v>
      </c>
    </row>
    <row r="577" spans="1:16">
      <c r="A577" s="73">
        <v>45499</v>
      </c>
      <c r="B577" s="45">
        <v>1608.35</v>
      </c>
      <c r="C577" s="105">
        <v>5393.35</v>
      </c>
      <c r="D577" s="5">
        <v>317.3</v>
      </c>
      <c r="E577" s="5">
        <v>632.45000000000005</v>
      </c>
      <c r="F577" s="45">
        <v>4858.1499999999996</v>
      </c>
      <c r="G577" s="5">
        <v>24834.85</v>
      </c>
      <c r="H577" s="5">
        <f t="shared" si="45"/>
        <v>6.7603517886763824E-3</v>
      </c>
      <c r="I577" s="5">
        <f t="shared" si="45"/>
        <v>1.5706362583451924E-2</v>
      </c>
      <c r="J577" s="5">
        <f t="shared" si="45"/>
        <v>1.8456106563954421E-2</v>
      </c>
      <c r="K577" s="5">
        <f t="shared" si="45"/>
        <v>1.980354879594423E-3</v>
      </c>
      <c r="L577" s="5">
        <f t="shared" si="45"/>
        <v>3.3975084937704856E-4</v>
      </c>
      <c r="M577" s="5">
        <f t="shared" si="45"/>
        <v>1.7567329479105633E-2</v>
      </c>
      <c r="N577" s="5">
        <f t="shared" si="44"/>
        <v>3.967051078094851E-3</v>
      </c>
      <c r="O577" s="5">
        <f t="shared" si="42"/>
        <v>5.4617643374705533E-3</v>
      </c>
      <c r="P577" s="79">
        <f t="shared" si="43"/>
        <v>6.8784470965619973E-3</v>
      </c>
    </row>
    <row r="578" spans="1:16">
      <c r="A578" s="73">
        <v>45502</v>
      </c>
      <c r="B578" s="45">
        <v>1621.25</v>
      </c>
      <c r="C578" s="105">
        <v>5517.4</v>
      </c>
      <c r="D578" s="5">
        <v>323.05</v>
      </c>
      <c r="E578" s="5">
        <v>641.1</v>
      </c>
      <c r="F578" s="45">
        <v>5340.4</v>
      </c>
      <c r="G578" s="5">
        <v>24836.1</v>
      </c>
      <c r="H578" s="5">
        <f t="shared" si="45"/>
        <v>8.0206422731371237E-3</v>
      </c>
      <c r="I578" s="5">
        <f t="shared" si="45"/>
        <v>2.3000546969879437E-2</v>
      </c>
      <c r="J578" s="5">
        <f t="shared" si="45"/>
        <v>1.8121651433974158E-2</v>
      </c>
      <c r="K578" s="5">
        <f t="shared" si="45"/>
        <v>1.3676970511502849E-2</v>
      </c>
      <c r="L578" s="5">
        <f t="shared" si="45"/>
        <v>9.9266181571174214E-2</v>
      </c>
      <c r="M578" s="5">
        <f t="shared" si="45"/>
        <v>5.0332496471692003E-5</v>
      </c>
      <c r="N578" s="5">
        <f t="shared" si="44"/>
        <v>5.3067291358595801E-2</v>
      </c>
      <c r="O578" s="5">
        <f t="shared" si="42"/>
        <v>1.4491231256420708E-2</v>
      </c>
      <c r="P578" s="79">
        <f t="shared" si="43"/>
        <v>1.3779168778579078E-2</v>
      </c>
    </row>
    <row r="579" spans="1:16">
      <c r="A579" s="73">
        <v>45503</v>
      </c>
      <c r="B579" s="45">
        <v>1603.95</v>
      </c>
      <c r="C579" s="105">
        <v>5620.5</v>
      </c>
      <c r="D579" s="5">
        <v>317.39999999999998</v>
      </c>
      <c r="E579" s="5">
        <v>633.9</v>
      </c>
      <c r="F579" s="45">
        <v>5369.05</v>
      </c>
      <c r="G579" s="5">
        <v>24857.3</v>
      </c>
      <c r="H579" s="5">
        <f t="shared" si="45"/>
        <v>-1.0670778720123333E-2</v>
      </c>
      <c r="I579" s="5">
        <f t="shared" si="45"/>
        <v>1.8686337767789243E-2</v>
      </c>
      <c r="J579" s="5">
        <f t="shared" si="45"/>
        <v>-1.7489552700820411E-2</v>
      </c>
      <c r="K579" s="5">
        <f t="shared" si="45"/>
        <v>-1.1230697239120332E-2</v>
      </c>
      <c r="L579" s="5">
        <f t="shared" si="45"/>
        <v>5.3647666841436124E-3</v>
      </c>
      <c r="M579" s="5">
        <f t="shared" si="45"/>
        <v>8.5359617653338197E-4</v>
      </c>
      <c r="N579" s="5">
        <f t="shared" si="44"/>
        <v>-1.4749253668337164E-3</v>
      </c>
      <c r="O579" s="5">
        <f t="shared" si="42"/>
        <v>-8.0072250351286636E-3</v>
      </c>
      <c r="P579" s="79">
        <f t="shared" si="43"/>
        <v>-6.7565230697603897E-3</v>
      </c>
    </row>
    <row r="580" spans="1:16">
      <c r="A580" s="73">
        <v>45504</v>
      </c>
      <c r="B580" s="45">
        <v>1596.3</v>
      </c>
      <c r="C580" s="105">
        <v>5839</v>
      </c>
      <c r="D580" s="5">
        <v>315.25</v>
      </c>
      <c r="E580" s="5">
        <v>635.70000000000005</v>
      </c>
      <c r="F580" s="45">
        <v>5243.5</v>
      </c>
      <c r="G580" s="5">
        <v>24951.15</v>
      </c>
      <c r="H580" s="5">
        <f t="shared" si="45"/>
        <v>-4.7694753577107087E-3</v>
      </c>
      <c r="I580" s="5">
        <f t="shared" si="45"/>
        <v>3.8875544880348722E-2</v>
      </c>
      <c r="J580" s="5">
        <f t="shared" si="45"/>
        <v>-6.7737870195336402E-3</v>
      </c>
      <c r="K580" s="5">
        <f t="shared" si="45"/>
        <v>2.8395646000947601E-3</v>
      </c>
      <c r="L580" s="5">
        <f t="shared" si="45"/>
        <v>-2.3384025106862515E-2</v>
      </c>
      <c r="M580" s="5">
        <f t="shared" si="45"/>
        <v>3.7755508442188887E-3</v>
      </c>
      <c r="N580" s="5">
        <f t="shared" si="44"/>
        <v>-9.7458842359095417E-3</v>
      </c>
      <c r="O580" s="5">
        <f t="shared" ref="O580:O643" si="46">$V$86*H580 +$V$87*I580 + $V$88*J580 + $V$89*K580+ $V$90*L580</f>
        <v>2.5633340237938198E-3</v>
      </c>
      <c r="P580" s="79">
        <f t="shared" ref="P580:P643" si="47">$V$104*H580 +$V$105*I580 + $V$106*J580 + $V$107*K580+ $V$108*L580</f>
        <v>4.5057209643230905E-3</v>
      </c>
    </row>
    <row r="581" spans="1:16">
      <c r="A581" s="73">
        <v>45505</v>
      </c>
      <c r="B581" s="45">
        <v>1620.2</v>
      </c>
      <c r="C581" s="105">
        <v>5770.8</v>
      </c>
      <c r="D581" s="5">
        <v>308.5</v>
      </c>
      <c r="E581" s="5">
        <v>643.5</v>
      </c>
      <c r="F581" s="45">
        <v>5107.6499999999996</v>
      </c>
      <c r="G581" s="5">
        <v>25010.9</v>
      </c>
      <c r="H581" s="5">
        <f t="shared" si="45"/>
        <v>1.4972123034517379E-2</v>
      </c>
      <c r="I581" s="5">
        <f t="shared" si="45"/>
        <v>-1.1680082205857137E-2</v>
      </c>
      <c r="J581" s="5">
        <f t="shared" si="45"/>
        <v>-2.1411578112609041E-2</v>
      </c>
      <c r="K581" s="5">
        <f t="shared" si="45"/>
        <v>1.2269938650306676E-2</v>
      </c>
      <c r="L581" s="5">
        <f t="shared" si="45"/>
        <v>-2.5908267378659363E-2</v>
      </c>
      <c r="M581" s="5">
        <f t="shared" si="45"/>
        <v>2.3946792031629802E-3</v>
      </c>
      <c r="N581" s="5">
        <f t="shared" ref="N581:N644" si="48">((H581 *0.3 ) + (I581 * 0.064462757 ) + (J581 * 0.026806099 ) + (K581 * 0.137093997) + (L581 * 0.471637147))</f>
        <v>-7.3724206509225522E-3</v>
      </c>
      <c r="O581" s="5">
        <f t="shared" si="46"/>
        <v>9.2366482956892024E-3</v>
      </c>
      <c r="P581" s="79">
        <f t="shared" si="47"/>
        <v>7.4461923784699194E-3</v>
      </c>
    </row>
    <row r="582" spans="1:16">
      <c r="A582" s="73">
        <v>45506</v>
      </c>
      <c r="B582" s="45">
        <v>1619.2</v>
      </c>
      <c r="C582" s="105">
        <v>5538.25</v>
      </c>
      <c r="D582" s="5">
        <v>301.64999999999998</v>
      </c>
      <c r="E582" s="5">
        <v>627.54999999999995</v>
      </c>
      <c r="F582" s="45">
        <v>5095.6000000000004</v>
      </c>
      <c r="G582" s="5">
        <v>24717.7</v>
      </c>
      <c r="H582" s="5">
        <f t="shared" si="45"/>
        <v>-6.1720775212936675E-4</v>
      </c>
      <c r="I582" s="5">
        <f t="shared" si="45"/>
        <v>-4.0297705690718819E-2</v>
      </c>
      <c r="J582" s="5">
        <f t="shared" si="45"/>
        <v>-2.2204213938411745E-2</v>
      </c>
      <c r="K582" s="5">
        <f t="shared" si="45"/>
        <v>-2.4786324786324858E-2</v>
      </c>
      <c r="L582" s="5">
        <f t="shared" si="45"/>
        <v>-2.3592062886061641E-3</v>
      </c>
      <c r="M582" s="5">
        <f t="shared" si="45"/>
        <v>-1.1722888820474302E-2</v>
      </c>
      <c r="N582" s="5">
        <f t="shared" si="48"/>
        <v>-7.8888175513274952E-3</v>
      </c>
      <c r="O582" s="5">
        <f t="shared" si="46"/>
        <v>-1.6716955377933124E-2</v>
      </c>
      <c r="P582" s="79">
        <f t="shared" si="47"/>
        <v>-1.7320431136725482E-2</v>
      </c>
    </row>
    <row r="583" spans="1:16">
      <c r="A583" s="73">
        <v>45509</v>
      </c>
      <c r="B583" s="45">
        <v>1557.2</v>
      </c>
      <c r="C583" s="105">
        <v>5346.9</v>
      </c>
      <c r="D583" s="5">
        <v>291.64999999999998</v>
      </c>
      <c r="E583" s="5">
        <v>634</v>
      </c>
      <c r="F583" s="45">
        <v>4799.5</v>
      </c>
      <c r="G583" s="5">
        <v>24055.599999999999</v>
      </c>
      <c r="H583" s="5">
        <f t="shared" si="45"/>
        <v>-3.8290513833992096E-2</v>
      </c>
      <c r="I583" s="5">
        <f t="shared" si="45"/>
        <v>-3.4550625197490248E-2</v>
      </c>
      <c r="J583" s="5">
        <f t="shared" si="45"/>
        <v>-3.3151002817835243E-2</v>
      </c>
      <c r="K583" s="5">
        <f t="shared" si="45"/>
        <v>1.0278065492789493E-2</v>
      </c>
      <c r="L583" s="5">
        <f t="shared" si="45"/>
        <v>-5.8108956746997474E-2</v>
      </c>
      <c r="M583" s="5">
        <f t="shared" si="45"/>
        <v>-2.6786472851438529E-2</v>
      </c>
      <c r="N583" s="5">
        <f t="shared" si="48"/>
        <v>-4.0600313265451687E-2</v>
      </c>
      <c r="O583" s="5">
        <f t="shared" si="46"/>
        <v>-1.4668593516604836E-2</v>
      </c>
      <c r="P583" s="79">
        <f t="shared" si="47"/>
        <v>-1.8588202226460002E-2</v>
      </c>
    </row>
    <row r="584" spans="1:16">
      <c r="A584" s="73">
        <v>45510</v>
      </c>
      <c r="B584" s="45">
        <v>1515.1</v>
      </c>
      <c r="C584" s="105">
        <v>5220.7</v>
      </c>
      <c r="D584" s="5">
        <v>287.55</v>
      </c>
      <c r="E584" s="5">
        <v>629.15</v>
      </c>
      <c r="F584" s="45">
        <v>4641.25</v>
      </c>
      <c r="G584" s="5">
        <v>23992.55</v>
      </c>
      <c r="H584" s="5">
        <f t="shared" si="45"/>
        <v>-2.7035705111739104E-2</v>
      </c>
      <c r="I584" s="5">
        <f t="shared" si="45"/>
        <v>-2.3602461239222695E-2</v>
      </c>
      <c r="J584" s="5">
        <f t="shared" si="45"/>
        <v>-1.4057946168352362E-2</v>
      </c>
      <c r="K584" s="5">
        <f t="shared" si="45"/>
        <v>-7.6498422712934109E-3</v>
      </c>
      <c r="L584" s="5">
        <f t="shared" si="45"/>
        <v>-3.2972184602562765E-2</v>
      </c>
      <c r="M584" s="5">
        <f t="shared" si="45"/>
        <v>-2.6210113237665773E-3</v>
      </c>
      <c r="N584" s="5">
        <f t="shared" si="48"/>
        <v>-2.6608684483414389E-2</v>
      </c>
      <c r="O584" s="5">
        <f t="shared" si="46"/>
        <v>-1.7079612473131535E-2</v>
      </c>
      <c r="P584" s="79">
        <f t="shared" si="47"/>
        <v>-1.8219175603165324E-2</v>
      </c>
    </row>
    <row r="585" spans="1:16">
      <c r="A585" s="73">
        <v>45511</v>
      </c>
      <c r="B585" s="45">
        <v>1465.95</v>
      </c>
      <c r="C585" s="105">
        <v>5472.45</v>
      </c>
      <c r="D585" s="5">
        <v>304.60000000000002</v>
      </c>
      <c r="E585" s="5">
        <v>639.25</v>
      </c>
      <c r="F585" s="45">
        <v>4845.3</v>
      </c>
      <c r="G585" s="5">
        <v>24297.5</v>
      </c>
      <c r="H585" s="5">
        <f t="shared" si="45"/>
        <v>-3.2440102963500674E-2</v>
      </c>
      <c r="I585" s="5">
        <f t="shared" si="45"/>
        <v>4.822150286360067E-2</v>
      </c>
      <c r="J585" s="5">
        <f t="shared" si="45"/>
        <v>5.9294035819857455E-2</v>
      </c>
      <c r="K585" s="5">
        <f t="shared" si="45"/>
        <v>1.6053405388222242E-2</v>
      </c>
      <c r="L585" s="5">
        <f t="shared" si="45"/>
        <v>4.396444923242665E-2</v>
      </c>
      <c r="M585" s="5">
        <f t="shared" si="45"/>
        <v>1.2710195456506321E-2</v>
      </c>
      <c r="N585" s="5">
        <f t="shared" si="48"/>
        <v>1.7901994842058306E-2</v>
      </c>
      <c r="O585" s="5">
        <f t="shared" si="46"/>
        <v>2.9213445745442934E-3</v>
      </c>
      <c r="P585" s="79">
        <f t="shared" si="47"/>
        <v>4.6500707080719189E-3</v>
      </c>
    </row>
    <row r="586" spans="1:16">
      <c r="A586" s="73">
        <v>45512</v>
      </c>
      <c r="B586" s="45">
        <v>1455.7</v>
      </c>
      <c r="C586" s="105">
        <v>5644.1</v>
      </c>
      <c r="D586" s="5">
        <v>297.85000000000002</v>
      </c>
      <c r="E586" s="5">
        <v>637.45000000000005</v>
      </c>
      <c r="F586" s="45">
        <v>4885.1000000000004</v>
      </c>
      <c r="G586" s="5">
        <v>24117</v>
      </c>
      <c r="H586" s="5">
        <f t="shared" si="45"/>
        <v>-6.9920529349568536E-3</v>
      </c>
      <c r="I586" s="5">
        <f t="shared" si="45"/>
        <v>3.1366207091887643E-2</v>
      </c>
      <c r="J586" s="5">
        <f t="shared" si="45"/>
        <v>-2.2160210111621798E-2</v>
      </c>
      <c r="K586" s="5">
        <f t="shared" si="45"/>
        <v>-2.8157997653499483E-3</v>
      </c>
      <c r="L586" s="5">
        <f t="shared" si="45"/>
        <v>8.2141456669350046E-3</v>
      </c>
      <c r="M586" s="5">
        <f t="shared" si="45"/>
        <v>-7.428747813561066E-3</v>
      </c>
      <c r="N586" s="5">
        <f t="shared" si="48"/>
        <v>2.81837450198819E-3</v>
      </c>
      <c r="O586" s="5">
        <f t="shared" si="46"/>
        <v>-1.4305323123915007E-3</v>
      </c>
      <c r="P586" s="79">
        <f t="shared" si="47"/>
        <v>-3.7271427643713242E-4</v>
      </c>
    </row>
    <row r="587" spans="1:16">
      <c r="A587" s="73">
        <v>45513</v>
      </c>
      <c r="B587" s="45">
        <v>1443</v>
      </c>
      <c r="C587" s="105">
        <v>6275.35</v>
      </c>
      <c r="D587" s="5">
        <v>302.2</v>
      </c>
      <c r="E587" s="5">
        <v>623.95000000000005</v>
      </c>
      <c r="F587" s="45">
        <v>4917.8</v>
      </c>
      <c r="G587" s="5">
        <v>24367.5</v>
      </c>
      <c r="H587" s="5">
        <f t="shared" si="45"/>
        <v>-8.7243250669781173E-3</v>
      </c>
      <c r="I587" s="5">
        <f t="shared" si="45"/>
        <v>0.11184245495295972</v>
      </c>
      <c r="J587" s="5">
        <f t="shared" si="45"/>
        <v>1.4604666778579706E-2</v>
      </c>
      <c r="K587" s="5">
        <f t="shared" si="45"/>
        <v>-2.1178131618166129E-2</v>
      </c>
      <c r="L587" s="5">
        <f t="shared" si="45"/>
        <v>6.6938240772962303E-3</v>
      </c>
      <c r="M587" s="5">
        <f t="shared" si="45"/>
        <v>1.0386864037815649E-2</v>
      </c>
      <c r="N587" s="5">
        <f t="shared" si="48"/>
        <v>5.2375309971607002E-3</v>
      </c>
      <c r="O587" s="5">
        <f t="shared" si="46"/>
        <v>-2.4263113201170327E-3</v>
      </c>
      <c r="P587" s="79">
        <f t="shared" si="47"/>
        <v>6.0285547228562508E-3</v>
      </c>
    </row>
    <row r="588" spans="1:16">
      <c r="A588" s="73">
        <v>45516</v>
      </c>
      <c r="B588" s="45">
        <v>1418.8</v>
      </c>
      <c r="C588" s="105">
        <v>6382.35</v>
      </c>
      <c r="D588" s="5">
        <v>298.7</v>
      </c>
      <c r="E588" s="5">
        <v>620.35</v>
      </c>
      <c r="F588" s="45">
        <v>4962.1499999999996</v>
      </c>
      <c r="G588" s="5">
        <v>24347</v>
      </c>
      <c r="H588" s="5">
        <f t="shared" si="45"/>
        <v>-1.6770616770616802E-2</v>
      </c>
      <c r="I588" s="5">
        <f t="shared" si="45"/>
        <v>1.7050841785717131E-2</v>
      </c>
      <c r="J588" s="5">
        <f t="shared" si="45"/>
        <v>-1.158173395102581E-2</v>
      </c>
      <c r="K588" s="5">
        <f t="shared" si="45"/>
        <v>-5.7696930843817978E-3</v>
      </c>
      <c r="L588" s="5">
        <f t="shared" si="45"/>
        <v>9.0182601976492444E-3</v>
      </c>
      <c r="M588" s="5">
        <f t="shared" si="45"/>
        <v>-8.412844977941931E-4</v>
      </c>
      <c r="N588" s="5">
        <f t="shared" si="48"/>
        <v>-7.801456432679826E-4</v>
      </c>
      <c r="O588" s="5">
        <f t="shared" si="46"/>
        <v>-7.5278732723891772E-3</v>
      </c>
      <c r="P588" s="79">
        <f t="shared" si="47"/>
        <v>-6.8812903015471336E-3</v>
      </c>
    </row>
    <row r="589" spans="1:16">
      <c r="A589" s="73">
        <v>45517</v>
      </c>
      <c r="B589" s="45">
        <v>1402.8</v>
      </c>
      <c r="C589" s="105">
        <v>6381.7</v>
      </c>
      <c r="D589" s="5">
        <v>289.95</v>
      </c>
      <c r="E589" s="5">
        <v>605.85</v>
      </c>
      <c r="F589" s="45">
        <v>4833.6000000000004</v>
      </c>
      <c r="G589" s="5">
        <v>24139</v>
      </c>
      <c r="H589" s="5">
        <f t="shared" si="45"/>
        <v>-1.1277135607555682E-2</v>
      </c>
      <c r="I589" s="5">
        <f t="shared" si="45"/>
        <v>-1.0184336490486195E-4</v>
      </c>
      <c r="J589" s="5">
        <f t="shared" si="45"/>
        <v>-2.929360562437228E-2</v>
      </c>
      <c r="K589" s="5">
        <f t="shared" si="45"/>
        <v>-2.3373901829612315E-2</v>
      </c>
      <c r="L589" s="5">
        <f t="shared" si="45"/>
        <v>-2.5906109246999643E-2</v>
      </c>
      <c r="M589" s="5">
        <f t="shared" si="45"/>
        <v>-8.5431469996303452E-3</v>
      </c>
      <c r="N589" s="5">
        <f t="shared" si="48"/>
        <v>-1.9597658161216905E-2</v>
      </c>
      <c r="O589" s="5">
        <f t="shared" si="46"/>
        <v>-1.6917578561356613E-2</v>
      </c>
      <c r="P589" s="79">
        <f t="shared" si="47"/>
        <v>-1.5502942353626571E-2</v>
      </c>
    </row>
    <row r="590" spans="1:16">
      <c r="A590" s="73">
        <v>45518</v>
      </c>
      <c r="B590" s="45">
        <v>1388.35</v>
      </c>
      <c r="C590" s="105">
        <v>6438.35</v>
      </c>
      <c r="D590" s="5">
        <v>290</v>
      </c>
      <c r="E590" s="5">
        <v>604.4</v>
      </c>
      <c r="F590" s="45">
        <v>4998.5</v>
      </c>
      <c r="G590" s="5">
        <v>24143.75</v>
      </c>
      <c r="H590" s="5">
        <f t="shared" si="45"/>
        <v>-1.0300826917593417E-2</v>
      </c>
      <c r="I590" s="5">
        <f t="shared" si="45"/>
        <v>8.8769450146513537E-3</v>
      </c>
      <c r="J590" s="5">
        <f t="shared" si="45"/>
        <v>1.7244352474568502E-4</v>
      </c>
      <c r="K590" s="5">
        <f t="shared" si="45"/>
        <v>-2.3933316827598342E-3</v>
      </c>
      <c r="L590" s="5">
        <f t="shared" si="45"/>
        <v>3.4115359152598397E-2</v>
      </c>
      <c r="M590" s="5">
        <f t="shared" si="45"/>
        <v>1.9677699987571978E-4</v>
      </c>
      <c r="N590" s="5">
        <f t="shared" si="48"/>
        <v>1.3248566065375613E-2</v>
      </c>
      <c r="O590" s="5">
        <f t="shared" si="46"/>
        <v>-3.3773631573432326E-3</v>
      </c>
      <c r="P590" s="79">
        <f t="shared" si="47"/>
        <v>-3.3675118581577498E-3</v>
      </c>
    </row>
    <row r="591" spans="1:16">
      <c r="A591" s="73">
        <v>45520</v>
      </c>
      <c r="B591" s="45">
        <v>1421.15</v>
      </c>
      <c r="C591" s="105">
        <v>6502.4</v>
      </c>
      <c r="D591" s="5">
        <v>296.55</v>
      </c>
      <c r="E591" s="5">
        <v>617.6</v>
      </c>
      <c r="F591" s="45">
        <v>4974.95</v>
      </c>
      <c r="G591" s="5">
        <v>24541.15</v>
      </c>
      <c r="H591" s="5">
        <f t="shared" si="45"/>
        <v>2.3625166564627209E-2</v>
      </c>
      <c r="I591" s="5">
        <f t="shared" si="45"/>
        <v>9.9482010142349E-3</v>
      </c>
      <c r="J591" s="5">
        <f t="shared" si="45"/>
        <v>2.2586206896551764E-2</v>
      </c>
      <c r="K591" s="5">
        <f t="shared" si="45"/>
        <v>2.1839841164791606E-2</v>
      </c>
      <c r="L591" s="5">
        <f t="shared" si="45"/>
        <v>-4.711413424027245E-3</v>
      </c>
      <c r="M591" s="5">
        <f t="shared" si="45"/>
        <v>1.6459746311157191E-2</v>
      </c>
      <c r="N591" s="5">
        <f t="shared" si="48"/>
        <v>9.1063200655400953E-3</v>
      </c>
      <c r="O591" s="5">
        <f t="shared" si="46"/>
        <v>2.0809479037623053E-2</v>
      </c>
      <c r="P591" s="79">
        <f t="shared" si="47"/>
        <v>2.0592825495501951E-2</v>
      </c>
    </row>
    <row r="592" spans="1:16">
      <c r="A592" s="73">
        <v>45523</v>
      </c>
      <c r="B592" s="45">
        <v>1425.05</v>
      </c>
      <c r="C592" s="105">
        <v>6689.9</v>
      </c>
      <c r="D592" s="5">
        <v>293.75</v>
      </c>
      <c r="E592" s="5">
        <v>621.29999999999995</v>
      </c>
      <c r="F592" s="45">
        <v>4724.75</v>
      </c>
      <c r="G592" s="5">
        <v>24572.65</v>
      </c>
      <c r="H592" s="5">
        <f t="shared" si="45"/>
        <v>2.7442564120605589E-3</v>
      </c>
      <c r="I592" s="5">
        <f t="shared" si="45"/>
        <v>2.883550688976378E-2</v>
      </c>
      <c r="J592" s="5">
        <f t="shared" si="45"/>
        <v>-9.4419153599730604E-3</v>
      </c>
      <c r="K592" s="5">
        <f t="shared" si="45"/>
        <v>5.9909326424869361E-3</v>
      </c>
      <c r="L592" s="5">
        <f t="shared" si="45"/>
        <v>-5.0291962733293769E-2</v>
      </c>
      <c r="M592" s="5">
        <f t="shared" si="45"/>
        <v>1.2835584314508488E-3</v>
      </c>
      <c r="N592" s="5">
        <f t="shared" si="48"/>
        <v>-2.0469244639508909E-2</v>
      </c>
      <c r="O592" s="5">
        <f t="shared" si="46"/>
        <v>5.2581337178380545E-3</v>
      </c>
      <c r="P592" s="79">
        <f t="shared" si="47"/>
        <v>6.8099700868902479E-3</v>
      </c>
    </row>
    <row r="593" spans="1:16">
      <c r="A593" s="73">
        <v>45524</v>
      </c>
      <c r="B593" s="45">
        <v>1419.25</v>
      </c>
      <c r="C593" s="105">
        <v>6793.9</v>
      </c>
      <c r="D593" s="5">
        <v>296.39999999999998</v>
      </c>
      <c r="E593" s="5">
        <v>623.1</v>
      </c>
      <c r="F593" s="45">
        <v>4299.55</v>
      </c>
      <c r="G593" s="5">
        <v>24698.85</v>
      </c>
      <c r="H593" s="5">
        <f t="shared" si="45"/>
        <v>-4.0700326304339883E-3</v>
      </c>
      <c r="I593" s="5">
        <f t="shared" si="45"/>
        <v>1.5545822807515809E-2</v>
      </c>
      <c r="J593" s="5">
        <f t="shared" si="45"/>
        <v>9.0212765957446029E-3</v>
      </c>
      <c r="K593" s="5">
        <f t="shared" si="45"/>
        <v>2.8971511347176378E-3</v>
      </c>
      <c r="L593" s="5">
        <f t="shared" si="45"/>
        <v>-8.9994179586221454E-2</v>
      </c>
      <c r="M593" s="5">
        <f t="shared" si="45"/>
        <v>5.135791215029599E-3</v>
      </c>
      <c r="N593" s="5">
        <f t="shared" si="48"/>
        <v>-4.202447403527193E-2</v>
      </c>
      <c r="O593" s="5">
        <f t="shared" si="46"/>
        <v>-3.9885172831412817E-4</v>
      </c>
      <c r="P593" s="79">
        <f t="shared" si="47"/>
        <v>1.7187140311259825E-3</v>
      </c>
    </row>
    <row r="594" spans="1:16">
      <c r="A594" s="73">
        <v>45525</v>
      </c>
      <c r="B594" s="45">
        <v>1421.05</v>
      </c>
      <c r="C594" s="105">
        <v>6783.2</v>
      </c>
      <c r="D594" s="5">
        <v>296.64999999999998</v>
      </c>
      <c r="E594" s="5">
        <v>634.35</v>
      </c>
      <c r="F594" s="45">
        <v>4539.6499999999996</v>
      </c>
      <c r="G594" s="5">
        <v>24770.2</v>
      </c>
      <c r="H594" s="5">
        <f t="shared" si="45"/>
        <v>1.2682754976219514E-3</v>
      </c>
      <c r="I594" s="5">
        <f t="shared" si="45"/>
        <v>-1.5749422275864848E-3</v>
      </c>
      <c r="J594" s="5">
        <f t="shared" si="45"/>
        <v>8.4345479082321192E-4</v>
      </c>
      <c r="K594" s="5">
        <f t="shared" si="45"/>
        <v>1.8054886856042368E-2</v>
      </c>
      <c r="L594" s="5">
        <f t="shared" si="45"/>
        <v>5.5843053342791556E-2</v>
      </c>
      <c r="M594" s="5">
        <f t="shared" si="45"/>
        <v>2.8887984663254437E-3</v>
      </c>
      <c r="N594" s="5">
        <f t="shared" si="48"/>
        <v>2.9114442226646102E-2</v>
      </c>
      <c r="O594" s="5">
        <f t="shared" si="46"/>
        <v>1.0353557080212803E-2</v>
      </c>
      <c r="P594" s="79">
        <f t="shared" si="47"/>
        <v>7.7961942900542864E-3</v>
      </c>
    </row>
    <row r="595" spans="1:16">
      <c r="A595" s="73">
        <v>45526</v>
      </c>
      <c r="B595" s="45">
        <v>1446.3</v>
      </c>
      <c r="C595" s="105">
        <v>6989.8</v>
      </c>
      <c r="D595" s="5">
        <v>299.64999999999998</v>
      </c>
      <c r="E595" s="5">
        <v>646.15</v>
      </c>
      <c r="F595" s="45">
        <v>4467.95</v>
      </c>
      <c r="G595" s="5">
        <v>24811.5</v>
      </c>
      <c r="H595" s="5">
        <f t="shared" si="45"/>
        <v>1.7768551423243378E-2</v>
      </c>
      <c r="I595" s="5">
        <f t="shared" si="45"/>
        <v>3.045760113220904E-2</v>
      </c>
      <c r="J595" s="5">
        <f t="shared" si="45"/>
        <v>1.0112927692566999E-2</v>
      </c>
      <c r="K595" s="5">
        <f t="shared" si="45"/>
        <v>1.8601718294316946E-2</v>
      </c>
      <c r="L595" s="5">
        <f t="shared" si="45"/>
        <v>-1.5794169154009632E-2</v>
      </c>
      <c r="M595" s="5">
        <f t="shared" si="45"/>
        <v>1.6673260611540994E-3</v>
      </c>
      <c r="N595" s="5">
        <f t="shared" si="48"/>
        <v>2.6661015414717474E-3</v>
      </c>
      <c r="O595" s="5">
        <f t="shared" si="46"/>
        <v>1.8408188014502842E-2</v>
      </c>
      <c r="P595" s="79">
        <f t="shared" si="47"/>
        <v>1.9292638872559525E-2</v>
      </c>
    </row>
    <row r="596" spans="1:16">
      <c r="A596" s="73">
        <v>45527</v>
      </c>
      <c r="B596" s="45">
        <v>1452.95</v>
      </c>
      <c r="C596" s="105">
        <v>6948.75</v>
      </c>
      <c r="D596" s="5">
        <v>296.2</v>
      </c>
      <c r="E596" s="5">
        <v>643.25</v>
      </c>
      <c r="F596" s="45">
        <v>4411.6000000000004</v>
      </c>
      <c r="G596" s="5">
        <v>24823.15</v>
      </c>
      <c r="H596" s="5">
        <f t="shared" si="45"/>
        <v>4.597939569937144E-3</v>
      </c>
      <c r="I596" s="5">
        <f t="shared" si="45"/>
        <v>-5.8728432859309534E-3</v>
      </c>
      <c r="J596" s="5">
        <f t="shared" si="45"/>
        <v>-1.1513432337727312E-2</v>
      </c>
      <c r="K596" s="5">
        <f t="shared" si="45"/>
        <v>-4.488121953106829E-3</v>
      </c>
      <c r="L596" s="5">
        <f t="shared" si="45"/>
        <v>-1.2612048030976052E-2</v>
      </c>
      <c r="M596" s="5">
        <f t="shared" si="45"/>
        <v>4.6954033411931789E-4</v>
      </c>
      <c r="N596" s="5">
        <f t="shared" si="48"/>
        <v>-5.8714329344651999E-3</v>
      </c>
      <c r="O596" s="5">
        <f t="shared" si="46"/>
        <v>-1.6253282114150837E-3</v>
      </c>
      <c r="P596" s="79">
        <f t="shared" si="47"/>
        <v>-1.6121322649256149E-3</v>
      </c>
    </row>
    <row r="597" spans="1:16">
      <c r="A597" s="73">
        <v>45530</v>
      </c>
      <c r="B597" s="45">
        <v>1450.8</v>
      </c>
      <c r="C597" s="105">
        <v>6925.6</v>
      </c>
      <c r="D597" s="5">
        <v>297.3</v>
      </c>
      <c r="E597" s="5">
        <v>654.54999999999995</v>
      </c>
      <c r="F597" s="45">
        <v>4307.5</v>
      </c>
      <c r="G597" s="5">
        <v>25010.6</v>
      </c>
      <c r="H597" s="5">
        <f t="shared" si="45"/>
        <v>-1.4797480986958194E-3</v>
      </c>
      <c r="I597" s="5">
        <f t="shared" si="45"/>
        <v>-3.3315344486417897E-3</v>
      </c>
      <c r="J597" s="5">
        <f t="shared" si="45"/>
        <v>3.7137069547603738E-3</v>
      </c>
      <c r="K597" s="5">
        <f t="shared" ref="K597:M660" si="49">(E597 - E596) / E596</f>
        <v>1.7567042363000319E-2</v>
      </c>
      <c r="L597" s="5">
        <f t="shared" si="49"/>
        <v>-2.3596880950222221E-2</v>
      </c>
      <c r="M597" s="5">
        <f t="shared" si="49"/>
        <v>7.5514187361393325E-3</v>
      </c>
      <c r="N597" s="5">
        <f t="shared" si="48"/>
        <v>-9.2799638853717937E-3</v>
      </c>
      <c r="O597" s="5">
        <f t="shared" si="46"/>
        <v>7.238614648920989E-3</v>
      </c>
      <c r="P597" s="79">
        <f t="shared" si="47"/>
        <v>5.8258942585041277E-3</v>
      </c>
    </row>
    <row r="598" spans="1:16">
      <c r="A598" s="73">
        <v>45531</v>
      </c>
      <c r="B598" s="45">
        <v>1453.25</v>
      </c>
      <c r="C598" s="105">
        <v>6869.9</v>
      </c>
      <c r="D598" s="5">
        <v>297.8</v>
      </c>
      <c r="E598" s="5">
        <v>643.4</v>
      </c>
      <c r="F598" s="45">
        <v>4293.8500000000004</v>
      </c>
      <c r="G598" s="5">
        <v>25017.75</v>
      </c>
      <c r="H598" s="5">
        <f t="shared" ref="H598:M661" si="50">(B598 - B597) / B597</f>
        <v>1.6887234629170426E-3</v>
      </c>
      <c r="I598" s="5">
        <f t="shared" si="50"/>
        <v>-8.0426244657503653E-3</v>
      </c>
      <c r="J598" s="5">
        <f t="shared" si="50"/>
        <v>1.6818028927009755E-3</v>
      </c>
      <c r="K598" s="5">
        <f t="shared" si="49"/>
        <v>-1.703460392636159E-2</v>
      </c>
      <c r="L598" s="5">
        <f t="shared" si="49"/>
        <v>-3.1688914683690394E-3</v>
      </c>
      <c r="M598" s="5">
        <f t="shared" si="49"/>
        <v>2.8587878739420311E-4</v>
      </c>
      <c r="N598" s="5">
        <f t="shared" si="48"/>
        <v>-3.7966590037335976E-3</v>
      </c>
      <c r="O598" s="5">
        <f t="shared" si="46"/>
        <v>-8.4229759642846791E-3</v>
      </c>
      <c r="P598" s="79">
        <f t="shared" si="47"/>
        <v>-7.1317606583312602E-3</v>
      </c>
    </row>
    <row r="599" spans="1:16">
      <c r="A599" s="73">
        <v>45532</v>
      </c>
      <c r="B599" s="45">
        <v>1449.85</v>
      </c>
      <c r="C599" s="105">
        <v>7242.1</v>
      </c>
      <c r="D599" s="5">
        <v>294.60000000000002</v>
      </c>
      <c r="E599" s="5">
        <v>644.4</v>
      </c>
      <c r="F599" s="45">
        <v>4313.6499999999996</v>
      </c>
      <c r="G599" s="5">
        <v>25052.35</v>
      </c>
      <c r="H599" s="5">
        <f t="shared" si="50"/>
        <v>-2.3395836917255055E-3</v>
      </c>
      <c r="I599" s="5">
        <f t="shared" si="50"/>
        <v>5.4178372319830088E-2</v>
      </c>
      <c r="J599" s="5">
        <f t="shared" si="50"/>
        <v>-1.0745466756212184E-2</v>
      </c>
      <c r="K599" s="5">
        <f t="shared" si="49"/>
        <v>1.554243083618278E-3</v>
      </c>
      <c r="L599" s="5">
        <f t="shared" si="49"/>
        <v>4.6112463174072848E-3</v>
      </c>
      <c r="M599" s="5">
        <f t="shared" si="49"/>
        <v>1.3830180571793446E-3</v>
      </c>
      <c r="N599" s="5">
        <f t="shared" si="48"/>
        <v>4.8904805502219114E-3</v>
      </c>
      <c r="O599" s="5">
        <f t="shared" si="46"/>
        <v>4.7971117070729277E-3</v>
      </c>
      <c r="P599" s="79">
        <f t="shared" si="47"/>
        <v>7.2357551847235801E-3</v>
      </c>
    </row>
    <row r="600" spans="1:16">
      <c r="A600" s="73">
        <v>45533</v>
      </c>
      <c r="B600" s="45">
        <v>1450.35</v>
      </c>
      <c r="C600" s="105">
        <v>7170.65</v>
      </c>
      <c r="D600" s="5">
        <v>291</v>
      </c>
      <c r="E600" s="5">
        <v>644.15</v>
      </c>
      <c r="F600" s="45">
        <v>4238.3999999999996</v>
      </c>
      <c r="G600" s="5">
        <v>25151.95</v>
      </c>
      <c r="H600" s="5">
        <f t="shared" si="50"/>
        <v>3.4486326171672934E-4</v>
      </c>
      <c r="I600" s="5">
        <f t="shared" si="50"/>
        <v>-9.8659228676766034E-3</v>
      </c>
      <c r="J600" s="5">
        <f t="shared" si="50"/>
        <v>-1.221995926680252E-2</v>
      </c>
      <c r="K600" s="5">
        <f t="shared" si="49"/>
        <v>-3.8795779019242709E-4</v>
      </c>
      <c r="L600" s="5">
        <f t="shared" si="49"/>
        <v>-1.7444623462728782E-2</v>
      </c>
      <c r="M600" s="5">
        <f t="shared" si="49"/>
        <v>3.9756749366826744E-3</v>
      </c>
      <c r="N600" s="5">
        <f t="shared" si="48"/>
        <v>-9.1408141723420665E-3</v>
      </c>
      <c r="O600" s="5">
        <f t="shared" si="46"/>
        <v>-1.7153720464538238E-3</v>
      </c>
      <c r="P600" s="79">
        <f t="shared" si="47"/>
        <v>-2.3552619159835659E-3</v>
      </c>
    </row>
    <row r="601" spans="1:16">
      <c r="A601" s="73">
        <v>45534</v>
      </c>
      <c r="B601" s="45">
        <v>1452.65</v>
      </c>
      <c r="C601" s="105">
        <v>7158.75</v>
      </c>
      <c r="D601" s="5">
        <v>290.55</v>
      </c>
      <c r="E601" s="5">
        <v>637.15</v>
      </c>
      <c r="F601" s="45">
        <v>4241.45</v>
      </c>
      <c r="G601" s="5">
        <v>25235.9</v>
      </c>
      <c r="H601" s="5">
        <f t="shared" si="50"/>
        <v>1.5858241114215066E-3</v>
      </c>
      <c r="I601" s="5">
        <f t="shared" si="50"/>
        <v>-1.6595427192792336E-3</v>
      </c>
      <c r="J601" s="5">
        <f t="shared" si="50"/>
        <v>-1.5463917525772805E-3</v>
      </c>
      <c r="K601" s="5">
        <f t="shared" si="49"/>
        <v>-1.0867034075913995E-2</v>
      </c>
      <c r="L601" s="5">
        <f t="shared" si="49"/>
        <v>7.19611174027978E-4</v>
      </c>
      <c r="M601" s="5">
        <f t="shared" si="49"/>
        <v>3.3377133780880101E-3</v>
      </c>
      <c r="N601" s="5">
        <f t="shared" si="48"/>
        <v>-8.230939719643096E-4</v>
      </c>
      <c r="O601" s="5">
        <f t="shared" si="46"/>
        <v>-4.8688198890256759E-3</v>
      </c>
      <c r="P601" s="79">
        <f t="shared" si="47"/>
        <v>-3.9622650362492202E-3</v>
      </c>
    </row>
    <row r="602" spans="1:16">
      <c r="A602" s="73">
        <v>45537</v>
      </c>
      <c r="B602" s="45">
        <v>1460.8</v>
      </c>
      <c r="C602" s="105">
        <v>7148.2</v>
      </c>
      <c r="D602" s="5">
        <v>286.8</v>
      </c>
      <c r="E602" s="5">
        <v>636.65</v>
      </c>
      <c r="F602" s="45">
        <v>4199.8</v>
      </c>
      <c r="G602" s="5">
        <v>25278.7</v>
      </c>
      <c r="H602" s="5">
        <f t="shared" si="50"/>
        <v>5.6104360995421218E-3</v>
      </c>
      <c r="I602" s="5">
        <f t="shared" si="50"/>
        <v>-1.4737209708399067E-3</v>
      </c>
      <c r="J602" s="5">
        <f t="shared" si="50"/>
        <v>-1.2906556530717605E-2</v>
      </c>
      <c r="K602" s="5">
        <f t="shared" si="49"/>
        <v>-7.8474456564388295E-4</v>
      </c>
      <c r="L602" s="5">
        <f t="shared" si="49"/>
        <v>-9.8197550366029632E-3</v>
      </c>
      <c r="M602" s="5">
        <f t="shared" si="49"/>
        <v>1.6959965763059478E-3</v>
      </c>
      <c r="N602" s="5">
        <f t="shared" si="48"/>
        <v>-3.4967887379083839E-3</v>
      </c>
      <c r="O602" s="5">
        <f t="shared" si="46"/>
        <v>9.8555784239670184E-4</v>
      </c>
      <c r="P602" s="79">
        <f t="shared" si="47"/>
        <v>8.3296947844752468E-4</v>
      </c>
    </row>
    <row r="603" spans="1:16">
      <c r="A603" s="73">
        <v>45538</v>
      </c>
      <c r="B603" s="45">
        <v>1467.85</v>
      </c>
      <c r="C603" s="105">
        <v>7042.8</v>
      </c>
      <c r="D603" s="5">
        <v>286.35000000000002</v>
      </c>
      <c r="E603" s="5">
        <v>638.20000000000005</v>
      </c>
      <c r="F603" s="45">
        <v>4454.5</v>
      </c>
      <c r="G603" s="5">
        <v>25279.85</v>
      </c>
      <c r="H603" s="5">
        <f t="shared" si="50"/>
        <v>4.8261226725081841E-3</v>
      </c>
      <c r="I603" s="5">
        <f t="shared" si="50"/>
        <v>-1.474497076187007E-2</v>
      </c>
      <c r="J603" s="5">
        <f t="shared" si="50"/>
        <v>-1.569037656903726E-3</v>
      </c>
      <c r="K603" s="5">
        <f t="shared" si="49"/>
        <v>2.4346187072961096E-3</v>
      </c>
      <c r="L603" s="5">
        <f t="shared" si="49"/>
        <v>6.0645745035477837E-2</v>
      </c>
      <c r="M603" s="5">
        <f t="shared" si="49"/>
        <v>4.5492845755431141E-5</v>
      </c>
      <c r="N603" s="5">
        <f t="shared" si="48"/>
        <v>2.9391833331768608E-2</v>
      </c>
      <c r="O603" s="5">
        <f t="shared" si="46"/>
        <v>2.892102903038209E-3</v>
      </c>
      <c r="P603" s="79">
        <f t="shared" si="47"/>
        <v>9.9826695997109593E-4</v>
      </c>
    </row>
    <row r="604" spans="1:16">
      <c r="A604" s="73">
        <v>45539</v>
      </c>
      <c r="B604" s="45">
        <v>1446.85</v>
      </c>
      <c r="C604" s="105">
        <v>7139.9</v>
      </c>
      <c r="D604" s="5">
        <v>278.7</v>
      </c>
      <c r="E604" s="5">
        <v>650.04999999999995</v>
      </c>
      <c r="F604" s="45">
        <v>4774.8</v>
      </c>
      <c r="G604" s="5">
        <v>25198.7</v>
      </c>
      <c r="H604" s="5">
        <f t="shared" si="50"/>
        <v>-1.4306638961746774E-2</v>
      </c>
      <c r="I604" s="5">
        <f t="shared" si="50"/>
        <v>1.3787130118702711E-2</v>
      </c>
      <c r="J604" s="5">
        <f t="shared" si="50"/>
        <v>-2.6715557883708864E-2</v>
      </c>
      <c r="K604" s="5">
        <f t="shared" si="49"/>
        <v>1.8567847069883906E-2</v>
      </c>
      <c r="L604" s="5">
        <f t="shared" si="49"/>
        <v>7.1904815355258764E-2</v>
      </c>
      <c r="M604" s="5">
        <f t="shared" si="49"/>
        <v>-3.2100665154262318E-3</v>
      </c>
      <c r="N604" s="5">
        <f t="shared" si="48"/>
        <v>3.2339147180785503E-2</v>
      </c>
      <c r="O604" s="5">
        <f t="shared" si="46"/>
        <v>5.8763225327087814E-3</v>
      </c>
      <c r="P604" s="79">
        <f t="shared" si="47"/>
        <v>2.6957341955816758E-3</v>
      </c>
    </row>
    <row r="605" spans="1:16">
      <c r="A605" s="73">
        <v>45540</v>
      </c>
      <c r="B605" s="45">
        <v>1436.8</v>
      </c>
      <c r="C605" s="105">
        <v>7167.65</v>
      </c>
      <c r="D605" s="5">
        <v>273.55</v>
      </c>
      <c r="E605" s="5">
        <v>644.79999999999995</v>
      </c>
      <c r="F605" s="45">
        <v>4579.1000000000004</v>
      </c>
      <c r="G605" s="5">
        <v>25145.1</v>
      </c>
      <c r="H605" s="5">
        <f t="shared" si="50"/>
        <v>-6.9461243390814215E-3</v>
      </c>
      <c r="I605" s="5">
        <f t="shared" si="50"/>
        <v>3.8866090561492459E-3</v>
      </c>
      <c r="J605" s="5">
        <f t="shared" si="50"/>
        <v>-1.8478650879081369E-2</v>
      </c>
      <c r="K605" s="5">
        <f t="shared" si="49"/>
        <v>-8.0763018229366972E-3</v>
      </c>
      <c r="L605" s="5">
        <f t="shared" si="49"/>
        <v>-4.0986009885230754E-2</v>
      </c>
      <c r="M605" s="5">
        <f t="shared" si="49"/>
        <v>-2.1270938580165715E-3</v>
      </c>
      <c r="N605" s="5">
        <f t="shared" si="48"/>
        <v>-2.2766373578503779E-2</v>
      </c>
      <c r="O605" s="5">
        <f t="shared" si="46"/>
        <v>-7.5514989246922197E-3</v>
      </c>
      <c r="P605" s="79">
        <f t="shared" si="47"/>
        <v>-6.7014186613031631E-3</v>
      </c>
    </row>
    <row r="606" spans="1:16">
      <c r="A606" s="73">
        <v>45541</v>
      </c>
      <c r="B606" s="45">
        <v>1406.25</v>
      </c>
      <c r="C606" s="105">
        <v>7103.55</v>
      </c>
      <c r="D606" s="5">
        <v>263.8</v>
      </c>
      <c r="E606" s="5">
        <v>644.4</v>
      </c>
      <c r="F606" s="45">
        <v>4400.3999999999996</v>
      </c>
      <c r="G606" s="5">
        <v>24852.15</v>
      </c>
      <c r="H606" s="5">
        <f t="shared" si="50"/>
        <v>-2.1262527839643622E-2</v>
      </c>
      <c r="I606" s="5">
        <f t="shared" si="50"/>
        <v>-8.9429589893478979E-3</v>
      </c>
      <c r="J606" s="5">
        <f t="shared" si="50"/>
        <v>-3.5642478523121912E-2</v>
      </c>
      <c r="K606" s="5">
        <f t="shared" si="49"/>
        <v>-6.2034739454090769E-4</v>
      </c>
      <c r="L606" s="5">
        <f t="shared" si="49"/>
        <v>-3.9025135943744557E-2</v>
      </c>
      <c r="M606" s="5">
        <f t="shared" si="49"/>
        <v>-1.1650381187587128E-2</v>
      </c>
      <c r="N606" s="5">
        <f t="shared" si="48"/>
        <v>-2.6401431633621551E-2</v>
      </c>
      <c r="O606" s="5">
        <f t="shared" si="46"/>
        <v>-1.0876675728706351E-2</v>
      </c>
      <c r="P606" s="79">
        <f t="shared" si="47"/>
        <v>-1.2326003077397087E-2</v>
      </c>
    </row>
    <row r="607" spans="1:16">
      <c r="A607" s="73">
        <v>45544</v>
      </c>
      <c r="B607" s="45">
        <v>1428.65</v>
      </c>
      <c r="C607" s="105">
        <v>7136.65</v>
      </c>
      <c r="D607" s="5">
        <v>262.05</v>
      </c>
      <c r="E607" s="5">
        <v>662.35</v>
      </c>
      <c r="F607" s="45">
        <v>4351.1499999999996</v>
      </c>
      <c r="G607" s="5">
        <v>24936.400000000001</v>
      </c>
      <c r="H607" s="5">
        <f t="shared" si="50"/>
        <v>1.5928888888888954E-2</v>
      </c>
      <c r="I607" s="5">
        <f t="shared" si="50"/>
        <v>4.659642009980848E-3</v>
      </c>
      <c r="J607" s="5">
        <f t="shared" si="50"/>
        <v>-6.6338134950720239E-3</v>
      </c>
      <c r="K607" s="5">
        <f t="shared" si="49"/>
        <v>2.7855369335816334E-2</v>
      </c>
      <c r="L607" s="5">
        <f t="shared" si="49"/>
        <v>-1.1192164348695573E-2</v>
      </c>
      <c r="M607" s="5">
        <f t="shared" si="49"/>
        <v>3.3900487482974306E-3</v>
      </c>
      <c r="N607" s="5">
        <f t="shared" si="48"/>
        <v>3.4413768339510388E-3</v>
      </c>
      <c r="O607" s="5">
        <f t="shared" si="46"/>
        <v>1.9429138293886389E-2</v>
      </c>
      <c r="P607" s="79">
        <f t="shared" si="47"/>
        <v>1.7356648386992642E-2</v>
      </c>
    </row>
    <row r="608" spans="1:16">
      <c r="A608" s="73">
        <v>45545</v>
      </c>
      <c r="B608" s="45">
        <v>1431.25</v>
      </c>
      <c r="C608" s="105">
        <v>7137.95</v>
      </c>
      <c r="D608" s="5">
        <v>264.5</v>
      </c>
      <c r="E608" s="5">
        <v>665.25</v>
      </c>
      <c r="F608" s="45">
        <v>4392.7</v>
      </c>
      <c r="G608" s="5">
        <v>25041.1</v>
      </c>
      <c r="H608" s="5">
        <f t="shared" si="50"/>
        <v>1.8198999055051334E-3</v>
      </c>
      <c r="I608" s="5">
        <f t="shared" si="50"/>
        <v>1.8215829555886612E-4</v>
      </c>
      <c r="J608" s="5">
        <f t="shared" si="50"/>
        <v>9.349360809005872E-3</v>
      </c>
      <c r="K608" s="5">
        <f t="shared" si="49"/>
        <v>4.3783498150524302E-3</v>
      </c>
      <c r="L608" s="5">
        <f t="shared" si="49"/>
        <v>9.5491996368776491E-3</v>
      </c>
      <c r="M608" s="5">
        <f t="shared" si="49"/>
        <v>4.1986814455974835E-3</v>
      </c>
      <c r="N608" s="5">
        <f t="shared" si="48"/>
        <v>5.9123350383067756E-3</v>
      </c>
      <c r="O608" s="5">
        <f t="shared" si="46"/>
        <v>3.2870245486791771E-3</v>
      </c>
      <c r="P608" s="79">
        <f t="shared" si="47"/>
        <v>3.0779980684508086E-3</v>
      </c>
    </row>
    <row r="609" spans="1:16">
      <c r="A609" s="73">
        <v>45546</v>
      </c>
      <c r="B609" s="45">
        <v>1417.2</v>
      </c>
      <c r="C609" s="105">
        <v>7148.85</v>
      </c>
      <c r="D609" s="5">
        <v>258.75</v>
      </c>
      <c r="E609" s="5">
        <v>663.9</v>
      </c>
      <c r="F609" s="45">
        <v>4313.55</v>
      </c>
      <c r="G609" s="5">
        <v>24918.45</v>
      </c>
      <c r="H609" s="5">
        <f t="shared" si="50"/>
        <v>-9.8165938864628495E-3</v>
      </c>
      <c r="I609" s="5">
        <f t="shared" si="50"/>
        <v>1.5270490827199051E-3</v>
      </c>
      <c r="J609" s="5">
        <f t="shared" si="50"/>
        <v>-2.1739130434782608E-2</v>
      </c>
      <c r="K609" s="5">
        <f t="shared" si="49"/>
        <v>-2.0293122886133374E-3</v>
      </c>
      <c r="L609" s="5">
        <f t="shared" si="49"/>
        <v>-1.8018530744189142E-2</v>
      </c>
      <c r="M609" s="5">
        <f t="shared" si="49"/>
        <v>-4.8979477738596879E-3</v>
      </c>
      <c r="N609" s="5">
        <f t="shared" si="48"/>
        <v>-1.2205696620729477E-2</v>
      </c>
      <c r="O609" s="5">
        <f t="shared" si="46"/>
        <v>-5.4801771924796929E-3</v>
      </c>
      <c r="P609" s="79">
        <f t="shared" si="47"/>
        <v>-5.8340740045597474E-3</v>
      </c>
    </row>
    <row r="610" spans="1:16">
      <c r="A610" s="73">
        <v>45547</v>
      </c>
      <c r="B610" s="45">
        <v>1428.8</v>
      </c>
      <c r="C610" s="105">
        <v>7210.5</v>
      </c>
      <c r="D610" s="5">
        <v>266</v>
      </c>
      <c r="E610" s="5">
        <v>664.75</v>
      </c>
      <c r="F610" s="45">
        <v>4315.05</v>
      </c>
      <c r="G610" s="5">
        <v>25388.9</v>
      </c>
      <c r="H610" s="5">
        <f t="shared" si="50"/>
        <v>8.1851538244424992E-3</v>
      </c>
      <c r="I610" s="5">
        <f t="shared" si="50"/>
        <v>8.6237646614489936E-3</v>
      </c>
      <c r="J610" s="5">
        <f t="shared" si="50"/>
        <v>2.8019323671497585E-2</v>
      </c>
      <c r="K610" s="5">
        <f t="shared" si="49"/>
        <v>1.2803133001958469E-3</v>
      </c>
      <c r="L610" s="5">
        <f t="shared" si="49"/>
        <v>3.4774141948047433E-4</v>
      </c>
      <c r="M610" s="5">
        <f t="shared" si="49"/>
        <v>1.8879585206945083E-2</v>
      </c>
      <c r="N610" s="5">
        <f t="shared" si="48"/>
        <v>4.1020775960937421E-3</v>
      </c>
      <c r="O610" s="5">
        <f t="shared" si="46"/>
        <v>5.2464525585018832E-3</v>
      </c>
      <c r="P610" s="79">
        <f t="shared" si="47"/>
        <v>6.6636440937653902E-3</v>
      </c>
    </row>
    <row r="611" spans="1:16">
      <c r="A611" s="73">
        <v>45548</v>
      </c>
      <c r="B611" s="45">
        <v>1437.95</v>
      </c>
      <c r="C611" s="105">
        <v>7233.15</v>
      </c>
      <c r="D611" s="5">
        <v>264.3</v>
      </c>
      <c r="E611" s="5">
        <v>660.9</v>
      </c>
      <c r="F611" s="45">
        <v>4312.8</v>
      </c>
      <c r="G611" s="5">
        <v>25356.5</v>
      </c>
      <c r="H611" s="5">
        <f t="shared" si="50"/>
        <v>6.4039753639418334E-3</v>
      </c>
      <c r="I611" s="5">
        <f t="shared" si="50"/>
        <v>3.141252340336958E-3</v>
      </c>
      <c r="J611" s="5">
        <f t="shared" si="50"/>
        <v>-6.3909774436089802E-3</v>
      </c>
      <c r="K611" s="5">
        <f t="shared" si="49"/>
        <v>-5.7916509966153031E-3</v>
      </c>
      <c r="L611" s="5">
        <f t="shared" si="49"/>
        <v>-5.2143080613202629E-4</v>
      </c>
      <c r="M611" s="5">
        <f t="shared" si="49"/>
        <v>-1.2761482380095812E-3</v>
      </c>
      <c r="N611" s="5">
        <f t="shared" si="48"/>
        <v>9.1244249929617902E-4</v>
      </c>
      <c r="O611" s="5">
        <f t="shared" si="46"/>
        <v>-3.2865007292993303E-4</v>
      </c>
      <c r="P611" s="79">
        <f t="shared" si="47"/>
        <v>3.3649799727359075E-4</v>
      </c>
    </row>
    <row r="612" spans="1:16">
      <c r="A612" s="73">
        <v>45551</v>
      </c>
      <c r="B612" s="45">
        <v>1442.35</v>
      </c>
      <c r="C612" s="105">
        <v>7318.8</v>
      </c>
      <c r="D612" s="5">
        <v>269.5</v>
      </c>
      <c r="E612" s="5">
        <v>661.35</v>
      </c>
      <c r="F612" s="45">
        <v>4250.55</v>
      </c>
      <c r="G612" s="5">
        <v>25383.75</v>
      </c>
      <c r="H612" s="5">
        <f t="shared" si="50"/>
        <v>3.0599116798218739E-3</v>
      </c>
      <c r="I612" s="5">
        <f t="shared" si="50"/>
        <v>1.1841313950353656E-2</v>
      </c>
      <c r="J612" s="5">
        <f t="shared" si="50"/>
        <v>1.9674612183125193E-2</v>
      </c>
      <c r="K612" s="5">
        <f t="shared" si="49"/>
        <v>6.8088969586933802E-4</v>
      </c>
      <c r="L612" s="5">
        <f t="shared" si="49"/>
        <v>-1.4433778519755146E-2</v>
      </c>
      <c r="M612" s="5">
        <f t="shared" si="49"/>
        <v>1.0746751326089958E-3</v>
      </c>
      <c r="N612" s="5">
        <f t="shared" si="48"/>
        <v>-4.5054633819079787E-3</v>
      </c>
      <c r="O612" s="5">
        <f t="shared" si="46"/>
        <v>2.7992487195967089E-3</v>
      </c>
      <c r="P612" s="79">
        <f t="shared" si="47"/>
        <v>4.2978483617606674E-3</v>
      </c>
    </row>
    <row r="613" spans="1:16">
      <c r="A613" s="73">
        <v>45552</v>
      </c>
      <c r="B613" s="45">
        <v>1439</v>
      </c>
      <c r="C613" s="105">
        <v>7403.45</v>
      </c>
      <c r="D613" s="5">
        <v>264.85000000000002</v>
      </c>
      <c r="E613" s="5">
        <v>660.15</v>
      </c>
      <c r="F613" s="45">
        <v>4193.3</v>
      </c>
      <c r="G613" s="5">
        <v>25418.55</v>
      </c>
      <c r="H613" s="5">
        <f t="shared" si="50"/>
        <v>-2.3225985371095152E-3</v>
      </c>
      <c r="I613" s="5">
        <f t="shared" si="50"/>
        <v>1.156610373285233E-2</v>
      </c>
      <c r="J613" s="5">
        <f t="shared" si="50"/>
        <v>-1.7254174397031457E-2</v>
      </c>
      <c r="K613" s="5">
        <f t="shared" si="49"/>
        <v>-1.814470401451645E-3</v>
      </c>
      <c r="L613" s="5">
        <f t="shared" si="49"/>
        <v>-1.3468845208267164E-2</v>
      </c>
      <c r="M613" s="5">
        <f t="shared" si="49"/>
        <v>1.3709558280395637E-3</v>
      </c>
      <c r="N613" s="5">
        <f t="shared" si="48"/>
        <v>-7.0148744610002388E-3</v>
      </c>
      <c r="O613" s="5">
        <f t="shared" si="46"/>
        <v>-1.427616974146904E-3</v>
      </c>
      <c r="P613" s="79">
        <f t="shared" si="47"/>
        <v>-1.0036197619164766E-3</v>
      </c>
    </row>
    <row r="614" spans="1:16">
      <c r="A614" s="73">
        <v>45553</v>
      </c>
      <c r="B614" s="45">
        <v>1431.9</v>
      </c>
      <c r="C614" s="105">
        <v>7336</v>
      </c>
      <c r="D614" s="5">
        <v>265.3</v>
      </c>
      <c r="E614" s="5">
        <v>654.4</v>
      </c>
      <c r="F614" s="45">
        <v>4178</v>
      </c>
      <c r="G614" s="5">
        <v>25377.55</v>
      </c>
      <c r="H614" s="5">
        <f t="shared" si="50"/>
        <v>-4.9339819318970878E-3</v>
      </c>
      <c r="I614" s="5">
        <f t="shared" si="50"/>
        <v>-9.1106173473177801E-3</v>
      </c>
      <c r="J614" s="5">
        <f t="shared" si="50"/>
        <v>1.699074948083778E-3</v>
      </c>
      <c r="K614" s="5">
        <f t="shared" si="49"/>
        <v>-8.7101416344770137E-3</v>
      </c>
      <c r="L614" s="5">
        <f t="shared" si="49"/>
        <v>-3.6486776524456113E-3</v>
      </c>
      <c r="M614" s="5">
        <f t="shared" si="49"/>
        <v>-1.612995233795791E-3</v>
      </c>
      <c r="N614" s="5">
        <f t="shared" si="48"/>
        <v>-4.9369045699111753E-3</v>
      </c>
      <c r="O614" s="5">
        <f t="shared" si="46"/>
        <v>-6.9487084306583766E-3</v>
      </c>
      <c r="P614" s="79">
        <f t="shared" si="47"/>
        <v>-6.6363881138187782E-3</v>
      </c>
    </row>
    <row r="615" spans="1:16">
      <c r="A615" s="73">
        <v>45554</v>
      </c>
      <c r="B615" s="45">
        <v>1426.35</v>
      </c>
      <c r="C615" s="105">
        <v>7326.15</v>
      </c>
      <c r="D615" s="5">
        <v>257.14999999999998</v>
      </c>
      <c r="E615" s="5">
        <v>664.7</v>
      </c>
      <c r="F615" s="45">
        <v>4059.65</v>
      </c>
      <c r="G615" s="5">
        <v>25415.8</v>
      </c>
      <c r="H615" s="5">
        <f t="shared" si="50"/>
        <v>-3.8759689922481886E-3</v>
      </c>
      <c r="I615" s="5">
        <f t="shared" si="50"/>
        <v>-1.3426935659760584E-3</v>
      </c>
      <c r="J615" s="5">
        <f t="shared" si="50"/>
        <v>-3.0719939690916073E-2</v>
      </c>
      <c r="K615" s="5">
        <f t="shared" si="49"/>
        <v>1.5739608801956094E-2</v>
      </c>
      <c r="L615" s="5">
        <f t="shared" si="49"/>
        <v>-2.8326950694111994E-2</v>
      </c>
      <c r="M615" s="5">
        <f t="shared" si="49"/>
        <v>1.5072376963103215E-3</v>
      </c>
      <c r="N615" s="5">
        <f t="shared" si="48"/>
        <v>-1.3275062498076268E-2</v>
      </c>
      <c r="O615" s="5">
        <f t="shared" si="46"/>
        <v>4.5976119432504219E-3</v>
      </c>
      <c r="P615" s="79">
        <f t="shared" si="47"/>
        <v>2.400305628655564E-3</v>
      </c>
    </row>
    <row r="616" spans="1:16">
      <c r="A616" s="73">
        <v>45555</v>
      </c>
      <c r="B616" s="45">
        <v>1426.1</v>
      </c>
      <c r="C616" s="105">
        <v>7465.15</v>
      </c>
      <c r="D616" s="5">
        <v>266.14999999999998</v>
      </c>
      <c r="E616" s="5">
        <v>667.55</v>
      </c>
      <c r="F616" s="45">
        <v>4374.1000000000004</v>
      </c>
      <c r="G616" s="5">
        <v>25790.95</v>
      </c>
      <c r="H616" s="5">
        <f t="shared" si="50"/>
        <v>-1.7527254881340485E-4</v>
      </c>
      <c r="I616" s="5">
        <f t="shared" si="50"/>
        <v>1.8973130498283548E-2</v>
      </c>
      <c r="J616" s="5">
        <f t="shared" si="50"/>
        <v>3.49990278047832E-2</v>
      </c>
      <c r="K616" s="5">
        <f t="shared" si="49"/>
        <v>4.287648563261485E-3</v>
      </c>
      <c r="L616" s="5">
        <f t="shared" si="49"/>
        <v>7.7457416279728616E-2</v>
      </c>
      <c r="M616" s="5">
        <f t="shared" si="49"/>
        <v>1.4760503308965348E-2</v>
      </c>
      <c r="N616" s="5">
        <f t="shared" si="48"/>
        <v>3.9228271647866277E-2</v>
      </c>
      <c r="O616" s="5">
        <f t="shared" si="46"/>
        <v>6.4949874795507262E-3</v>
      </c>
      <c r="P616" s="79">
        <f t="shared" si="47"/>
        <v>7.1207571886590729E-3</v>
      </c>
    </row>
    <row r="617" spans="1:16">
      <c r="A617" s="73">
        <v>45558</v>
      </c>
      <c r="B617" s="45">
        <v>1428.8</v>
      </c>
      <c r="C617" s="105">
        <v>7623.45</v>
      </c>
      <c r="D617" s="5">
        <v>274.2</v>
      </c>
      <c r="E617" s="5">
        <v>661.05</v>
      </c>
      <c r="F617" s="45">
        <v>4318.1499999999996</v>
      </c>
      <c r="G617" s="5">
        <v>25939.05</v>
      </c>
      <c r="H617" s="5">
        <f t="shared" si="50"/>
        <v>1.893275366383876E-3</v>
      </c>
      <c r="I617" s="5">
        <f t="shared" si="50"/>
        <v>2.1205200163426079E-2</v>
      </c>
      <c r="J617" s="5">
        <f t="shared" si="50"/>
        <v>3.0246101822280713E-2</v>
      </c>
      <c r="K617" s="5">
        <f t="shared" si="49"/>
        <v>-9.7370983446932822E-3</v>
      </c>
      <c r="L617" s="5">
        <f t="shared" si="49"/>
        <v>-1.2791202761711145E-2</v>
      </c>
      <c r="M617" s="5">
        <f t="shared" si="49"/>
        <v>5.7423243424534007E-3</v>
      </c>
      <c r="N617" s="5">
        <f t="shared" si="48"/>
        <v>-4.6219958334894557E-3</v>
      </c>
      <c r="O617" s="5">
        <f t="shared" si="46"/>
        <v>-1.4795276580737086E-3</v>
      </c>
      <c r="P617" s="79">
        <f t="shared" si="47"/>
        <v>1.8125610150357776E-3</v>
      </c>
    </row>
    <row r="618" spans="1:16">
      <c r="A618" s="73">
        <v>45559</v>
      </c>
      <c r="B618" s="45">
        <v>1429.6</v>
      </c>
      <c r="C618" s="105">
        <v>7621.35</v>
      </c>
      <c r="D618" s="5">
        <v>282.25</v>
      </c>
      <c r="E618" s="5">
        <v>655.85</v>
      </c>
      <c r="F618" s="45">
        <v>4222.6000000000004</v>
      </c>
      <c r="G618" s="5">
        <v>25940.400000000001</v>
      </c>
      <c r="H618" s="5">
        <f t="shared" si="50"/>
        <v>5.5991041433367484E-4</v>
      </c>
      <c r="I618" s="5">
        <f t="shared" si="50"/>
        <v>-2.7546583239864553E-4</v>
      </c>
      <c r="J618" s="5">
        <f t="shared" si="50"/>
        <v>2.9358132749817693E-2</v>
      </c>
      <c r="K618" s="5">
        <f t="shared" si="49"/>
        <v>-7.8662733529989148E-3</v>
      </c>
      <c r="L618" s="5">
        <f t="shared" si="49"/>
        <v>-2.2127531466021162E-2</v>
      </c>
      <c r="M618" s="5">
        <f t="shared" si="49"/>
        <v>5.2045082607195824E-5</v>
      </c>
      <c r="N618" s="5">
        <f t="shared" si="48"/>
        <v>-1.057739181601302E-2</v>
      </c>
      <c r="O618" s="5">
        <f t="shared" si="46"/>
        <v>-3.3218490519562314E-3</v>
      </c>
      <c r="P618" s="79">
        <f t="shared" si="47"/>
        <v>-1.3318581876821732E-3</v>
      </c>
    </row>
    <row r="619" spans="1:16">
      <c r="A619" s="73">
        <v>45560</v>
      </c>
      <c r="B619" s="45">
        <v>1428.4</v>
      </c>
      <c r="C619" s="105">
        <v>7614.9</v>
      </c>
      <c r="D619" s="5">
        <v>282.14999999999998</v>
      </c>
      <c r="E619" s="5">
        <v>627</v>
      </c>
      <c r="F619" s="45">
        <v>4250.8999999999996</v>
      </c>
      <c r="G619" s="5">
        <v>26004.15</v>
      </c>
      <c r="H619" s="5">
        <f t="shared" si="50"/>
        <v>-8.393956351425701E-4</v>
      </c>
      <c r="I619" s="5">
        <f t="shared" si="50"/>
        <v>-8.4630675667706206E-4</v>
      </c>
      <c r="J619" s="5">
        <f t="shared" si="50"/>
        <v>-3.5429583702399555E-4</v>
      </c>
      <c r="K619" s="5">
        <f t="shared" si="49"/>
        <v>-4.3988716932225391E-2</v>
      </c>
      <c r="L619" s="5">
        <f t="shared" si="49"/>
        <v>6.7020319234593071E-3</v>
      </c>
      <c r="M619" s="5">
        <f t="shared" si="49"/>
        <v>2.4575565527131422E-3</v>
      </c>
      <c r="N619" s="5">
        <f t="shared" si="48"/>
        <v>-3.1855330582855434E-3</v>
      </c>
      <c r="O619" s="5">
        <f t="shared" si="46"/>
        <v>-2.1598955742205779E-2</v>
      </c>
      <c r="P619" s="79">
        <f t="shared" si="47"/>
        <v>-1.7623435409847687E-2</v>
      </c>
    </row>
    <row r="620" spans="1:16">
      <c r="A620" s="73">
        <v>45561</v>
      </c>
      <c r="B620" s="45">
        <v>1426</v>
      </c>
      <c r="C620" s="105">
        <v>7845.4</v>
      </c>
      <c r="D620" s="5">
        <v>280.64999999999998</v>
      </c>
      <c r="E620" s="5">
        <v>625.75</v>
      </c>
      <c r="F620" s="45">
        <v>4234.95</v>
      </c>
      <c r="G620" s="5">
        <v>26216.05</v>
      </c>
      <c r="H620" s="5">
        <f t="shared" si="50"/>
        <v>-1.6802016241949669E-3</v>
      </c>
      <c r="I620" s="5">
        <f t="shared" si="50"/>
        <v>3.026960301514137E-2</v>
      </c>
      <c r="J620" s="5">
        <f t="shared" si="50"/>
        <v>-5.3163211057947902E-3</v>
      </c>
      <c r="K620" s="5">
        <f t="shared" si="49"/>
        <v>-1.9936204146730461E-3</v>
      </c>
      <c r="L620" s="5">
        <f t="shared" si="49"/>
        <v>-3.7521466042484694E-3</v>
      </c>
      <c r="M620" s="5">
        <f t="shared" si="49"/>
        <v>8.1486993422202926E-3</v>
      </c>
      <c r="N620" s="5">
        <f t="shared" si="48"/>
        <v>-7.3827336418650085E-4</v>
      </c>
      <c r="O620" s="5">
        <f t="shared" si="46"/>
        <v>1.0305998673542493E-3</v>
      </c>
      <c r="P620" s="79">
        <f t="shared" si="47"/>
        <v>2.7696769048863139E-3</v>
      </c>
    </row>
    <row r="621" spans="1:16">
      <c r="A621" s="73">
        <v>45562</v>
      </c>
      <c r="B621" s="45">
        <v>1449.55</v>
      </c>
      <c r="C621" s="105">
        <v>7833.7</v>
      </c>
      <c r="D621" s="5">
        <v>287.55</v>
      </c>
      <c r="E621" s="5">
        <v>633</v>
      </c>
      <c r="F621" s="45">
        <v>4195.8</v>
      </c>
      <c r="G621" s="5">
        <v>26178.95</v>
      </c>
      <c r="H621" s="5">
        <f t="shared" si="50"/>
        <v>1.6514726507713854E-2</v>
      </c>
      <c r="I621" s="5">
        <f t="shared" si="50"/>
        <v>-1.4913197542508756E-3</v>
      </c>
      <c r="J621" s="5">
        <f t="shared" si="50"/>
        <v>2.4585783003741438E-2</v>
      </c>
      <c r="K621" s="5">
        <f t="shared" si="49"/>
        <v>1.1586096683979225E-2</v>
      </c>
      <c r="L621" s="5">
        <f t="shared" si="49"/>
        <v>-9.2445011157155661E-3</v>
      </c>
      <c r="M621" s="5">
        <f t="shared" si="49"/>
        <v>-1.4151636116042862E-3</v>
      </c>
      <c r="N621" s="5">
        <f t="shared" si="48"/>
        <v>2.7456664749581439E-3</v>
      </c>
      <c r="O621" s="5">
        <f t="shared" si="46"/>
        <v>1.2074092385215235E-2</v>
      </c>
      <c r="P621" s="79">
        <f t="shared" si="47"/>
        <v>1.216073084096316E-2</v>
      </c>
    </row>
    <row r="622" spans="1:16">
      <c r="A622" s="73">
        <v>45565</v>
      </c>
      <c r="B622" s="45">
        <v>1439.7</v>
      </c>
      <c r="C622" s="105">
        <v>7574.65</v>
      </c>
      <c r="D622" s="5">
        <v>279.7</v>
      </c>
      <c r="E622" s="5">
        <v>625.20000000000005</v>
      </c>
      <c r="F622" s="45">
        <v>4230.1000000000004</v>
      </c>
      <c r="G622" s="5">
        <v>25810.85</v>
      </c>
      <c r="H622" s="5">
        <f t="shared" si="50"/>
        <v>-6.7952123072677105E-3</v>
      </c>
      <c r="I622" s="5">
        <f t="shared" si="50"/>
        <v>-3.3068664871006063E-2</v>
      </c>
      <c r="J622" s="5">
        <f t="shared" si="50"/>
        <v>-2.72996000695532E-2</v>
      </c>
      <c r="K622" s="5">
        <f t="shared" si="49"/>
        <v>-1.2322274881516515E-2</v>
      </c>
      <c r="L622" s="5">
        <f t="shared" si="49"/>
        <v>8.1748415081748845E-3</v>
      </c>
      <c r="M622" s="5">
        <f t="shared" si="49"/>
        <v>-1.4060915353748036E-2</v>
      </c>
      <c r="N622" s="5">
        <f t="shared" si="48"/>
        <v>-2.7358077717462843E-3</v>
      </c>
      <c r="O622" s="5">
        <f t="shared" si="46"/>
        <v>-1.2182301013392951E-2</v>
      </c>
      <c r="P622" s="79">
        <f t="shared" si="47"/>
        <v>-1.4002858431917889E-2</v>
      </c>
    </row>
    <row r="623" spans="1:16">
      <c r="A623" s="73">
        <v>45566</v>
      </c>
      <c r="B623" s="45">
        <v>1427.35</v>
      </c>
      <c r="C623" s="105">
        <v>7612.7</v>
      </c>
      <c r="D623" s="5">
        <v>280.45</v>
      </c>
      <c r="E623" s="5">
        <v>619</v>
      </c>
      <c r="F623" s="45">
        <v>4199.25</v>
      </c>
      <c r="G623" s="5">
        <v>25796.9</v>
      </c>
      <c r="H623" s="5">
        <f t="shared" si="50"/>
        <v>-8.5781760088908358E-3</v>
      </c>
      <c r="I623" s="5">
        <f t="shared" si="50"/>
        <v>5.0233344114909845E-3</v>
      </c>
      <c r="J623" s="5">
        <f t="shared" si="50"/>
        <v>2.6814444047193421E-3</v>
      </c>
      <c r="K623" s="5">
        <f t="shared" si="49"/>
        <v>-9.9168266154831177E-3</v>
      </c>
      <c r="L623" s="5">
        <f t="shared" si="49"/>
        <v>-7.2929717973571218E-3</v>
      </c>
      <c r="M623" s="5">
        <f t="shared" si="49"/>
        <v>-5.4047038357888603E-4</v>
      </c>
      <c r="N623" s="5">
        <f t="shared" si="48"/>
        <v>-6.9769295629232043E-3</v>
      </c>
      <c r="O623" s="5">
        <f t="shared" si="46"/>
        <v>-7.6081832247059311E-3</v>
      </c>
      <c r="P623" s="79">
        <f t="shared" si="47"/>
        <v>-6.381594330807692E-3</v>
      </c>
    </row>
    <row r="624" spans="1:16">
      <c r="A624" s="73">
        <v>45568</v>
      </c>
      <c r="B624" s="45">
        <v>1374.7</v>
      </c>
      <c r="C624" s="105">
        <v>7487.9</v>
      </c>
      <c r="D624" s="5">
        <v>268.95</v>
      </c>
      <c r="E624" s="5">
        <v>580.20000000000005</v>
      </c>
      <c r="F624" s="45">
        <v>4076.9</v>
      </c>
      <c r="G624" s="5">
        <v>25250.1</v>
      </c>
      <c r="H624" s="5">
        <f t="shared" si="50"/>
        <v>-3.6886537989981344E-2</v>
      </c>
      <c r="I624" s="5">
        <f t="shared" si="50"/>
        <v>-1.6393657966293194E-2</v>
      </c>
      <c r="J624" s="5">
        <f t="shared" si="50"/>
        <v>-4.1005526831877338E-2</v>
      </c>
      <c r="K624" s="5">
        <f t="shared" si="49"/>
        <v>-6.2681744749596049E-2</v>
      </c>
      <c r="L624" s="5">
        <f t="shared" si="49"/>
        <v>-2.9136155265821254E-2</v>
      </c>
      <c r="M624" s="5">
        <f t="shared" si="49"/>
        <v>-2.1196345297303278E-2</v>
      </c>
      <c r="N624" s="5">
        <f t="shared" si="48"/>
        <v>-3.5556924069395986E-2</v>
      </c>
      <c r="O624" s="5">
        <f t="shared" si="46"/>
        <v>-4.7415312575960537E-2</v>
      </c>
      <c r="P624" s="79">
        <f t="shared" si="47"/>
        <v>-4.4074576474853432E-2</v>
      </c>
    </row>
    <row r="625" spans="1:16">
      <c r="A625" s="73">
        <v>45569</v>
      </c>
      <c r="B625" s="45">
        <v>1364.55</v>
      </c>
      <c r="C625" s="105">
        <v>7353.3</v>
      </c>
      <c r="D625" s="5">
        <v>267.60000000000002</v>
      </c>
      <c r="E625" s="5">
        <v>572.45000000000005</v>
      </c>
      <c r="F625" s="45">
        <v>4075.35</v>
      </c>
      <c r="G625" s="5">
        <v>25014.6</v>
      </c>
      <c r="H625" s="5">
        <f t="shared" si="50"/>
        <v>-7.3834291118062782E-3</v>
      </c>
      <c r="I625" s="5">
        <f t="shared" si="50"/>
        <v>-1.7975667410088204E-2</v>
      </c>
      <c r="J625" s="5">
        <f t="shared" si="50"/>
        <v>-5.0195203569435428E-3</v>
      </c>
      <c r="K625" s="5">
        <f t="shared" si="49"/>
        <v>-1.3357462943812477E-2</v>
      </c>
      <c r="L625" s="5">
        <f t="shared" si="49"/>
        <v>-3.8019083126890086E-4</v>
      </c>
      <c r="M625" s="5">
        <f t="shared" si="49"/>
        <v>-9.3266957358584725E-3</v>
      </c>
      <c r="N625" s="5">
        <f t="shared" si="48"/>
        <v>-5.5188836770538241E-3</v>
      </c>
      <c r="O625" s="5">
        <f t="shared" si="46"/>
        <v>-1.1058924209441764E-2</v>
      </c>
      <c r="P625" s="79">
        <f t="shared" si="47"/>
        <v>-1.1118086967288866E-2</v>
      </c>
    </row>
    <row r="626" spans="1:16">
      <c r="A626" s="73">
        <v>45572</v>
      </c>
      <c r="B626" s="45">
        <v>1354.7</v>
      </c>
      <c r="C626" s="105">
        <v>7449.5</v>
      </c>
      <c r="D626" s="5">
        <v>256.64999999999998</v>
      </c>
      <c r="E626" s="5">
        <v>569.4</v>
      </c>
      <c r="F626" s="45">
        <v>3919.35</v>
      </c>
      <c r="G626" s="5">
        <v>24795.75</v>
      </c>
      <c r="H626" s="5">
        <f t="shared" si="50"/>
        <v>-7.2184969403832101E-3</v>
      </c>
      <c r="I626" s="5">
        <f t="shared" si="50"/>
        <v>1.308256157099531E-2</v>
      </c>
      <c r="J626" s="5">
        <f t="shared" si="50"/>
        <v>-4.0919282511210929E-2</v>
      </c>
      <c r="K626" s="5">
        <f t="shared" si="49"/>
        <v>-5.3279762424667098E-3</v>
      </c>
      <c r="L626" s="5">
        <f t="shared" si="49"/>
        <v>-3.8278920828885864E-2</v>
      </c>
      <c r="M626" s="5">
        <f t="shared" si="49"/>
        <v>-8.7488906478615912E-3</v>
      </c>
      <c r="N626" s="5">
        <f t="shared" si="48"/>
        <v>-2.1203292001606248E-2</v>
      </c>
      <c r="O626" s="5">
        <f t="shared" si="46"/>
        <v>-6.009740325188884E-3</v>
      </c>
      <c r="P626" s="79">
        <f t="shared" si="47"/>
        <v>-5.6565565031727275E-3</v>
      </c>
    </row>
    <row r="627" spans="1:16">
      <c r="A627" s="73">
        <v>45573</v>
      </c>
      <c r="B627" s="45">
        <v>1391.15</v>
      </c>
      <c r="C627" s="105">
        <v>8041.95</v>
      </c>
      <c r="D627" s="5">
        <v>265.5</v>
      </c>
      <c r="E627" s="5">
        <v>567.35</v>
      </c>
      <c r="F627" s="45">
        <v>4080.85</v>
      </c>
      <c r="G627" s="5">
        <v>25013.15</v>
      </c>
      <c r="H627" s="5">
        <f t="shared" si="50"/>
        <v>2.6906326123865097E-2</v>
      </c>
      <c r="I627" s="5">
        <f t="shared" si="50"/>
        <v>7.9528827438083066E-2</v>
      </c>
      <c r="J627" s="5">
        <f t="shared" si="50"/>
        <v>3.4482758620689745E-2</v>
      </c>
      <c r="K627" s="5">
        <f t="shared" si="49"/>
        <v>-3.600280997541192E-3</v>
      </c>
      <c r="L627" s="5">
        <f t="shared" si="49"/>
        <v>4.1205812188245504E-2</v>
      </c>
      <c r="M627" s="5">
        <f t="shared" si="49"/>
        <v>8.7676315497616109E-3</v>
      </c>
      <c r="N627" s="5">
        <f t="shared" si="48"/>
        <v>3.3063508344180786E-2</v>
      </c>
      <c r="O627" s="5">
        <f t="shared" si="46"/>
        <v>1.7585307800046628E-2</v>
      </c>
      <c r="P627" s="79">
        <f t="shared" si="47"/>
        <v>2.3447713671454866E-2</v>
      </c>
    </row>
    <row r="628" spans="1:16">
      <c r="A628" s="73">
        <v>45574</v>
      </c>
      <c r="B628" s="45">
        <v>1401.25</v>
      </c>
      <c r="C628" s="105">
        <v>8220.85</v>
      </c>
      <c r="D628" s="5">
        <v>264.3</v>
      </c>
      <c r="E628" s="5">
        <v>565.04999999999995</v>
      </c>
      <c r="F628" s="45">
        <v>4086.95</v>
      </c>
      <c r="G628" s="5">
        <v>24981.95</v>
      </c>
      <c r="H628" s="5">
        <f t="shared" si="50"/>
        <v>7.2601804262659728E-3</v>
      </c>
      <c r="I628" s="5">
        <f t="shared" si="50"/>
        <v>2.2245848332804925E-2</v>
      </c>
      <c r="J628" s="5">
        <f t="shared" si="50"/>
        <v>-4.5197740112993918E-3</v>
      </c>
      <c r="K628" s="5">
        <f t="shared" si="49"/>
        <v>-4.0539349607827055E-3</v>
      </c>
      <c r="L628" s="5">
        <f t="shared" si="49"/>
        <v>1.4947866253353858E-3</v>
      </c>
      <c r="M628" s="5">
        <f t="shared" si="49"/>
        <v>-1.2473438971101491E-3</v>
      </c>
      <c r="N628" s="5">
        <f t="shared" si="48"/>
        <v>3.6401520856069319E-3</v>
      </c>
      <c r="O628" s="5">
        <f t="shared" si="46"/>
        <v>2.7279274073508551E-3</v>
      </c>
      <c r="P628" s="79">
        <f t="shared" si="47"/>
        <v>4.3495318945178255E-3</v>
      </c>
    </row>
    <row r="629" spans="1:16">
      <c r="A629" s="73">
        <v>45575</v>
      </c>
      <c r="B629" s="45">
        <v>1394.65</v>
      </c>
      <c r="C629" s="105">
        <v>8028.85</v>
      </c>
      <c r="D629" s="5">
        <v>271.35000000000002</v>
      </c>
      <c r="E629" s="5">
        <v>571.70000000000005</v>
      </c>
      <c r="F629" s="45">
        <v>4428.3500000000004</v>
      </c>
      <c r="G629" s="5">
        <v>24998.45</v>
      </c>
      <c r="H629" s="5">
        <f t="shared" si="50"/>
        <v>-4.7100802854593464E-3</v>
      </c>
      <c r="I629" s="5">
        <f t="shared" si="50"/>
        <v>-2.3355249153068112E-2</v>
      </c>
      <c r="J629" s="5">
        <f t="shared" si="50"/>
        <v>2.6674233825198679E-2</v>
      </c>
      <c r="K629" s="5">
        <f t="shared" si="49"/>
        <v>1.1768870011503568E-2</v>
      </c>
      <c r="L629" s="5">
        <f t="shared" si="49"/>
        <v>8.353417585240841E-2</v>
      </c>
      <c r="M629" s="5">
        <f t="shared" si="49"/>
        <v>6.604768642960217E-4</v>
      </c>
      <c r="N629" s="5">
        <f t="shared" si="48"/>
        <v>3.8807726122277592E-2</v>
      </c>
      <c r="O629" s="5">
        <f t="shared" si="46"/>
        <v>4.3645409799699941E-3</v>
      </c>
      <c r="P629" s="79">
        <f t="shared" si="47"/>
        <v>1.4592787023810728E-3</v>
      </c>
    </row>
    <row r="630" spans="1:16">
      <c r="A630" s="73">
        <v>45576</v>
      </c>
      <c r="B630" s="45">
        <v>1406.1</v>
      </c>
      <c r="C630" s="105">
        <v>8234.9500000000007</v>
      </c>
      <c r="D630" s="5">
        <v>270</v>
      </c>
      <c r="E630" s="5">
        <v>570.85</v>
      </c>
      <c r="F630" s="45">
        <v>4384.95</v>
      </c>
      <c r="G630" s="5">
        <v>24964.25</v>
      </c>
      <c r="H630" s="5">
        <f t="shared" si="50"/>
        <v>8.2099451475279219E-3</v>
      </c>
      <c r="I630" s="5">
        <f t="shared" si="50"/>
        <v>2.566992782278911E-2</v>
      </c>
      <c r="J630" s="5">
        <f t="shared" si="50"/>
        <v>-4.9751243781095359E-3</v>
      </c>
      <c r="K630" s="5">
        <f t="shared" si="49"/>
        <v>-1.4867937729578847E-3</v>
      </c>
      <c r="L630" s="5">
        <f t="shared" si="49"/>
        <v>-9.8004900245013474E-3</v>
      </c>
      <c r="M630" s="5">
        <f t="shared" si="49"/>
        <v>-1.368084821258947E-3</v>
      </c>
      <c r="N630" s="5">
        <f t="shared" si="48"/>
        <v>-8.417314683178299E-4</v>
      </c>
      <c r="O630" s="5">
        <f t="shared" si="46"/>
        <v>4.3836722026611586E-3</v>
      </c>
      <c r="P630" s="79">
        <f t="shared" si="47"/>
        <v>6.1268469386917893E-3</v>
      </c>
    </row>
    <row r="631" spans="1:16">
      <c r="A631" s="73">
        <v>45579</v>
      </c>
      <c r="B631" s="45">
        <v>1415.7</v>
      </c>
      <c r="C631" s="105">
        <v>8191.85</v>
      </c>
      <c r="D631" s="5">
        <v>268.75</v>
      </c>
      <c r="E631" s="5">
        <v>567.29999999999995</v>
      </c>
      <c r="F631" s="45">
        <v>4277.6000000000004</v>
      </c>
      <c r="G631" s="5">
        <v>25127.95</v>
      </c>
      <c r="H631" s="5">
        <f t="shared" si="50"/>
        <v>6.8273949221251242E-3</v>
      </c>
      <c r="I631" s="5">
        <f t="shared" si="50"/>
        <v>-5.2337901262303182E-3</v>
      </c>
      <c r="J631" s="5">
        <f t="shared" si="50"/>
        <v>-4.6296296296296294E-3</v>
      </c>
      <c r="K631" s="5">
        <f t="shared" si="49"/>
        <v>-6.2187965314882514E-3</v>
      </c>
      <c r="L631" s="5">
        <f t="shared" si="49"/>
        <v>-2.4481465011003421E-2</v>
      </c>
      <c r="M631" s="5">
        <f t="shared" si="49"/>
        <v>6.5573770491803574E-3</v>
      </c>
      <c r="N631" s="5">
        <f t="shared" si="48"/>
        <v>-1.081219635984527E-2</v>
      </c>
      <c r="O631" s="5">
        <f t="shared" si="46"/>
        <v>-1.6541345223221328E-3</v>
      </c>
      <c r="P631" s="79">
        <f t="shared" si="47"/>
        <v>-1.0028685472485135E-3</v>
      </c>
    </row>
    <row r="632" spans="1:16">
      <c r="A632" s="73">
        <v>45580</v>
      </c>
      <c r="B632" s="45">
        <v>1450.65</v>
      </c>
      <c r="C632" s="105">
        <v>8124.25</v>
      </c>
      <c r="D632" s="5">
        <v>271.60000000000002</v>
      </c>
      <c r="E632" s="5">
        <v>571</v>
      </c>
      <c r="F632" s="45">
        <v>4403.1499999999996</v>
      </c>
      <c r="G632" s="5">
        <v>25057.35</v>
      </c>
      <c r="H632" s="5">
        <f t="shared" si="50"/>
        <v>2.4687433778342902E-2</v>
      </c>
      <c r="I632" s="5">
        <f t="shared" si="50"/>
        <v>-8.2521042255412833E-3</v>
      </c>
      <c r="J632" s="5">
        <f t="shared" si="50"/>
        <v>1.0604651162790782E-2</v>
      </c>
      <c r="K632" s="5">
        <f t="shared" si="49"/>
        <v>6.5221223338622347E-3</v>
      </c>
      <c r="L632" s="5">
        <f t="shared" si="49"/>
        <v>2.9350570413315704E-2</v>
      </c>
      <c r="M632" s="5">
        <f t="shared" si="49"/>
        <v>-2.8096203629823435E-3</v>
      </c>
      <c r="N632" s="5">
        <f t="shared" si="48"/>
        <v>2.1895509185234335E-2</v>
      </c>
      <c r="O632" s="5">
        <f t="shared" si="46"/>
        <v>1.2485765842081173E-2</v>
      </c>
      <c r="P632" s="79">
        <f t="shared" si="47"/>
        <v>1.1837257057592672E-2</v>
      </c>
    </row>
    <row r="633" spans="1:16">
      <c r="A633" s="73">
        <v>45581</v>
      </c>
      <c r="B633" s="45">
        <v>1424.7</v>
      </c>
      <c r="C633" s="105">
        <v>7805.8</v>
      </c>
      <c r="D633" s="5">
        <v>269.60000000000002</v>
      </c>
      <c r="E633" s="5">
        <v>578.29999999999995</v>
      </c>
      <c r="F633" s="45">
        <v>4325.45</v>
      </c>
      <c r="G633" s="5">
        <v>24971.3</v>
      </c>
      <c r="H633" s="5">
        <f t="shared" si="50"/>
        <v>-1.7888532726708747E-2</v>
      </c>
      <c r="I633" s="5">
        <f t="shared" si="50"/>
        <v>-3.9197464381327485E-2</v>
      </c>
      <c r="J633" s="5">
        <f t="shared" si="50"/>
        <v>-7.3637702503681875E-3</v>
      </c>
      <c r="K633" s="5">
        <f t="shared" si="49"/>
        <v>1.2784588441330919E-2</v>
      </c>
      <c r="L633" s="5">
        <f t="shared" si="49"/>
        <v>-1.764645764963715E-2</v>
      </c>
      <c r="M633" s="5">
        <f t="shared" si="49"/>
        <v>-3.4341221238478642E-3</v>
      </c>
      <c r="N633" s="5">
        <f t="shared" si="48"/>
        <v>-1.4660765004896052E-2</v>
      </c>
      <c r="O633" s="5">
        <f t="shared" si="46"/>
        <v>-4.714646051139363E-3</v>
      </c>
      <c r="P633" s="79">
        <f t="shared" si="47"/>
        <v>-8.4764505470728019E-3</v>
      </c>
    </row>
    <row r="634" spans="1:16">
      <c r="A634" s="73">
        <v>45582</v>
      </c>
      <c r="B634" s="45">
        <v>1435</v>
      </c>
      <c r="C634" s="105">
        <v>7719.65</v>
      </c>
      <c r="D634" s="5">
        <v>254.2</v>
      </c>
      <c r="E634" s="5">
        <v>572.54999999999995</v>
      </c>
      <c r="F634" s="45">
        <v>4237.8</v>
      </c>
      <c r="G634" s="5">
        <v>24749.85</v>
      </c>
      <c r="H634" s="5">
        <f t="shared" si="50"/>
        <v>7.2295921948480057E-3</v>
      </c>
      <c r="I634" s="5">
        <f t="shared" si="50"/>
        <v>-1.1036665043941754E-2</v>
      </c>
      <c r="J634" s="5">
        <f t="shared" si="50"/>
        <v>-5.7121661721068369E-2</v>
      </c>
      <c r="K634" s="5">
        <f t="shared" si="49"/>
        <v>-9.9429361922877407E-3</v>
      </c>
      <c r="L634" s="5">
        <f t="shared" si="49"/>
        <v>-2.0263787582794769E-2</v>
      </c>
      <c r="M634" s="5">
        <f t="shared" si="49"/>
        <v>-8.8681806714108087E-3</v>
      </c>
      <c r="N634" s="5">
        <f t="shared" si="48"/>
        <v>-1.0994056944983116E-2</v>
      </c>
      <c r="O634" s="5">
        <f t="shared" si="46"/>
        <v>-5.2094962340072564E-3</v>
      </c>
      <c r="P634" s="79">
        <f t="shared" si="47"/>
        <v>-6.2430377456931044E-3</v>
      </c>
    </row>
    <row r="635" spans="1:16">
      <c r="A635" s="73">
        <v>45583</v>
      </c>
      <c r="B635" s="45">
        <v>1464.95</v>
      </c>
      <c r="C635" s="105">
        <v>7768.05</v>
      </c>
      <c r="D635" s="5">
        <v>253.85</v>
      </c>
      <c r="E635" s="5">
        <v>571.4</v>
      </c>
      <c r="F635" s="45">
        <v>4526.3500000000004</v>
      </c>
      <c r="G635" s="5">
        <v>24854.05</v>
      </c>
      <c r="H635" s="5">
        <f t="shared" si="50"/>
        <v>2.0871080139372854E-2</v>
      </c>
      <c r="I635" s="5">
        <f t="shared" si="50"/>
        <v>6.2697143005188772E-3</v>
      </c>
      <c r="J635" s="5">
        <f t="shared" si="50"/>
        <v>-1.376868607395729E-3</v>
      </c>
      <c r="K635" s="5">
        <f t="shared" si="49"/>
        <v>-2.0085582045235827E-3</v>
      </c>
      <c r="L635" s="5">
        <f t="shared" si="49"/>
        <v>6.8089574779366696E-2</v>
      </c>
      <c r="M635" s="5">
        <f t="shared" si="49"/>
        <v>4.2101265260193789E-3</v>
      </c>
      <c r="N635" s="5">
        <f t="shared" si="48"/>
        <v>3.8466790151944166E-2</v>
      </c>
      <c r="O635" s="5">
        <f t="shared" si="46"/>
        <v>8.8338590087903863E-3</v>
      </c>
      <c r="P635" s="79">
        <f t="shared" si="47"/>
        <v>8.7778621977948647E-3</v>
      </c>
    </row>
    <row r="636" spans="1:16">
      <c r="A636" s="73">
        <v>45586</v>
      </c>
      <c r="B636" s="45">
        <v>1430.8</v>
      </c>
      <c r="C636" s="105">
        <v>7606.55</v>
      </c>
      <c r="D636" s="5">
        <v>247.65</v>
      </c>
      <c r="E636" s="5">
        <v>568.20000000000005</v>
      </c>
      <c r="F636" s="45">
        <v>4666.5</v>
      </c>
      <c r="G636" s="5">
        <v>24781.1</v>
      </c>
      <c r="H636" s="5">
        <f t="shared" si="50"/>
        <v>-2.3311375814874288E-2</v>
      </c>
      <c r="I636" s="5">
        <f t="shared" si="50"/>
        <v>-2.079028842502301E-2</v>
      </c>
      <c r="J636" s="5">
        <f t="shared" si="50"/>
        <v>-2.4423872365570174E-2</v>
      </c>
      <c r="K636" s="5">
        <f t="shared" si="49"/>
        <v>-5.6002800140005811E-3</v>
      </c>
      <c r="L636" s="5">
        <f t="shared" si="49"/>
        <v>3.0963138069305209E-2</v>
      </c>
      <c r="M636" s="5">
        <f t="shared" si="49"/>
        <v>-2.9351353199981787E-3</v>
      </c>
      <c r="N636" s="5">
        <f t="shared" si="48"/>
        <v>4.8472805339763447E-3</v>
      </c>
      <c r="O636" s="5">
        <f t="shared" si="46"/>
        <v>-1.3297822797155433E-2</v>
      </c>
      <c r="P636" s="79">
        <f t="shared" si="47"/>
        <v>-1.5658524526276672E-2</v>
      </c>
    </row>
    <row r="637" spans="1:16">
      <c r="A637" s="73">
        <v>45587</v>
      </c>
      <c r="B637" s="45">
        <v>1395.95</v>
      </c>
      <c r="C637" s="105">
        <v>7497.35</v>
      </c>
      <c r="D637" s="5">
        <v>232.8</v>
      </c>
      <c r="E637" s="5">
        <v>559.1</v>
      </c>
      <c r="F637" s="45">
        <v>4158.3500000000004</v>
      </c>
      <c r="G637" s="5">
        <v>24472.1</v>
      </c>
      <c r="H637" s="5">
        <f t="shared" si="50"/>
        <v>-2.4357003075202621E-2</v>
      </c>
      <c r="I637" s="5">
        <f t="shared" si="50"/>
        <v>-1.4356048405650369E-2</v>
      </c>
      <c r="J637" s="5">
        <f t="shared" si="50"/>
        <v>-5.9963658388855215E-2</v>
      </c>
      <c r="K637" s="5">
        <f t="shared" si="49"/>
        <v>-1.6015487504399899E-2</v>
      </c>
      <c r="L637" s="5">
        <f t="shared" si="49"/>
        <v>-0.10889317475624122</v>
      </c>
      <c r="M637" s="5">
        <f t="shared" si="49"/>
        <v>-1.2469180141317376E-2</v>
      </c>
      <c r="N637" s="5">
        <f t="shared" si="48"/>
        <v>-6.3393616611276057E-2</v>
      </c>
      <c r="O637" s="5">
        <f t="shared" si="46"/>
        <v>-2.2233729674967131E-2</v>
      </c>
      <c r="P637" s="79">
        <f t="shared" si="47"/>
        <v>-2.2343348243037055E-2</v>
      </c>
    </row>
    <row r="638" spans="1:16">
      <c r="A638" s="73">
        <v>45588</v>
      </c>
      <c r="B638" s="45">
        <v>1395.2</v>
      </c>
      <c r="C638" s="105">
        <v>7511.3</v>
      </c>
      <c r="D638" s="5">
        <v>223.7</v>
      </c>
      <c r="E638" s="5">
        <v>558.70000000000005</v>
      </c>
      <c r="F638" s="45">
        <v>4193.05</v>
      </c>
      <c r="G638" s="5">
        <v>24435.5</v>
      </c>
      <c r="H638" s="5">
        <f t="shared" si="50"/>
        <v>-5.3726852680969952E-4</v>
      </c>
      <c r="I638" s="5">
        <f t="shared" si="50"/>
        <v>1.8606574322927191E-3</v>
      </c>
      <c r="J638" s="5">
        <f t="shared" si="50"/>
        <v>-3.9089347079037898E-2</v>
      </c>
      <c r="K638" s="5">
        <f t="shared" si="49"/>
        <v>-7.154355213735955E-4</v>
      </c>
      <c r="L638" s="5">
        <f t="shared" si="49"/>
        <v>8.3446559332427082E-3</v>
      </c>
      <c r="M638" s="5">
        <f t="shared" si="49"/>
        <v>-1.4955806816741737E-3</v>
      </c>
      <c r="N638" s="5">
        <f t="shared" si="48"/>
        <v>2.748497444059497E-3</v>
      </c>
      <c r="O638" s="5">
        <f t="shared" si="46"/>
        <v>-1.260666751568821E-3</v>
      </c>
      <c r="P638" s="79">
        <f t="shared" si="47"/>
        <v>-2.45651035643648E-3</v>
      </c>
    </row>
    <row r="639" spans="1:16">
      <c r="A639" s="73">
        <v>45589</v>
      </c>
      <c r="B639" s="45">
        <v>1384.65</v>
      </c>
      <c r="C639" s="105">
        <v>7488</v>
      </c>
      <c r="D639" s="5">
        <v>227.3</v>
      </c>
      <c r="E639" s="5">
        <v>541</v>
      </c>
      <c r="F639" s="45">
        <v>4214.7</v>
      </c>
      <c r="G639" s="5">
        <v>24399.4</v>
      </c>
      <c r="H639" s="5">
        <f t="shared" si="50"/>
        <v>-7.5616399082568475E-3</v>
      </c>
      <c r="I639" s="5">
        <f t="shared" si="50"/>
        <v>-3.1019929972175499E-3</v>
      </c>
      <c r="J639" s="5">
        <f t="shared" si="50"/>
        <v>1.6092981671882087E-2</v>
      </c>
      <c r="K639" s="5">
        <f t="shared" si="49"/>
        <v>-3.1680687309826462E-2</v>
      </c>
      <c r="L639" s="5">
        <f t="shared" si="49"/>
        <v>5.1633059467451224E-3</v>
      </c>
      <c r="M639" s="5">
        <f t="shared" si="49"/>
        <v>-1.4773587608192403E-3</v>
      </c>
      <c r="N639" s="5">
        <f t="shared" si="48"/>
        <v>-3.9450900985710177E-3</v>
      </c>
      <c r="O639" s="5">
        <f t="shared" si="46"/>
        <v>-1.7911650577699174E-2</v>
      </c>
      <c r="P639" s="79">
        <f t="shared" si="47"/>
        <v>-1.4825491330960356E-2</v>
      </c>
    </row>
    <row r="640" spans="1:16">
      <c r="A640" s="73">
        <v>45590</v>
      </c>
      <c r="B640" s="45">
        <v>1364.75</v>
      </c>
      <c r="C640" s="105">
        <v>7361.45</v>
      </c>
      <c r="D640" s="5">
        <v>216.85</v>
      </c>
      <c r="E640" s="5">
        <v>538.70000000000005</v>
      </c>
      <c r="F640" s="45">
        <v>4062.3</v>
      </c>
      <c r="G640" s="5">
        <v>24180.799999999999</v>
      </c>
      <c r="H640" s="5">
        <f t="shared" si="50"/>
        <v>-1.4371862925649145E-2</v>
      </c>
      <c r="I640" s="5">
        <f t="shared" si="50"/>
        <v>-1.6900373931623955E-2</v>
      </c>
      <c r="J640" s="5">
        <f t="shared" si="50"/>
        <v>-4.5974483062032626E-2</v>
      </c>
      <c r="K640" s="5">
        <f t="shared" si="49"/>
        <v>-4.2513863216265329E-3</v>
      </c>
      <c r="L640" s="5">
        <f t="shared" si="49"/>
        <v>-3.6159157235390336E-2</v>
      </c>
      <c r="M640" s="5">
        <f t="shared" si="49"/>
        <v>-8.9592367025419541E-3</v>
      </c>
      <c r="N640" s="5">
        <f t="shared" si="48"/>
        <v>-2.4270241420139636E-2</v>
      </c>
      <c r="O640" s="5">
        <f t="shared" si="46"/>
        <v>-1.1054566326115806E-2</v>
      </c>
      <c r="P640" s="79">
        <f t="shared" si="47"/>
        <v>-1.2829492119946362E-2</v>
      </c>
    </row>
    <row r="641" spans="1:16">
      <c r="A641" s="73">
        <v>45593</v>
      </c>
      <c r="B641" s="45">
        <v>1372.95</v>
      </c>
      <c r="C641" s="105">
        <v>7307.85</v>
      </c>
      <c r="D641" s="5">
        <v>229.75</v>
      </c>
      <c r="E641" s="5">
        <v>553.70000000000005</v>
      </c>
      <c r="F641" s="45">
        <v>4015.95</v>
      </c>
      <c r="G641" s="5">
        <v>24339.15</v>
      </c>
      <c r="H641" s="5">
        <f t="shared" si="50"/>
        <v>6.0084264517311194E-3</v>
      </c>
      <c r="I641" s="5">
        <f t="shared" si="50"/>
        <v>-7.2811742251865401E-3</v>
      </c>
      <c r="J641" s="5">
        <f t="shared" si="50"/>
        <v>5.9488125432326518E-2</v>
      </c>
      <c r="K641" s="5">
        <f t="shared" si="49"/>
        <v>2.7844811583441615E-2</v>
      </c>
      <c r="L641" s="5">
        <f t="shared" si="49"/>
        <v>-1.1409792482091514E-2</v>
      </c>
      <c r="M641" s="5">
        <f t="shared" si="49"/>
        <v>6.5485840005294364E-3</v>
      </c>
      <c r="N641" s="5">
        <f t="shared" si="48"/>
        <v>1.3638824920000547E-3</v>
      </c>
      <c r="O641" s="5">
        <f t="shared" si="46"/>
        <v>1.6437130787180051E-2</v>
      </c>
      <c r="P641" s="79">
        <f t="shared" si="47"/>
        <v>1.5574388783114497E-2</v>
      </c>
    </row>
    <row r="642" spans="1:16">
      <c r="A642" s="73">
        <v>45594</v>
      </c>
      <c r="B642" s="45">
        <v>1360.25</v>
      </c>
      <c r="C642" s="105">
        <v>7410.3</v>
      </c>
      <c r="D642" s="5">
        <v>235</v>
      </c>
      <c r="E642" s="5">
        <v>535.85</v>
      </c>
      <c r="F642" s="45">
        <v>4012.45</v>
      </c>
      <c r="G642" s="5">
        <v>24466.85</v>
      </c>
      <c r="H642" s="5">
        <f t="shared" si="50"/>
        <v>-9.2501547762118396E-3</v>
      </c>
      <c r="I642" s="5">
        <f t="shared" si="50"/>
        <v>1.4019171165253776E-2</v>
      </c>
      <c r="J642" s="5">
        <f t="shared" si="50"/>
        <v>2.2850924918389554E-2</v>
      </c>
      <c r="K642" s="5">
        <f t="shared" si="49"/>
        <v>-3.223767383059422E-2</v>
      </c>
      <c r="L642" s="5">
        <f t="shared" si="49"/>
        <v>-8.7152479488041435E-4</v>
      </c>
      <c r="M642" s="5">
        <f t="shared" si="49"/>
        <v>5.2466910307055539E-3</v>
      </c>
      <c r="N642" s="5">
        <f t="shared" si="48"/>
        <v>-6.0894228803080944E-3</v>
      </c>
      <c r="O642" s="5">
        <f t="shared" si="46"/>
        <v>-1.7143967604683973E-2</v>
      </c>
      <c r="P642" s="79">
        <f t="shared" si="47"/>
        <v>-1.277806591628345E-2</v>
      </c>
    </row>
    <row r="643" spans="1:16">
      <c r="A643" s="73">
        <v>45595</v>
      </c>
      <c r="B643" s="45">
        <v>1363.85</v>
      </c>
      <c r="C643" s="105">
        <v>7252.45</v>
      </c>
      <c r="D643" s="5">
        <v>236.6</v>
      </c>
      <c r="E643" s="5">
        <v>546.65</v>
      </c>
      <c r="F643" s="45">
        <v>4072.45</v>
      </c>
      <c r="G643" s="5">
        <v>24340.85</v>
      </c>
      <c r="H643" s="5">
        <f t="shared" si="50"/>
        <v>2.6465723212644064E-3</v>
      </c>
      <c r="I643" s="5">
        <f t="shared" si="50"/>
        <v>-2.1301431790885707E-2</v>
      </c>
      <c r="J643" s="5">
        <f t="shared" si="50"/>
        <v>6.808510638297848E-3</v>
      </c>
      <c r="K643" s="5">
        <f t="shared" si="49"/>
        <v>2.0154894093496228E-2</v>
      </c>
      <c r="L643" s="5">
        <f t="shared" si="49"/>
        <v>1.4953457363954691E-2</v>
      </c>
      <c r="M643" s="5">
        <f t="shared" si="49"/>
        <v>-5.1498251716097501E-3</v>
      </c>
      <c r="N643" s="5">
        <f t="shared" si="48"/>
        <v>9.4190532446149673E-3</v>
      </c>
      <c r="O643" s="5">
        <f t="shared" si="46"/>
        <v>9.2771244584033928E-3</v>
      </c>
      <c r="P643" s="79">
        <f t="shared" si="47"/>
        <v>6.2314410787200625E-3</v>
      </c>
    </row>
    <row r="644" spans="1:16">
      <c r="A644" s="73">
        <v>45596</v>
      </c>
      <c r="B644" s="45">
        <v>1355.65</v>
      </c>
      <c r="C644" s="105">
        <v>7128.35</v>
      </c>
      <c r="D644" s="5">
        <v>239</v>
      </c>
      <c r="E644" s="5">
        <v>540</v>
      </c>
      <c r="F644" s="45">
        <v>4079.65</v>
      </c>
      <c r="G644" s="5">
        <v>24205.35</v>
      </c>
      <c r="H644" s="5">
        <f t="shared" si="50"/>
        <v>-6.012391392015118E-3</v>
      </c>
      <c r="I644" s="5">
        <f t="shared" si="50"/>
        <v>-1.7111458886307312E-2</v>
      </c>
      <c r="J644" s="5">
        <f t="shared" si="50"/>
        <v>1.0143702451394784E-2</v>
      </c>
      <c r="K644" s="5">
        <f t="shared" si="49"/>
        <v>-1.2165005030641137E-2</v>
      </c>
      <c r="L644" s="5">
        <f t="shared" si="49"/>
        <v>1.767977507397334E-3</v>
      </c>
      <c r="M644" s="5">
        <f t="shared" si="49"/>
        <v>-5.5667735514577351E-3</v>
      </c>
      <c r="N644" s="5">
        <f t="shared" si="48"/>
        <v>-3.4687614371960744E-3</v>
      </c>
      <c r="O644" s="5">
        <f t="shared" ref="O644:O707" si="51">$V$86*H644 +$V$87*I644 + $V$88*J644 + $V$89*K644+ $V$90*L644</f>
        <v>-9.425353039808796E-3</v>
      </c>
      <c r="P644" s="79">
        <f t="shared" ref="P644:P707" si="52">$V$104*H644 +$V$105*I644 + $V$106*J644 + $V$107*K644+ $V$108*L644</f>
        <v>-9.0721287036491498E-3</v>
      </c>
    </row>
    <row r="645" spans="1:16">
      <c r="A645" s="73">
        <v>45597</v>
      </c>
      <c r="B645" s="45">
        <v>1356.75</v>
      </c>
      <c r="C645" s="105">
        <v>7149</v>
      </c>
      <c r="D645" s="5">
        <v>241.97</v>
      </c>
      <c r="E645" s="5">
        <v>542.54999999999995</v>
      </c>
      <c r="F645" s="45">
        <v>4107.95</v>
      </c>
      <c r="G645" s="5">
        <v>24304.35</v>
      </c>
      <c r="H645" s="5">
        <f t="shared" si="50"/>
        <v>8.1141887655361556E-4</v>
      </c>
      <c r="I645" s="5">
        <f t="shared" si="50"/>
        <v>2.896883570531699E-3</v>
      </c>
      <c r="J645" s="5">
        <f t="shared" si="50"/>
        <v>1.242677824267782E-2</v>
      </c>
      <c r="K645" s="5">
        <f t="shared" si="49"/>
        <v>4.7222222222221381E-3</v>
      </c>
      <c r="L645" s="5">
        <f t="shared" si="49"/>
        <v>6.9368695844005557E-3</v>
      </c>
      <c r="M645" s="5">
        <f t="shared" si="49"/>
        <v>4.0900048956119209E-3</v>
      </c>
      <c r="N645" s="5">
        <f t="shared" ref="N645:N708" si="53">((H645 *0.3 ) + (I645 * 0.064462757 ) + (J645 * 0.026806099 ) + (K645 * 0.137093997) + (L645 * 0.471637147))</f>
        <v>4.6823539115192388E-3</v>
      </c>
      <c r="O645" s="5">
        <f t="shared" si="51"/>
        <v>3.3621753663240577E-3</v>
      </c>
      <c r="P645" s="79">
        <f t="shared" si="52"/>
        <v>3.3871092348253121E-3</v>
      </c>
    </row>
    <row r="646" spans="1:16">
      <c r="A646" s="73">
        <v>45600</v>
      </c>
      <c r="B646" s="45">
        <v>1336.4</v>
      </c>
      <c r="C646" s="105">
        <v>7063.75</v>
      </c>
      <c r="D646" s="5">
        <v>233.39</v>
      </c>
      <c r="E646" s="5">
        <v>534.95000000000005</v>
      </c>
      <c r="F646" s="45">
        <v>4027</v>
      </c>
      <c r="G646" s="5">
        <v>23995.35</v>
      </c>
      <c r="H646" s="5">
        <f t="shared" si="50"/>
        <v>-1.4999078680670654E-2</v>
      </c>
      <c r="I646" s="5">
        <f t="shared" si="50"/>
        <v>-1.1924744719541195E-2</v>
      </c>
      <c r="J646" s="5">
        <f t="shared" si="50"/>
        <v>-3.5458941191056796E-2</v>
      </c>
      <c r="K646" s="5">
        <f t="shared" si="49"/>
        <v>-1.4007925536816717E-2</v>
      </c>
      <c r="L646" s="5">
        <f t="shared" si="49"/>
        <v>-1.970569262040673E-2</v>
      </c>
      <c r="M646" s="5">
        <f t="shared" si="49"/>
        <v>-1.2713773460306488E-2</v>
      </c>
      <c r="N646" s="5">
        <f t="shared" si="53"/>
        <v>-1.7433280562014819E-2</v>
      </c>
      <c r="O646" s="5">
        <f t="shared" si="51"/>
        <v>-1.4896659245473847E-2</v>
      </c>
      <c r="P646" s="79">
        <f t="shared" si="52"/>
        <v>-1.5394405896680348E-2</v>
      </c>
    </row>
    <row r="647" spans="1:16">
      <c r="A647" s="73">
        <v>45601</v>
      </c>
      <c r="B647" s="45">
        <v>1356.1</v>
      </c>
      <c r="C647" s="105">
        <v>6968.35</v>
      </c>
      <c r="D647" s="5">
        <v>235.25</v>
      </c>
      <c r="E647" s="5">
        <v>534.85</v>
      </c>
      <c r="F647" s="45">
        <v>4197.8</v>
      </c>
      <c r="G647" s="5">
        <v>24213.3</v>
      </c>
      <c r="H647" s="5">
        <f t="shared" si="50"/>
        <v>1.4741095480394954E-2</v>
      </c>
      <c r="I647" s="5">
        <f t="shared" si="50"/>
        <v>-1.3505574234648684E-2</v>
      </c>
      <c r="J647" s="5">
        <f t="shared" si="50"/>
        <v>7.9694931230987354E-3</v>
      </c>
      <c r="K647" s="5">
        <f t="shared" si="49"/>
        <v>-1.869333582578236E-4</v>
      </c>
      <c r="L647" s="5">
        <f t="shared" si="49"/>
        <v>4.2413707474546855E-2</v>
      </c>
      <c r="M647" s="5">
        <f t="shared" si="49"/>
        <v>9.0830098331552041E-3</v>
      </c>
      <c r="N647" s="5">
        <f t="shared" si="53"/>
        <v>2.3743605661454125E-2</v>
      </c>
      <c r="O647" s="5">
        <f t="shared" si="51"/>
        <v>5.2673017479975886E-3</v>
      </c>
      <c r="P647" s="79">
        <f t="shared" si="52"/>
        <v>4.4701545153065557E-3</v>
      </c>
    </row>
    <row r="648" spans="1:16">
      <c r="A648" s="73">
        <v>45602</v>
      </c>
      <c r="B648" s="45">
        <v>1358.4</v>
      </c>
      <c r="C648" s="105">
        <v>6955.45</v>
      </c>
      <c r="D648" s="5">
        <v>247.98</v>
      </c>
      <c r="E648" s="5">
        <v>539.6</v>
      </c>
      <c r="F648" s="45">
        <v>4279.05</v>
      </c>
      <c r="G648" s="5">
        <v>24484.05</v>
      </c>
      <c r="H648" s="5">
        <f t="shared" si="50"/>
        <v>1.6960401150358986E-3</v>
      </c>
      <c r="I648" s="5">
        <f t="shared" si="50"/>
        <v>-1.8512273350219989E-3</v>
      </c>
      <c r="J648" s="5">
        <f t="shared" si="50"/>
        <v>5.4112646121147669E-2</v>
      </c>
      <c r="K648" s="5">
        <f t="shared" si="49"/>
        <v>8.8809946714031966E-3</v>
      </c>
      <c r="L648" s="5">
        <f t="shared" si="49"/>
        <v>1.9355376625851635E-2</v>
      </c>
      <c r="M648" s="5">
        <f t="shared" si="49"/>
        <v>1.1181871120417292E-2</v>
      </c>
      <c r="N648" s="5">
        <f t="shared" si="53"/>
        <v>1.2186271433502455E-2</v>
      </c>
      <c r="O648" s="5">
        <f t="shared" si="51"/>
        <v>6.6856110077544136E-3</v>
      </c>
      <c r="P648" s="79">
        <f t="shared" si="52"/>
        <v>7.2042068516670983E-3</v>
      </c>
    </row>
    <row r="649" spans="1:16">
      <c r="A649" s="73">
        <v>45603</v>
      </c>
      <c r="B649" s="45">
        <v>1340.05</v>
      </c>
      <c r="C649" s="105">
        <v>6505.5</v>
      </c>
      <c r="D649" s="5">
        <v>244.29</v>
      </c>
      <c r="E649" s="5">
        <v>534.5</v>
      </c>
      <c r="F649" s="45">
        <v>4256.5</v>
      </c>
      <c r="G649" s="5">
        <v>24199.35</v>
      </c>
      <c r="H649" s="5">
        <f t="shared" si="50"/>
        <v>-1.3508539458186201E-2</v>
      </c>
      <c r="I649" s="5">
        <f t="shared" si="50"/>
        <v>-6.4690278846084706E-2</v>
      </c>
      <c r="J649" s="5">
        <f t="shared" si="50"/>
        <v>-1.4880232276796508E-2</v>
      </c>
      <c r="K649" s="5">
        <f t="shared" si="49"/>
        <v>-9.4514455151964837E-3</v>
      </c>
      <c r="L649" s="5">
        <f t="shared" si="49"/>
        <v>-5.2698613009897477E-3</v>
      </c>
      <c r="M649" s="5">
        <f t="shared" si="49"/>
        <v>-1.162797821438858E-2</v>
      </c>
      <c r="N649" s="5">
        <f t="shared" si="53"/>
        <v>-1.2402755334718584E-2</v>
      </c>
      <c r="O649" s="5">
        <f t="shared" si="51"/>
        <v>-1.6214076699213435E-2</v>
      </c>
      <c r="P649" s="79">
        <f t="shared" si="52"/>
        <v>-1.9634737175277958E-2</v>
      </c>
    </row>
    <row r="650" spans="1:16">
      <c r="A650" s="73">
        <v>45604</v>
      </c>
      <c r="B650" s="45">
        <v>1336.3</v>
      </c>
      <c r="C650" s="105">
        <v>6298.95</v>
      </c>
      <c r="D650" s="5">
        <v>239.04</v>
      </c>
      <c r="E650" s="5">
        <v>531.5</v>
      </c>
      <c r="F650" s="45">
        <v>4164.1000000000004</v>
      </c>
      <c r="G650" s="5">
        <v>24148.2</v>
      </c>
      <c r="H650" s="5">
        <f t="shared" si="50"/>
        <v>-2.7984030446625125E-3</v>
      </c>
      <c r="I650" s="5">
        <f t="shared" si="50"/>
        <v>-3.1750057643532427E-2</v>
      </c>
      <c r="J650" s="5">
        <f t="shared" si="50"/>
        <v>-2.1490851037701094E-2</v>
      </c>
      <c r="K650" s="5">
        <f t="shared" si="49"/>
        <v>-5.6127221702525721E-3</v>
      </c>
      <c r="L650" s="5">
        <f t="shared" si="49"/>
        <v>-2.1707976036649743E-2</v>
      </c>
      <c r="M650" s="5">
        <f t="shared" si="49"/>
        <v>-2.1136931363858044E-3</v>
      </c>
      <c r="N650" s="5">
        <f t="shared" si="53"/>
        <v>-1.4470061445960936E-2</v>
      </c>
      <c r="O650" s="5">
        <f t="shared" si="51"/>
        <v>-7.8275741166168814E-3</v>
      </c>
      <c r="P650" s="79">
        <f t="shared" si="52"/>
        <v>-9.5003327412588288E-3</v>
      </c>
    </row>
    <row r="651" spans="1:16">
      <c r="A651" s="73">
        <v>45607</v>
      </c>
      <c r="B651" s="45">
        <v>1330.9</v>
      </c>
      <c r="C651" s="105">
        <v>6480.7</v>
      </c>
      <c r="D651" s="5">
        <v>239.22</v>
      </c>
      <c r="E651" s="5">
        <v>522.75</v>
      </c>
      <c r="F651" s="45">
        <v>4089.65</v>
      </c>
      <c r="G651" s="5">
        <v>24141.3</v>
      </c>
      <c r="H651" s="5">
        <f t="shared" si="50"/>
        <v>-4.0410087555188684E-3</v>
      </c>
      <c r="I651" s="5">
        <f t="shared" si="50"/>
        <v>2.8854015351764978E-2</v>
      </c>
      <c r="J651" s="5">
        <f t="shared" si="50"/>
        <v>7.5301204819279964E-4</v>
      </c>
      <c r="K651" s="5">
        <f t="shared" si="49"/>
        <v>-1.6462841015992474E-2</v>
      </c>
      <c r="L651" s="5">
        <f t="shared" si="49"/>
        <v>-1.7879013472299001E-2</v>
      </c>
      <c r="M651" s="5">
        <f t="shared" si="49"/>
        <v>-2.8573558277641628E-4</v>
      </c>
      <c r="N651" s="5">
        <f t="shared" si="53"/>
        <v>-1.0021471513156129E-2</v>
      </c>
      <c r="O651" s="5">
        <f t="shared" si="51"/>
        <v>-7.1480656996606735E-3</v>
      </c>
      <c r="P651" s="79">
        <f t="shared" si="52"/>
        <v>-3.7747677862764433E-3</v>
      </c>
    </row>
    <row r="652" spans="1:16">
      <c r="A652" s="73">
        <v>45608</v>
      </c>
      <c r="B652" s="45">
        <v>1334.9</v>
      </c>
      <c r="C652" s="105">
        <v>6528.55</v>
      </c>
      <c r="D652" s="5">
        <v>230.22</v>
      </c>
      <c r="E652" s="5">
        <v>510.5</v>
      </c>
      <c r="F652" s="45">
        <v>4052.75</v>
      </c>
      <c r="G652" s="5">
        <v>23883.45</v>
      </c>
      <c r="H652" s="5">
        <f t="shared" si="50"/>
        <v>3.0054850101435119E-3</v>
      </c>
      <c r="I652" s="5">
        <f t="shared" si="50"/>
        <v>7.3834616630920067E-3</v>
      </c>
      <c r="J652" s="5">
        <f t="shared" si="50"/>
        <v>-3.7622272385252072E-2</v>
      </c>
      <c r="K652" s="5">
        <f t="shared" si="49"/>
        <v>-2.34337637494022E-2</v>
      </c>
      <c r="L652" s="5">
        <f t="shared" si="49"/>
        <v>-9.0227770102576238E-3</v>
      </c>
      <c r="M652" s="5">
        <f t="shared" si="49"/>
        <v>-1.0680866399075383E-2</v>
      </c>
      <c r="N652" s="5">
        <f t="shared" si="53"/>
        <v>-7.0990077044086131E-3</v>
      </c>
      <c r="O652" s="5">
        <f t="shared" si="51"/>
        <v>-1.0799911263046762E-2</v>
      </c>
      <c r="P652" s="79">
        <f t="shared" si="52"/>
        <v>-9.1656325725065282E-3</v>
      </c>
    </row>
    <row r="653" spans="1:16">
      <c r="A653" s="73">
        <v>45609</v>
      </c>
      <c r="B653" s="45">
        <v>1317.95</v>
      </c>
      <c r="C653" s="105">
        <v>6498.25</v>
      </c>
      <c r="D653" s="5">
        <v>222.56</v>
      </c>
      <c r="E653" s="5">
        <v>510.85</v>
      </c>
      <c r="F653" s="45">
        <v>3890.8</v>
      </c>
      <c r="G653" s="5">
        <v>23559.05</v>
      </c>
      <c r="H653" s="5">
        <f t="shared" si="50"/>
        <v>-1.2697580343096895E-2</v>
      </c>
      <c r="I653" s="5">
        <f t="shared" si="50"/>
        <v>-4.6411530891239524E-3</v>
      </c>
      <c r="J653" s="5">
        <f t="shared" si="50"/>
        <v>-3.3272521935539902E-2</v>
      </c>
      <c r="K653" s="5">
        <f t="shared" si="49"/>
        <v>6.8560235063667529E-4</v>
      </c>
      <c r="L653" s="5">
        <f t="shared" si="49"/>
        <v>-3.996052063413727E-2</v>
      </c>
      <c r="M653" s="5">
        <f t="shared" si="49"/>
        <v>-1.3582627300494754E-2</v>
      </c>
      <c r="N653" s="5">
        <f t="shared" si="53"/>
        <v>-2.3753236121614573E-2</v>
      </c>
      <c r="O653" s="5">
        <f t="shared" si="51"/>
        <v>-6.6186367840488204E-3</v>
      </c>
      <c r="P653" s="79">
        <f t="shared" si="52"/>
        <v>-7.6786500212865606E-3</v>
      </c>
    </row>
    <row r="654" spans="1:16">
      <c r="A654" s="73">
        <v>45610</v>
      </c>
      <c r="B654" s="45">
        <v>1307.3499999999999</v>
      </c>
      <c r="C654" s="105">
        <v>6463</v>
      </c>
      <c r="D654" s="5">
        <v>223.71</v>
      </c>
      <c r="E654" s="5">
        <v>508.1</v>
      </c>
      <c r="F654" s="45">
        <v>3926.1</v>
      </c>
      <c r="G654" s="5">
        <v>23532.7</v>
      </c>
      <c r="H654" s="5">
        <f t="shared" si="50"/>
        <v>-8.0427937326910254E-3</v>
      </c>
      <c r="I654" s="5">
        <f t="shared" si="50"/>
        <v>-5.4245373754472359E-3</v>
      </c>
      <c r="J654" s="5">
        <f t="shared" si="50"/>
        <v>5.1671459381740009E-3</v>
      </c>
      <c r="K654" s="5">
        <f t="shared" si="49"/>
        <v>-5.3831848879318783E-3</v>
      </c>
      <c r="L654" s="5">
        <f t="shared" si="49"/>
        <v>9.0726842808676166E-3</v>
      </c>
      <c r="M654" s="5">
        <f t="shared" si="49"/>
        <v>-1.118466152073133E-3</v>
      </c>
      <c r="N654" s="5">
        <f t="shared" si="53"/>
        <v>9.1700486807153037E-4</v>
      </c>
      <c r="O654" s="5">
        <f t="shared" si="51"/>
        <v>-5.7598779226012272E-3</v>
      </c>
      <c r="P654" s="79">
        <f t="shared" si="52"/>
        <v>-5.6978338903189022E-3</v>
      </c>
    </row>
    <row r="655" spans="1:16">
      <c r="A655" s="73">
        <v>45614</v>
      </c>
      <c r="B655" s="45">
        <v>1289.3</v>
      </c>
      <c r="C655" s="105">
        <v>6301.65</v>
      </c>
      <c r="D655" s="5">
        <v>222.67</v>
      </c>
      <c r="E655" s="5">
        <v>508.5</v>
      </c>
      <c r="F655" s="45">
        <v>3977.55</v>
      </c>
      <c r="G655" s="5">
        <v>23453.8</v>
      </c>
      <c r="H655" s="5">
        <f t="shared" si="50"/>
        <v>-1.3806555245343599E-2</v>
      </c>
      <c r="I655" s="5">
        <f t="shared" si="50"/>
        <v>-2.4965186445923004E-2</v>
      </c>
      <c r="J655" s="5">
        <f t="shared" si="50"/>
        <v>-4.6488757766752513E-3</v>
      </c>
      <c r="K655" s="5">
        <f t="shared" si="49"/>
        <v>7.8724660499897119E-4</v>
      </c>
      <c r="L655" s="5">
        <f t="shared" si="49"/>
        <v>1.3104607625888356E-2</v>
      </c>
      <c r="M655" s="5">
        <f t="shared" si="49"/>
        <v>-3.3527814487925929E-3</v>
      </c>
      <c r="N655" s="5">
        <f t="shared" si="53"/>
        <v>4.1263699169785065E-4</v>
      </c>
      <c r="O655" s="5">
        <f t="shared" si="51"/>
        <v>-6.9223865242692695E-3</v>
      </c>
      <c r="P655" s="79">
        <f t="shared" si="52"/>
        <v>-9.0314894869120924E-3</v>
      </c>
    </row>
    <row r="656" spans="1:16">
      <c r="A656" s="73">
        <v>45615</v>
      </c>
      <c r="B656" s="45">
        <v>1282.6500000000001</v>
      </c>
      <c r="C656" s="105">
        <v>6423.85</v>
      </c>
      <c r="D656" s="5">
        <v>225.88</v>
      </c>
      <c r="E656" s="5">
        <v>508.2</v>
      </c>
      <c r="F656" s="45">
        <v>4075.55</v>
      </c>
      <c r="G656" s="5">
        <v>23518.5</v>
      </c>
      <c r="H656" s="5">
        <f t="shared" si="50"/>
        <v>-5.1578375862870269E-3</v>
      </c>
      <c r="I656" s="5">
        <f t="shared" si="50"/>
        <v>1.9391746606047738E-2</v>
      </c>
      <c r="J656" s="5">
        <f t="shared" si="50"/>
        <v>1.4415951857008166E-2</v>
      </c>
      <c r="K656" s="5">
        <f t="shared" si="49"/>
        <v>-5.8997050147494858E-4</v>
      </c>
      <c r="L656" s="5">
        <f t="shared" si="49"/>
        <v>2.4638282359744062E-2</v>
      </c>
      <c r="M656" s="5">
        <f t="shared" si="49"/>
        <v>2.7586148086877491E-3</v>
      </c>
      <c r="N656" s="5">
        <f t="shared" si="53"/>
        <v>1.1628577391014139E-2</v>
      </c>
      <c r="O656" s="5">
        <f t="shared" si="51"/>
        <v>5.7497518037634583E-4</v>
      </c>
      <c r="P656" s="79">
        <f t="shared" si="52"/>
        <v>1.7032638110382977E-3</v>
      </c>
    </row>
    <row r="657" spans="1:16">
      <c r="A657" s="73">
        <v>45617</v>
      </c>
      <c r="B657" s="45">
        <v>1281.55</v>
      </c>
      <c r="C657" s="105">
        <v>6460.45</v>
      </c>
      <c r="D657" s="5">
        <v>227.94</v>
      </c>
      <c r="E657" s="5">
        <v>505.75</v>
      </c>
      <c r="F657" s="45">
        <v>4006.6</v>
      </c>
      <c r="G657" s="5">
        <v>23349.9</v>
      </c>
      <c r="H657" s="5">
        <f t="shared" si="50"/>
        <v>-8.5759950103312386E-4</v>
      </c>
      <c r="I657" s="5">
        <f t="shared" si="50"/>
        <v>5.6975178436606475E-3</v>
      </c>
      <c r="J657" s="5">
        <f t="shared" si="50"/>
        <v>9.1198866654861096E-3</v>
      </c>
      <c r="K657" s="5">
        <f t="shared" si="49"/>
        <v>-4.8209366391184349E-3</v>
      </c>
      <c r="L657" s="5">
        <f t="shared" si="49"/>
        <v>-1.6917961992859925E-2</v>
      </c>
      <c r="M657" s="5">
        <f t="shared" si="49"/>
        <v>-7.1688245423814677E-3</v>
      </c>
      <c r="N657" s="5">
        <f t="shared" si="53"/>
        <v>-8.2855943577344569E-3</v>
      </c>
      <c r="O657" s="5">
        <f t="shared" si="51"/>
        <v>-2.2475010371581219E-3</v>
      </c>
      <c r="P657" s="79">
        <f t="shared" si="52"/>
        <v>-9.5496658681660238E-4</v>
      </c>
    </row>
    <row r="658" spans="1:16">
      <c r="A658" s="73">
        <v>45618</v>
      </c>
      <c r="B658" s="45">
        <v>1301.45</v>
      </c>
      <c r="C658" s="105">
        <v>6652.8</v>
      </c>
      <c r="D658" s="5">
        <v>234.39</v>
      </c>
      <c r="E658" s="5">
        <v>513</v>
      </c>
      <c r="F658" s="45">
        <v>3992.45</v>
      </c>
      <c r="G658" s="5">
        <v>23907.25</v>
      </c>
      <c r="H658" s="5">
        <f t="shared" si="50"/>
        <v>1.5528071475947166E-2</v>
      </c>
      <c r="I658" s="5">
        <f t="shared" si="50"/>
        <v>2.9773467792491293E-2</v>
      </c>
      <c r="J658" s="5">
        <f t="shared" si="50"/>
        <v>2.8296920242168941E-2</v>
      </c>
      <c r="K658" s="5">
        <f t="shared" si="49"/>
        <v>1.4335145823035097E-2</v>
      </c>
      <c r="L658" s="5">
        <f t="shared" si="49"/>
        <v>-3.5316727399790572E-3</v>
      </c>
      <c r="M658" s="5">
        <f t="shared" si="49"/>
        <v>2.3869481239748285E-2</v>
      </c>
      <c r="N658" s="5">
        <f t="shared" si="53"/>
        <v>7.6358256907818681E-3</v>
      </c>
      <c r="O658" s="5">
        <f t="shared" si="51"/>
        <v>1.6216858272835269E-2</v>
      </c>
      <c r="P658" s="79">
        <f t="shared" si="52"/>
        <v>1.781190087810133E-2</v>
      </c>
    </row>
    <row r="659" spans="1:16">
      <c r="A659" s="73">
        <v>45621</v>
      </c>
      <c r="B659" s="45">
        <v>1321.5</v>
      </c>
      <c r="C659" s="105">
        <v>6774.95</v>
      </c>
      <c r="D659" s="5">
        <v>241.22</v>
      </c>
      <c r="E659" s="5">
        <v>521.5</v>
      </c>
      <c r="F659" s="45">
        <v>4175.6000000000004</v>
      </c>
      <c r="G659" s="5">
        <v>24221.9</v>
      </c>
      <c r="H659" s="5">
        <f t="shared" si="50"/>
        <v>1.5405893426562645E-2</v>
      </c>
      <c r="I659" s="5">
        <f t="shared" si="50"/>
        <v>1.8360690235690182E-2</v>
      </c>
      <c r="J659" s="5">
        <f t="shared" si="50"/>
        <v>2.9139468407355318E-2</v>
      </c>
      <c r="K659" s="5">
        <f t="shared" si="49"/>
        <v>1.6569200779727095E-2</v>
      </c>
      <c r="L659" s="5">
        <f t="shared" si="49"/>
        <v>4.5874087339854111E-2</v>
      </c>
      <c r="M659" s="5">
        <f t="shared" si="49"/>
        <v>1.316127952817666E-2</v>
      </c>
      <c r="N659" s="5">
        <f t="shared" si="53"/>
        <v>3.0493925852105218E-2</v>
      </c>
      <c r="O659" s="5">
        <f t="shared" si="51"/>
        <v>1.7306794489227433E-2</v>
      </c>
      <c r="P659" s="79">
        <f t="shared" si="52"/>
        <v>1.7349593742033327E-2</v>
      </c>
    </row>
    <row r="660" spans="1:16">
      <c r="A660" s="73">
        <v>45622</v>
      </c>
      <c r="B660" s="45">
        <v>1365.95</v>
      </c>
      <c r="C660" s="105">
        <v>6669.35</v>
      </c>
      <c r="D660" s="5">
        <v>243.97</v>
      </c>
      <c r="E660" s="5">
        <v>525.35</v>
      </c>
      <c r="F660" s="45">
        <v>4234.1499999999996</v>
      </c>
      <c r="G660" s="5">
        <v>24194.5</v>
      </c>
      <c r="H660" s="5">
        <f t="shared" si="50"/>
        <v>3.3636019674612216E-2</v>
      </c>
      <c r="I660" s="5">
        <f t="shared" si="50"/>
        <v>-1.5586830899120947E-2</v>
      </c>
      <c r="J660" s="5">
        <f t="shared" si="50"/>
        <v>1.1400381394577564E-2</v>
      </c>
      <c r="K660" s="5">
        <f t="shared" si="49"/>
        <v>7.3825503355705131E-3</v>
      </c>
      <c r="L660" s="5">
        <f t="shared" si="49"/>
        <v>1.4021936967142271E-2</v>
      </c>
      <c r="M660" s="5">
        <f t="shared" si="49"/>
        <v>-1.1312077087264605E-3</v>
      </c>
      <c r="N660" s="5">
        <f t="shared" si="53"/>
        <v>1.7017005242188209E-2</v>
      </c>
      <c r="O660" s="5">
        <f t="shared" si="51"/>
        <v>1.5209203332105665E-2</v>
      </c>
      <c r="P660" s="79">
        <f t="shared" si="52"/>
        <v>1.4508271000711873E-2</v>
      </c>
    </row>
    <row r="661" spans="1:16">
      <c r="A661" s="73">
        <v>45623</v>
      </c>
      <c r="B661" s="45">
        <v>1370.3</v>
      </c>
      <c r="C661" s="105">
        <v>6845.1</v>
      </c>
      <c r="D661" s="5">
        <v>247.66</v>
      </c>
      <c r="E661" s="5">
        <v>527.5</v>
      </c>
      <c r="F661" s="45">
        <v>4469.6499999999996</v>
      </c>
      <c r="G661" s="5">
        <v>24274.9</v>
      </c>
      <c r="H661" s="5">
        <f t="shared" si="50"/>
        <v>3.184596800761308E-3</v>
      </c>
      <c r="I661" s="5">
        <f t="shared" si="50"/>
        <v>2.6351893362921423E-2</v>
      </c>
      <c r="J661" s="5">
        <f t="shared" si="50"/>
        <v>1.512481042751157E-2</v>
      </c>
      <c r="K661" s="5">
        <f t="shared" si="50"/>
        <v>4.0925097554011178E-3</v>
      </c>
      <c r="L661" s="5">
        <f t="shared" si="50"/>
        <v>5.5619191573279173E-2</v>
      </c>
      <c r="M661" s="5">
        <f t="shared" si="50"/>
        <v>3.3230692926078842E-3</v>
      </c>
      <c r="N661" s="5">
        <f t="shared" si="53"/>
        <v>2.9852667256445677E-2</v>
      </c>
      <c r="O661" s="5">
        <f t="shared" si="51"/>
        <v>7.3062327759040677E-3</v>
      </c>
      <c r="P661" s="79">
        <f t="shared" si="52"/>
        <v>8.1292072630189532E-3</v>
      </c>
    </row>
    <row r="662" spans="1:16">
      <c r="A662" s="73">
        <v>45624</v>
      </c>
      <c r="B662" s="45">
        <v>1362.25</v>
      </c>
      <c r="C662" s="105">
        <v>6743.2</v>
      </c>
      <c r="D662" s="5">
        <v>252.49</v>
      </c>
      <c r="E662" s="5">
        <v>526</v>
      </c>
      <c r="F662" s="45">
        <v>4521.55</v>
      </c>
      <c r="G662" s="5">
        <v>23914.15</v>
      </c>
      <c r="H662" s="5">
        <f t="shared" ref="H662:M704" si="54">(B662 - B661) / B661</f>
        <v>-5.8746259943077824E-3</v>
      </c>
      <c r="I662" s="5">
        <f t="shared" si="54"/>
        <v>-1.4886561189756255E-2</v>
      </c>
      <c r="J662" s="5">
        <f t="shared" si="54"/>
        <v>1.9502543810062233E-2</v>
      </c>
      <c r="K662" s="5">
        <f t="shared" si="54"/>
        <v>-2.843601895734597E-3</v>
      </c>
      <c r="L662" s="5">
        <f t="shared" si="54"/>
        <v>1.1611647444430896E-2</v>
      </c>
      <c r="M662" s="5">
        <f t="shared" si="54"/>
        <v>-1.4861029293632517E-2</v>
      </c>
      <c r="N662" s="5">
        <f t="shared" si="53"/>
        <v>2.8874140681893383E-3</v>
      </c>
      <c r="O662" s="5">
        <f t="shared" si="51"/>
        <v>-4.1637184720118127E-3</v>
      </c>
      <c r="P662" s="79">
        <f t="shared" si="52"/>
        <v>-4.4110659194505379E-3</v>
      </c>
    </row>
    <row r="663" spans="1:16">
      <c r="A663" s="73">
        <v>45625</v>
      </c>
      <c r="B663" s="45">
        <v>1410.85</v>
      </c>
      <c r="C663" s="105">
        <v>6795.4</v>
      </c>
      <c r="D663" s="5">
        <v>251.09</v>
      </c>
      <c r="E663" s="5">
        <v>527.15</v>
      </c>
      <c r="F663" s="45">
        <v>4594.1499999999996</v>
      </c>
      <c r="G663" s="5">
        <v>24131.1</v>
      </c>
      <c r="H663" s="5">
        <f t="shared" si="54"/>
        <v>3.5676270875389916E-2</v>
      </c>
      <c r="I663" s="5">
        <f t="shared" si="54"/>
        <v>7.7411318068572521E-3</v>
      </c>
      <c r="J663" s="5">
        <f t="shared" si="54"/>
        <v>-5.544774050457466E-3</v>
      </c>
      <c r="K663" s="5">
        <f t="shared" si="54"/>
        <v>2.1863117870722002E-3</v>
      </c>
      <c r="L663" s="5">
        <f t="shared" si="54"/>
        <v>1.6056440822284274E-2</v>
      </c>
      <c r="M663" s="5">
        <f t="shared" si="54"/>
        <v>9.072034757664273E-3</v>
      </c>
      <c r="N663" s="5">
        <f t="shared" si="53"/>
        <v>1.892580636103262E-2</v>
      </c>
      <c r="O663" s="5">
        <f t="shared" si="51"/>
        <v>1.5219908015897527E-2</v>
      </c>
      <c r="P663" s="79">
        <f t="shared" si="52"/>
        <v>1.5797751978761657E-2</v>
      </c>
    </row>
    <row r="664" spans="1:16">
      <c r="A664" s="73">
        <v>45628</v>
      </c>
      <c r="B664" s="45">
        <v>1433.45</v>
      </c>
      <c r="C664" s="105">
        <v>6805.3</v>
      </c>
      <c r="D664" s="5">
        <v>249.65</v>
      </c>
      <c r="E664" s="5">
        <v>523.9</v>
      </c>
      <c r="F664" s="45">
        <v>4545.25</v>
      </c>
      <c r="G664" s="5">
        <v>24276.05</v>
      </c>
      <c r="H664" s="5">
        <f t="shared" si="54"/>
        <v>1.6018712123897039E-2</v>
      </c>
      <c r="I664" s="5">
        <f t="shared" si="54"/>
        <v>1.4568678812138427E-3</v>
      </c>
      <c r="J664" s="5">
        <f t="shared" si="54"/>
        <v>-5.7349954199689265E-3</v>
      </c>
      <c r="K664" s="5">
        <f t="shared" si="54"/>
        <v>-6.1652281134401974E-3</v>
      </c>
      <c r="L664" s="5">
        <f t="shared" si="54"/>
        <v>-1.0643971137207022E-2</v>
      </c>
      <c r="M664" s="5">
        <f t="shared" si="54"/>
        <v>6.0067713448620549E-3</v>
      </c>
      <c r="N664" s="5">
        <f t="shared" si="53"/>
        <v>-1.1195134420062796E-3</v>
      </c>
      <c r="O664" s="5">
        <f t="shared" si="51"/>
        <v>2.6873777431511937E-3</v>
      </c>
      <c r="P664" s="79">
        <f t="shared" si="52"/>
        <v>3.6672050391355101E-3</v>
      </c>
    </row>
    <row r="665" spans="1:16">
      <c r="A665" s="73">
        <v>45629</v>
      </c>
      <c r="B665" s="45">
        <v>1425.9</v>
      </c>
      <c r="C665" s="105">
        <v>6841.35</v>
      </c>
      <c r="D665" s="5">
        <v>252.35</v>
      </c>
      <c r="E665" s="5">
        <v>522.54999999999995</v>
      </c>
      <c r="F665" s="45">
        <v>4704.8999999999996</v>
      </c>
      <c r="G665" s="5">
        <v>24457.15</v>
      </c>
      <c r="H665" s="5">
        <f t="shared" si="54"/>
        <v>-5.2670131500924021E-3</v>
      </c>
      <c r="I665" s="5">
        <f t="shared" si="54"/>
        <v>5.2973417777320885E-3</v>
      </c>
      <c r="J665" s="5">
        <f t="shared" si="54"/>
        <v>1.0815141197676702E-2</v>
      </c>
      <c r="K665" s="5">
        <f t="shared" si="54"/>
        <v>-2.576827638862422E-3</v>
      </c>
      <c r="L665" s="5">
        <f t="shared" si="54"/>
        <v>3.5124580606127193E-2</v>
      </c>
      <c r="M665" s="5">
        <f t="shared" si="54"/>
        <v>7.4600274756396606E-3</v>
      </c>
      <c r="N665" s="5">
        <f t="shared" si="53"/>
        <v>1.5264078442433708E-2</v>
      </c>
      <c r="O665" s="5">
        <f t="shared" si="51"/>
        <v>-1.6222631777459281E-3</v>
      </c>
      <c r="P665" s="79">
        <f t="shared" si="52"/>
        <v>-1.3676798157718864E-3</v>
      </c>
    </row>
    <row r="666" spans="1:16">
      <c r="A666" s="73">
        <v>45630</v>
      </c>
      <c r="B666" s="45">
        <v>1443.85</v>
      </c>
      <c r="C666" s="105">
        <v>6823.8</v>
      </c>
      <c r="D666" s="5">
        <v>251.35</v>
      </c>
      <c r="E666" s="5">
        <v>522.79999999999995</v>
      </c>
      <c r="F666" s="45">
        <v>4880.7</v>
      </c>
      <c r="G666" s="5">
        <v>24467.45</v>
      </c>
      <c r="H666" s="5">
        <f t="shared" si="54"/>
        <v>1.2588540570867394E-2</v>
      </c>
      <c r="I666" s="5">
        <f t="shared" si="54"/>
        <v>-2.5652831677958564E-3</v>
      </c>
      <c r="J666" s="5">
        <f t="shared" si="54"/>
        <v>-3.9627501486031308E-3</v>
      </c>
      <c r="K666" s="5">
        <f t="shared" si="54"/>
        <v>4.7842311740503308E-4</v>
      </c>
      <c r="L666" s="5">
        <f t="shared" si="54"/>
        <v>3.7365300006376376E-2</v>
      </c>
      <c r="M666" s="5">
        <f t="shared" si="54"/>
        <v>4.2114473681517558E-4</v>
      </c>
      <c r="N666" s="5">
        <f t="shared" si="53"/>
        <v>2.1193423502211373E-2</v>
      </c>
      <c r="O666" s="5">
        <f t="shared" si="51"/>
        <v>5.3816630203554032E-3</v>
      </c>
      <c r="P666" s="79">
        <f t="shared" si="52"/>
        <v>4.7875197283715823E-3</v>
      </c>
    </row>
    <row r="667" spans="1:16">
      <c r="A667" s="73">
        <v>45631</v>
      </c>
      <c r="B667" s="45">
        <v>1439.75</v>
      </c>
      <c r="C667" s="105">
        <v>6970.1</v>
      </c>
      <c r="D667" s="5">
        <v>251.8</v>
      </c>
      <c r="E667" s="5">
        <v>523.15</v>
      </c>
      <c r="F667" s="45">
        <v>4861.55</v>
      </c>
      <c r="G667" s="5">
        <v>24708.400000000001</v>
      </c>
      <c r="H667" s="5">
        <f t="shared" si="54"/>
        <v>-2.8396301554870032E-3</v>
      </c>
      <c r="I667" s="5">
        <f t="shared" si="54"/>
        <v>2.1439667047686066E-2</v>
      </c>
      <c r="J667" s="5">
        <f t="shared" si="54"/>
        <v>1.7903322060871974E-3</v>
      </c>
      <c r="K667" s="5">
        <f t="shared" si="54"/>
        <v>6.6947207345069394E-4</v>
      </c>
      <c r="L667" s="5">
        <f t="shared" si="54"/>
        <v>-3.9236175138811311E-3</v>
      </c>
      <c r="M667" s="5">
        <f t="shared" si="54"/>
        <v>9.8477773531774147E-3</v>
      </c>
      <c r="N667" s="5">
        <f t="shared" si="53"/>
        <v>-1.1805803449678413E-3</v>
      </c>
      <c r="O667" s="5">
        <f t="shared" si="51"/>
        <v>1.2533571649162732E-3</v>
      </c>
      <c r="P667" s="79">
        <f t="shared" si="52"/>
        <v>2.4475475435645163E-3</v>
      </c>
    </row>
    <row r="668" spans="1:16">
      <c r="A668" s="73">
        <v>45632</v>
      </c>
      <c r="B668" s="45">
        <v>1447</v>
      </c>
      <c r="C668" s="105">
        <v>6999.95</v>
      </c>
      <c r="D668" s="5">
        <v>249.05</v>
      </c>
      <c r="E668" s="5">
        <v>523.79999999999995</v>
      </c>
      <c r="F668" s="45">
        <v>4879.3999999999996</v>
      </c>
      <c r="G668" s="5">
        <v>24677.8</v>
      </c>
      <c r="H668" s="5">
        <f t="shared" si="54"/>
        <v>5.0355964577183535E-3</v>
      </c>
      <c r="I668" s="5">
        <f t="shared" si="54"/>
        <v>4.2825784422030463E-3</v>
      </c>
      <c r="J668" s="5">
        <f t="shared" si="54"/>
        <v>-1.0921366163621922E-2</v>
      </c>
      <c r="K668" s="5">
        <f t="shared" si="54"/>
        <v>1.242473477969946E-3</v>
      </c>
      <c r="L668" s="5">
        <f t="shared" si="54"/>
        <v>3.6716685007866737E-3</v>
      </c>
      <c r="M668" s="5">
        <f t="shared" si="54"/>
        <v>-1.2384452251057204E-3</v>
      </c>
      <c r="N668" s="5">
        <f t="shared" si="53"/>
        <v>3.3960174398735654E-3</v>
      </c>
      <c r="O668" s="5">
        <f t="shared" si="51"/>
        <v>2.6542383544010074E-3</v>
      </c>
      <c r="P668" s="79">
        <f t="shared" si="52"/>
        <v>2.4861193467094985E-3</v>
      </c>
    </row>
    <row r="669" spans="1:16">
      <c r="A669" s="73">
        <v>45635</v>
      </c>
      <c r="B669" s="45">
        <v>1448.25</v>
      </c>
      <c r="C669" s="105">
        <v>6949.7</v>
      </c>
      <c r="D669" s="5">
        <v>249.55</v>
      </c>
      <c r="E669" s="5">
        <v>506.85</v>
      </c>
      <c r="F669" s="45">
        <v>4888.2</v>
      </c>
      <c r="G669" s="5">
        <v>24619</v>
      </c>
      <c r="H669" s="5">
        <f t="shared" si="54"/>
        <v>8.6385625431928132E-4</v>
      </c>
      <c r="I669" s="5">
        <f t="shared" si="54"/>
        <v>-7.1786227044478889E-3</v>
      </c>
      <c r="J669" s="5">
        <f t="shared" si="54"/>
        <v>2.0076289901626177E-3</v>
      </c>
      <c r="K669" s="5">
        <f t="shared" si="54"/>
        <v>-3.2359679266895633E-2</v>
      </c>
      <c r="L669" s="5">
        <f t="shared" si="54"/>
        <v>1.8035004303808219E-3</v>
      </c>
      <c r="M669" s="5">
        <f t="shared" si="54"/>
        <v>-2.3827083451522938E-3</v>
      </c>
      <c r="N669" s="5">
        <f t="shared" si="53"/>
        <v>-3.7355002079688228E-3</v>
      </c>
      <c r="O669" s="5">
        <f t="shared" si="51"/>
        <v>-1.5964734067146404E-2</v>
      </c>
      <c r="P669" s="79">
        <f t="shared" si="52"/>
        <v>-1.3259280492787014E-2</v>
      </c>
    </row>
    <row r="670" spans="1:16">
      <c r="A670" s="73">
        <v>45636</v>
      </c>
      <c r="B670" s="45">
        <v>1435.25</v>
      </c>
      <c r="C670" s="105">
        <v>6878.05</v>
      </c>
      <c r="D670" s="5">
        <v>248.6</v>
      </c>
      <c r="E670" s="5">
        <v>506.95</v>
      </c>
      <c r="F670" s="45">
        <v>4873.7</v>
      </c>
      <c r="G670" s="5">
        <v>24610.05</v>
      </c>
      <c r="H670" s="5">
        <f t="shared" si="54"/>
        <v>-8.9763507681684795E-3</v>
      </c>
      <c r="I670" s="5">
        <f t="shared" si="54"/>
        <v>-1.0309797545217728E-2</v>
      </c>
      <c r="J670" s="5">
        <f t="shared" si="54"/>
        <v>-3.8068523342016311E-3</v>
      </c>
      <c r="K670" s="5">
        <f t="shared" si="54"/>
        <v>1.9729703067962096E-4</v>
      </c>
      <c r="L670" s="5">
        <f t="shared" si="54"/>
        <v>-2.9663270733603373E-3</v>
      </c>
      <c r="M670" s="5">
        <f t="shared" si="54"/>
        <v>-3.6354035501038739E-4</v>
      </c>
      <c r="N670" s="5">
        <f t="shared" si="53"/>
        <v>-4.8315318642925291E-3</v>
      </c>
      <c r="O670" s="5">
        <f t="shared" si="51"/>
        <v>-4.3735022276768822E-3</v>
      </c>
      <c r="P670" s="79">
        <f t="shared" si="52"/>
        <v>-5.2388801728326558E-3</v>
      </c>
    </row>
    <row r="671" spans="1:16">
      <c r="A671" s="73">
        <v>45637</v>
      </c>
      <c r="B671" s="45">
        <v>1447.5</v>
      </c>
      <c r="C671" s="105">
        <v>7063.3</v>
      </c>
      <c r="D671" s="5">
        <v>253.7</v>
      </c>
      <c r="E671" s="5">
        <v>508.35</v>
      </c>
      <c r="F671" s="45">
        <v>4922.3500000000004</v>
      </c>
      <c r="G671" s="5">
        <v>24641.8</v>
      </c>
      <c r="H671" s="5">
        <f t="shared" si="54"/>
        <v>8.535098414910295E-3</v>
      </c>
      <c r="I671" s="5">
        <f t="shared" si="54"/>
        <v>2.693350586285357E-2</v>
      </c>
      <c r="J671" s="5">
        <f t="shared" si="54"/>
        <v>2.051488334674173E-2</v>
      </c>
      <c r="K671" s="5">
        <f t="shared" si="54"/>
        <v>2.7616135713581895E-3</v>
      </c>
      <c r="L671" s="5">
        <f t="shared" si="54"/>
        <v>9.9821490859102018E-3</v>
      </c>
      <c r="M671" s="5">
        <f t="shared" si="54"/>
        <v>1.29012334391844E-3</v>
      </c>
      <c r="N671" s="5">
        <f t="shared" si="53"/>
        <v>9.9332145205087881E-3</v>
      </c>
      <c r="O671" s="5">
        <f t="shared" si="51"/>
        <v>7.8280768869619377E-3</v>
      </c>
      <c r="P671" s="79">
        <f t="shared" si="52"/>
        <v>9.762793553740004E-3</v>
      </c>
    </row>
    <row r="672" spans="1:16">
      <c r="A672" s="73">
        <v>45638</v>
      </c>
      <c r="B672" s="45">
        <v>1429.8</v>
      </c>
      <c r="C672" s="105">
        <v>7012.5</v>
      </c>
      <c r="D672" s="5">
        <v>244.5</v>
      </c>
      <c r="E672" s="5">
        <v>506.65</v>
      </c>
      <c r="F672" s="45">
        <v>4955.75</v>
      </c>
      <c r="G672" s="5">
        <v>24548.7</v>
      </c>
      <c r="H672" s="5">
        <f t="shared" si="54"/>
        <v>-1.2227979274611431E-2</v>
      </c>
      <c r="I672" s="5">
        <f t="shared" si="54"/>
        <v>-7.1921056729857408E-3</v>
      </c>
      <c r="J672" s="5">
        <f t="shared" si="54"/>
        <v>-3.6263303113914028E-2</v>
      </c>
      <c r="K672" s="5">
        <f t="shared" si="54"/>
        <v>-3.3441526507328521E-3</v>
      </c>
      <c r="L672" s="5">
        <f t="shared" si="54"/>
        <v>6.785376903308305E-3</v>
      </c>
      <c r="M672" s="5">
        <f t="shared" si="54"/>
        <v>-3.77813309092674E-3</v>
      </c>
      <c r="N672" s="5">
        <f t="shared" si="53"/>
        <v>-2.3623218855091067E-3</v>
      </c>
      <c r="O672" s="5">
        <f t="shared" si="51"/>
        <v>-7.6794177278832173E-3</v>
      </c>
      <c r="P672" s="79">
        <f t="shared" si="52"/>
        <v>-9.2724956137686335E-3</v>
      </c>
    </row>
    <row r="673" spans="1:16">
      <c r="A673" s="73">
        <v>45639</v>
      </c>
      <c r="B673" s="45">
        <v>1432.45</v>
      </c>
      <c r="C673" s="105">
        <v>7000.25</v>
      </c>
      <c r="D673" s="5">
        <v>242.75</v>
      </c>
      <c r="E673" s="5">
        <v>512.79999999999995</v>
      </c>
      <c r="F673" s="45">
        <v>4849.8999999999996</v>
      </c>
      <c r="G673" s="5">
        <v>24768.3</v>
      </c>
      <c r="H673" s="5">
        <f t="shared" si="54"/>
        <v>1.8534060707791936E-3</v>
      </c>
      <c r="I673" s="5">
        <f t="shared" si="54"/>
        <v>-1.7468805704099822E-3</v>
      </c>
      <c r="J673" s="5">
        <f t="shared" si="54"/>
        <v>-7.1574642126789366E-3</v>
      </c>
      <c r="K673" s="5">
        <f t="shared" si="54"/>
        <v>1.2138557189381186E-2</v>
      </c>
      <c r="L673" s="5">
        <f t="shared" si="54"/>
        <v>-2.1359027392423017E-2</v>
      </c>
      <c r="M673" s="5">
        <f t="shared" si="54"/>
        <v>8.9454838749098136E-3</v>
      </c>
      <c r="N673" s="5">
        <f t="shared" si="53"/>
        <v>-8.1580380299105179E-3</v>
      </c>
      <c r="O673" s="5">
        <f t="shared" si="51"/>
        <v>5.7396356245409301E-3</v>
      </c>
      <c r="P673" s="79">
        <f t="shared" si="52"/>
        <v>4.6230773092387351E-3</v>
      </c>
    </row>
    <row r="674" spans="1:16">
      <c r="A674" s="73">
        <v>45642</v>
      </c>
      <c r="B674" s="45">
        <v>1435.35</v>
      </c>
      <c r="C674" s="105">
        <v>7000.35</v>
      </c>
      <c r="D674" s="5">
        <v>247.6</v>
      </c>
      <c r="E674" s="5">
        <v>509.95</v>
      </c>
      <c r="F674" s="45">
        <v>5030.6499999999996</v>
      </c>
      <c r="G674" s="5">
        <v>24668.25</v>
      </c>
      <c r="H674" s="5">
        <f t="shared" si="54"/>
        <v>2.0245034730705181E-3</v>
      </c>
      <c r="I674" s="5">
        <f t="shared" si="54"/>
        <v>1.4285204099905547E-5</v>
      </c>
      <c r="J674" s="5">
        <f t="shared" si="54"/>
        <v>1.9979402677651883E-2</v>
      </c>
      <c r="K674" s="5">
        <f t="shared" si="54"/>
        <v>-5.5577223088922895E-3</v>
      </c>
      <c r="L674" s="5">
        <f t="shared" si="54"/>
        <v>3.7268809666178689E-2</v>
      </c>
      <c r="M674" s="5">
        <f t="shared" si="54"/>
        <v>-4.0394375068131148E-3</v>
      </c>
      <c r="N674" s="5">
        <f t="shared" si="53"/>
        <v>1.7959266449200172E-2</v>
      </c>
      <c r="O674" s="5">
        <f t="shared" si="51"/>
        <v>-5.6369824043343939E-4</v>
      </c>
      <c r="P674" s="79">
        <f t="shared" si="52"/>
        <v>8.8689271989582743E-5</v>
      </c>
    </row>
    <row r="675" spans="1:16">
      <c r="A675" s="73">
        <v>45643</v>
      </c>
      <c r="B675" s="45">
        <v>1412.55</v>
      </c>
      <c r="C675" s="105">
        <v>6941.65</v>
      </c>
      <c r="D675" s="5">
        <v>242.35</v>
      </c>
      <c r="E675" s="5">
        <v>505.4</v>
      </c>
      <c r="F675" s="45">
        <v>5311.25</v>
      </c>
      <c r="G675" s="5">
        <v>24336</v>
      </c>
      <c r="H675" s="5">
        <f t="shared" si="54"/>
        <v>-1.5884627442783961E-2</v>
      </c>
      <c r="I675" s="5">
        <f t="shared" si="54"/>
        <v>-8.3852950209633414E-3</v>
      </c>
      <c r="J675" s="5">
        <f t="shared" si="54"/>
        <v>-2.1203554119547659E-2</v>
      </c>
      <c r="K675" s="5">
        <f t="shared" si="54"/>
        <v>-8.9224433768016701E-3</v>
      </c>
      <c r="L675" s="5">
        <f t="shared" si="54"/>
        <v>5.5778080367348229E-2</v>
      </c>
      <c r="M675" s="5">
        <f t="shared" si="54"/>
        <v>-1.3468730047733423E-2</v>
      </c>
      <c r="N675" s="5">
        <f t="shared" si="53"/>
        <v>1.9209489225035604E-2</v>
      </c>
      <c r="O675" s="5">
        <f t="shared" si="51"/>
        <v>-1.0346352270224762E-2</v>
      </c>
      <c r="P675" s="79">
        <f t="shared" si="52"/>
        <v>-1.1801189344084948E-2</v>
      </c>
    </row>
    <row r="676" spans="1:16">
      <c r="A676" s="73">
        <v>45644</v>
      </c>
      <c r="B676" s="45">
        <v>1380.05</v>
      </c>
      <c r="C676" s="105">
        <v>7113.75</v>
      </c>
      <c r="D676" s="5">
        <v>239.85</v>
      </c>
      <c r="E676" s="5">
        <v>505.4</v>
      </c>
      <c r="F676" s="45">
        <v>5100.7</v>
      </c>
      <c r="G676" s="5">
        <v>24198.85</v>
      </c>
      <c r="H676" s="5">
        <f t="shared" si="54"/>
        <v>-2.300803511380128E-2</v>
      </c>
      <c r="I676" s="5">
        <f t="shared" si="54"/>
        <v>2.4792376452284454E-2</v>
      </c>
      <c r="J676" s="5">
        <f t="shared" si="54"/>
        <v>-1.0315659170621003E-2</v>
      </c>
      <c r="K676" s="5">
        <f t="shared" si="54"/>
        <v>0</v>
      </c>
      <c r="L676" s="5">
        <f t="shared" si="54"/>
        <v>-3.9642268769122184E-2</v>
      </c>
      <c r="M676" s="5">
        <f t="shared" si="54"/>
        <v>-5.6356837606838205E-3</v>
      </c>
      <c r="N676" s="5">
        <f t="shared" si="53"/>
        <v>-2.4277514719298163E-2</v>
      </c>
      <c r="O676" s="5">
        <f t="shared" si="51"/>
        <v>-7.3619491385117841E-3</v>
      </c>
      <c r="P676" s="79">
        <f t="shared" si="52"/>
        <v>-6.2042664729923163E-3</v>
      </c>
    </row>
    <row r="677" spans="1:16">
      <c r="A677" s="73">
        <v>45645</v>
      </c>
      <c r="B677" s="45">
        <v>1368.3</v>
      </c>
      <c r="C677" s="105">
        <v>7092</v>
      </c>
      <c r="D677" s="5">
        <v>242.25</v>
      </c>
      <c r="E677" s="5">
        <v>503.95</v>
      </c>
      <c r="F677" s="45">
        <v>5038.8</v>
      </c>
      <c r="G677" s="5">
        <v>23951.7</v>
      </c>
      <c r="H677" s="5">
        <f t="shared" si="54"/>
        <v>-8.5141842686859183E-3</v>
      </c>
      <c r="I677" s="5">
        <f t="shared" si="54"/>
        <v>-3.0574591460200318E-3</v>
      </c>
      <c r="J677" s="5">
        <f t="shared" si="54"/>
        <v>1.0006253908692957E-2</v>
      </c>
      <c r="K677" s="5">
        <f t="shared" si="54"/>
        <v>-2.869014641867805E-3</v>
      </c>
      <c r="L677" s="5">
        <f t="shared" si="54"/>
        <v>-1.2135589232850323E-2</v>
      </c>
      <c r="M677" s="5">
        <f t="shared" si="54"/>
        <v>-1.0213295259898624E-2</v>
      </c>
      <c r="N677" s="5">
        <f t="shared" si="53"/>
        <v>-8.6000382613281579E-3</v>
      </c>
      <c r="O677" s="5">
        <f t="shared" si="51"/>
        <v>-4.8317177362977035E-3</v>
      </c>
      <c r="P677" s="79">
        <f t="shared" si="52"/>
        <v>-4.4201951312419323E-3</v>
      </c>
    </row>
    <row r="678" spans="1:16">
      <c r="A678" s="73">
        <v>45646</v>
      </c>
      <c r="B678" s="45">
        <v>1342.25</v>
      </c>
      <c r="C678" s="105">
        <v>6831.55</v>
      </c>
      <c r="D678" s="5">
        <v>235.3</v>
      </c>
      <c r="E678" s="5">
        <v>502.55</v>
      </c>
      <c r="F678" s="45">
        <v>4724.1000000000004</v>
      </c>
      <c r="G678" s="5">
        <v>23587.5</v>
      </c>
      <c r="H678" s="5">
        <f t="shared" si="54"/>
        <v>-1.903822261200026E-2</v>
      </c>
      <c r="I678" s="5">
        <f t="shared" si="54"/>
        <v>-3.6724478285391965E-2</v>
      </c>
      <c r="J678" s="5">
        <f t="shared" si="54"/>
        <v>-2.8689370485036073E-2</v>
      </c>
      <c r="K678" s="5">
        <f t="shared" si="54"/>
        <v>-2.7780533783112954E-3</v>
      </c>
      <c r="L678" s="5">
        <f t="shared" si="54"/>
        <v>-6.2455346511074025E-2</v>
      </c>
      <c r="M678" s="5">
        <f t="shared" si="54"/>
        <v>-1.520560127256106E-2</v>
      </c>
      <c r="N678" s="5">
        <f t="shared" si="53"/>
        <v>-3.8684993893624037E-2</v>
      </c>
      <c r="O678" s="5">
        <f t="shared" si="51"/>
        <v>-1.4047587905289342E-2</v>
      </c>
      <c r="P678" s="79">
        <f t="shared" si="52"/>
        <v>-1.6242652965001346E-2</v>
      </c>
    </row>
    <row r="679" spans="1:16">
      <c r="A679" s="73">
        <v>45649</v>
      </c>
      <c r="B679" s="45">
        <v>1334.1</v>
      </c>
      <c r="C679" s="105">
        <v>6946</v>
      </c>
      <c r="D679" s="5">
        <v>240.95</v>
      </c>
      <c r="E679" s="5">
        <v>509.5</v>
      </c>
      <c r="F679" s="45">
        <v>4674.1499999999996</v>
      </c>
      <c r="G679" s="5">
        <v>23753.45</v>
      </c>
      <c r="H679" s="5">
        <f t="shared" si="54"/>
        <v>-6.0718942074874955E-3</v>
      </c>
      <c r="I679" s="5">
        <f t="shared" si="54"/>
        <v>1.6753152652033552E-2</v>
      </c>
      <c r="J679" s="5">
        <f t="shared" si="54"/>
        <v>2.401189970250734E-2</v>
      </c>
      <c r="K679" s="5">
        <f t="shared" si="54"/>
        <v>1.3829469704506991E-2</v>
      </c>
      <c r="L679" s="5">
        <f t="shared" si="54"/>
        <v>-1.0573442560487865E-2</v>
      </c>
      <c r="M679" s="5">
        <f t="shared" si="54"/>
        <v>7.0355060943296547E-3</v>
      </c>
      <c r="N679" s="5">
        <f t="shared" si="53"/>
        <v>-3.1888394982664213E-3</v>
      </c>
      <c r="O679" s="5">
        <f t="shared" si="51"/>
        <v>6.4636327280404087E-3</v>
      </c>
      <c r="P679" s="79">
        <f t="shared" si="52"/>
        <v>6.8831908902597175E-3</v>
      </c>
    </row>
    <row r="680" spans="1:16">
      <c r="A680" s="73">
        <v>45650</v>
      </c>
      <c r="B680" s="45">
        <v>1361.5</v>
      </c>
      <c r="C680" s="105">
        <v>7007.15</v>
      </c>
      <c r="D680" s="5">
        <v>239.35</v>
      </c>
      <c r="E680" s="5">
        <v>509.95</v>
      </c>
      <c r="F680" s="45">
        <v>4629.5</v>
      </c>
      <c r="G680" s="5">
        <v>23727.65</v>
      </c>
      <c r="H680" s="5">
        <f t="shared" si="54"/>
        <v>2.0538190540439316E-2</v>
      </c>
      <c r="I680" s="5">
        <f t="shared" si="54"/>
        <v>8.8036279873307862E-3</v>
      </c>
      <c r="J680" s="5">
        <f t="shared" si="54"/>
        <v>-6.6403818219547394E-3</v>
      </c>
      <c r="K680" s="5">
        <f t="shared" si="54"/>
        <v>8.8321884200194035E-4</v>
      </c>
      <c r="L680" s="5">
        <f t="shared" si="54"/>
        <v>-9.5525389643035929E-3</v>
      </c>
      <c r="M680" s="5">
        <f t="shared" si="54"/>
        <v>-1.0861580107310422E-3</v>
      </c>
      <c r="N680" s="5">
        <f t="shared" si="53"/>
        <v>2.1667123388256554E-3</v>
      </c>
      <c r="O680" s="5">
        <f t="shared" si="51"/>
        <v>8.4746489544542582E-3</v>
      </c>
      <c r="P680" s="79">
        <f t="shared" si="52"/>
        <v>9.253636373489818E-3</v>
      </c>
    </row>
    <row r="681" spans="1:16">
      <c r="A681" s="73">
        <v>45652</v>
      </c>
      <c r="B681" s="45">
        <v>1350.45</v>
      </c>
      <c r="C681" s="105">
        <v>7063.7</v>
      </c>
      <c r="D681" s="5">
        <v>241.75</v>
      </c>
      <c r="E681" s="5">
        <v>505.6</v>
      </c>
      <c r="F681" s="45">
        <v>4729.75</v>
      </c>
      <c r="G681" s="5">
        <v>23750.2</v>
      </c>
      <c r="H681" s="5">
        <f t="shared" si="54"/>
        <v>-8.1160484759456152E-3</v>
      </c>
      <c r="I681" s="5">
        <f t="shared" si="54"/>
        <v>8.0703281648031207E-3</v>
      </c>
      <c r="J681" s="5">
        <f t="shared" si="54"/>
        <v>1.0027156883225426E-2</v>
      </c>
      <c r="K681" s="5">
        <f t="shared" si="54"/>
        <v>-8.5302480635355733E-3</v>
      </c>
      <c r="L681" s="5">
        <f t="shared" si="54"/>
        <v>2.165460632897721E-2</v>
      </c>
      <c r="M681" s="5">
        <f t="shared" si="54"/>
        <v>9.5036803054660999E-4</v>
      </c>
      <c r="N681" s="5">
        <f t="shared" si="53"/>
        <v>7.3978809666898999E-3</v>
      </c>
      <c r="O681" s="5">
        <f t="shared" si="51"/>
        <v>-5.6286968302144656E-3</v>
      </c>
      <c r="P681" s="79">
        <f t="shared" si="52"/>
        <v>-4.544702588701148E-3</v>
      </c>
    </row>
    <row r="682" spans="1:16">
      <c r="A682" s="73">
        <v>45653</v>
      </c>
      <c r="B682" s="45">
        <v>1381.3</v>
      </c>
      <c r="C682" s="105">
        <v>7118.3</v>
      </c>
      <c r="D682" s="5">
        <v>235.4</v>
      </c>
      <c r="E682" s="5">
        <v>507.15</v>
      </c>
      <c r="F682" s="45">
        <v>2317.4</v>
      </c>
      <c r="G682" s="5">
        <v>23813.4</v>
      </c>
      <c r="H682" s="5">
        <f t="shared" si="54"/>
        <v>2.2844237106149735E-2</v>
      </c>
      <c r="I682" s="5">
        <f t="shared" si="54"/>
        <v>7.7296600931523653E-3</v>
      </c>
      <c r="J682" s="5">
        <f t="shared" si="54"/>
        <v>-2.6266804550155096E-2</v>
      </c>
      <c r="K682" s="5">
        <f t="shared" si="54"/>
        <v>3.0656645569619354E-3</v>
      </c>
      <c r="L682" s="5">
        <f t="shared" si="54"/>
        <v>-0.51003752841059247</v>
      </c>
      <c r="M682" s="5">
        <f t="shared" si="54"/>
        <v>2.6610302229034166E-3</v>
      </c>
      <c r="N682" s="5">
        <f t="shared" si="53"/>
        <v>-0.23348492478599084</v>
      </c>
      <c r="O682" s="5">
        <f t="shared" si="51"/>
        <v>-1.4238077444150166E-3</v>
      </c>
      <c r="P682" s="79">
        <f t="shared" si="52"/>
        <v>5.8593206308915173E-3</v>
      </c>
    </row>
    <row r="683" spans="1:16">
      <c r="A683" s="73">
        <v>45656</v>
      </c>
      <c r="B683" s="45">
        <v>1388.9</v>
      </c>
      <c r="C683" s="105">
        <v>6954.35</v>
      </c>
      <c r="D683" s="5">
        <v>225.6</v>
      </c>
      <c r="E683" s="5">
        <v>505.25</v>
      </c>
      <c r="F683" s="45">
        <v>2269.0500000000002</v>
      </c>
      <c r="G683" s="5">
        <v>23644.9</v>
      </c>
      <c r="H683" s="5">
        <f t="shared" si="54"/>
        <v>5.5020632737277468E-3</v>
      </c>
      <c r="I683" s="5">
        <f t="shared" si="54"/>
        <v>-2.3032184650829526E-2</v>
      </c>
      <c r="J683" s="5">
        <f t="shared" si="54"/>
        <v>-4.1631265930331396E-2</v>
      </c>
      <c r="K683" s="5">
        <f t="shared" si="54"/>
        <v>-3.7464261066745093E-3</v>
      </c>
      <c r="L683" s="5">
        <f t="shared" si="54"/>
        <v>-2.0863899197376329E-2</v>
      </c>
      <c r="M683" s="5">
        <f t="shared" si="54"/>
        <v>-7.0758480519371439E-3</v>
      </c>
      <c r="N683" s="5">
        <f t="shared" si="53"/>
        <v>-1.1303873398406338E-2</v>
      </c>
      <c r="O683" s="5">
        <f t="shared" si="51"/>
        <v>-3.5595120930682223E-3</v>
      </c>
      <c r="P683" s="79">
        <f t="shared" si="52"/>
        <v>-5.3902197894557004E-3</v>
      </c>
    </row>
    <row r="684" spans="1:16">
      <c r="A684" s="73">
        <v>45657</v>
      </c>
      <c r="B684" s="45">
        <v>1374.9</v>
      </c>
      <c r="C684" s="105">
        <v>7123.35</v>
      </c>
      <c r="D684" s="5">
        <v>229.4</v>
      </c>
      <c r="E684" s="5">
        <v>507</v>
      </c>
      <c r="F684" s="45">
        <v>2227.8000000000002</v>
      </c>
      <c r="G684" s="5">
        <v>23644.799999999999</v>
      </c>
      <c r="H684" s="5">
        <f t="shared" si="54"/>
        <v>-1.0079919360645114E-2</v>
      </c>
      <c r="I684" s="5">
        <f t="shared" si="54"/>
        <v>2.4301336573511544E-2</v>
      </c>
      <c r="J684" s="5">
        <f t="shared" si="54"/>
        <v>1.6843971631205726E-2</v>
      </c>
      <c r="K684" s="5">
        <f t="shared" si="54"/>
        <v>3.4636318654131617E-3</v>
      </c>
      <c r="L684" s="5">
        <f t="shared" si="54"/>
        <v>-1.8179414292324982E-2</v>
      </c>
      <c r="M684" s="5">
        <f t="shared" si="54"/>
        <v>-4.2292418239105594E-6</v>
      </c>
      <c r="N684" s="5">
        <f t="shared" si="53"/>
        <v>-9.1051674371778763E-3</v>
      </c>
      <c r="O684" s="5">
        <f t="shared" si="51"/>
        <v>2.9128682999672963E-4</v>
      </c>
      <c r="P684" s="79">
        <f t="shared" si="52"/>
        <v>1.912587027041809E-3</v>
      </c>
    </row>
    <row r="685" spans="1:16">
      <c r="A685" s="73">
        <v>45658</v>
      </c>
      <c r="B685" s="45">
        <v>1397</v>
      </c>
      <c r="C685" s="105">
        <v>7068.05</v>
      </c>
      <c r="D685" s="5">
        <v>233.23</v>
      </c>
      <c r="E685" s="5">
        <v>510.95</v>
      </c>
      <c r="F685" s="45">
        <v>2243.8000000000002</v>
      </c>
      <c r="G685" s="5">
        <v>23742.9</v>
      </c>
      <c r="H685" s="5">
        <f t="shared" si="54"/>
        <v>1.6073896283365995E-2</v>
      </c>
      <c r="I685" s="5">
        <f t="shared" si="54"/>
        <v>-7.7632013027578569E-3</v>
      </c>
      <c r="J685" s="5">
        <f t="shared" si="54"/>
        <v>1.6695727986050495E-2</v>
      </c>
      <c r="K685" s="5">
        <f t="shared" si="54"/>
        <v>7.7909270216962303E-3</v>
      </c>
      <c r="L685" s="5">
        <f t="shared" si="54"/>
        <v>7.1819732471496535E-3</v>
      </c>
      <c r="M685" s="5">
        <f t="shared" si="54"/>
        <v>4.1489037758831622E-3</v>
      </c>
      <c r="N685" s="5">
        <f t="shared" si="53"/>
        <v>9.2246535610148069E-3</v>
      </c>
      <c r="O685" s="5">
        <f t="shared" si="51"/>
        <v>9.6276486958036412E-3</v>
      </c>
      <c r="P685" s="79">
        <f t="shared" si="52"/>
        <v>9.2208184512411195E-3</v>
      </c>
    </row>
    <row r="686" spans="1:16">
      <c r="A686" s="73">
        <v>45659</v>
      </c>
      <c r="B686" s="45">
        <v>1421.6</v>
      </c>
      <c r="C686" s="105">
        <v>7321</v>
      </c>
      <c r="D686" s="5">
        <v>232.74</v>
      </c>
      <c r="E686" s="5">
        <v>513.35</v>
      </c>
      <c r="F686" s="45">
        <v>2253.8000000000002</v>
      </c>
      <c r="G686" s="5">
        <v>24188.65</v>
      </c>
      <c r="H686" s="5">
        <f t="shared" si="54"/>
        <v>1.760916249105219E-2</v>
      </c>
      <c r="I686" s="5">
        <f t="shared" si="54"/>
        <v>3.578780568898067E-2</v>
      </c>
      <c r="J686" s="5">
        <f t="shared" si="54"/>
        <v>-2.1009304120395349E-3</v>
      </c>
      <c r="K686" s="5">
        <f t="shared" si="54"/>
        <v>4.6971327918583702E-3</v>
      </c>
      <c r="L686" s="5">
        <f t="shared" si="54"/>
        <v>4.456725198324271E-3</v>
      </c>
      <c r="M686" s="5">
        <f t="shared" si="54"/>
        <v>1.8774033500541212E-2</v>
      </c>
      <c r="N686" s="5">
        <f t="shared" si="53"/>
        <v>1.0279317486766694E-2</v>
      </c>
      <c r="O686" s="5">
        <f t="shared" si="51"/>
        <v>1.2219030870021859E-2</v>
      </c>
      <c r="P686" s="79">
        <f t="shared" si="52"/>
        <v>1.4028687571867727E-2</v>
      </c>
    </row>
    <row r="687" spans="1:16">
      <c r="A687" s="73">
        <v>45660</v>
      </c>
      <c r="B687" s="45">
        <v>1460.8</v>
      </c>
      <c r="C687" s="105">
        <v>7307.7</v>
      </c>
      <c r="D687" s="5">
        <v>230.06</v>
      </c>
      <c r="E687" s="5">
        <v>524.9</v>
      </c>
      <c r="F687" s="45">
        <v>2236.9</v>
      </c>
      <c r="G687" s="5">
        <v>24004.75</v>
      </c>
      <c r="H687" s="5">
        <f t="shared" si="54"/>
        <v>2.7574563871693901E-2</v>
      </c>
      <c r="I687" s="5">
        <f t="shared" si="54"/>
        <v>-1.8166917087829779E-3</v>
      </c>
      <c r="J687" s="5">
        <f t="shared" si="54"/>
        <v>-1.1514995273695998E-2</v>
      </c>
      <c r="K687" s="5">
        <f t="shared" si="54"/>
        <v>2.2499269504236787E-2</v>
      </c>
      <c r="L687" s="5">
        <f t="shared" si="54"/>
        <v>-7.4984470671754771E-3</v>
      </c>
      <c r="M687" s="5">
        <f t="shared" si="54"/>
        <v>-7.6027393012839265E-3</v>
      </c>
      <c r="N687" s="5">
        <f t="shared" si="53"/>
        <v>7.3945567062726203E-3</v>
      </c>
      <c r="O687" s="5">
        <f t="shared" si="51"/>
        <v>2.0484579040196797E-2</v>
      </c>
      <c r="P687" s="79">
        <f t="shared" si="52"/>
        <v>1.8593641196489312E-2</v>
      </c>
    </row>
    <row r="688" spans="1:16">
      <c r="A688" s="73">
        <v>45663</v>
      </c>
      <c r="B688" s="45">
        <v>1423.95</v>
      </c>
      <c r="C688" s="105">
        <v>6998.35</v>
      </c>
      <c r="D688" s="5">
        <v>219.82</v>
      </c>
      <c r="E688" s="5">
        <v>504.85</v>
      </c>
      <c r="F688" s="45">
        <v>2130.35</v>
      </c>
      <c r="G688" s="5">
        <v>23616.05</v>
      </c>
      <c r="H688" s="5">
        <f t="shared" si="54"/>
        <v>-2.522590361445777E-2</v>
      </c>
      <c r="I688" s="5">
        <f t="shared" si="54"/>
        <v>-4.2332060703093921E-2</v>
      </c>
      <c r="J688" s="5">
        <f t="shared" si="54"/>
        <v>-4.4510127792749758E-2</v>
      </c>
      <c r="K688" s="5">
        <f t="shared" si="54"/>
        <v>-3.8197751952752823E-2</v>
      </c>
      <c r="L688" s="5">
        <f t="shared" si="54"/>
        <v>-4.7632884795923008E-2</v>
      </c>
      <c r="M688" s="5">
        <f t="shared" si="54"/>
        <v>-1.6192628542267707E-2</v>
      </c>
      <c r="N688" s="5">
        <f t="shared" si="53"/>
        <v>-3.9191875699011468E-2</v>
      </c>
      <c r="O688" s="5">
        <f t="shared" si="51"/>
        <v>-3.4163246329991626E-2</v>
      </c>
      <c r="P688" s="79">
        <f t="shared" si="52"/>
        <v>-3.4179914441390478E-2</v>
      </c>
    </row>
    <row r="689" spans="1:16">
      <c r="A689" s="73">
        <v>45664</v>
      </c>
      <c r="B689" s="45">
        <v>1424.4</v>
      </c>
      <c r="C689" s="105">
        <v>6874.3</v>
      </c>
      <c r="D689" s="5">
        <v>224.82</v>
      </c>
      <c r="E689" s="5">
        <v>508.85</v>
      </c>
      <c r="F689" s="45">
        <v>2180.5500000000002</v>
      </c>
      <c r="G689" s="5">
        <v>23707.9</v>
      </c>
      <c r="H689" s="5">
        <f t="shared" si="54"/>
        <v>3.1602233224484389E-4</v>
      </c>
      <c r="I689" s="5">
        <f t="shared" si="54"/>
        <v>-1.7725606750162562E-2</v>
      </c>
      <c r="J689" s="5">
        <f t="shared" si="54"/>
        <v>2.2745882995177873E-2</v>
      </c>
      <c r="K689" s="5">
        <f t="shared" si="54"/>
        <v>7.9231454887590362E-3</v>
      </c>
      <c r="L689" s="5">
        <f t="shared" si="54"/>
        <v>2.3564203065224155E-2</v>
      </c>
      <c r="M689" s="5">
        <f t="shared" si="54"/>
        <v>3.889304096155038E-3</v>
      </c>
      <c r="N689" s="5">
        <f t="shared" si="53"/>
        <v>1.1761862799348788E-2</v>
      </c>
      <c r="O689" s="5">
        <f t="shared" si="51"/>
        <v>3.4447557948182601E-3</v>
      </c>
      <c r="P689" s="79">
        <f t="shared" si="52"/>
        <v>2.0810984336860892E-3</v>
      </c>
    </row>
    <row r="690" spans="1:16">
      <c r="A690" s="73">
        <v>45665</v>
      </c>
      <c r="B690" s="45">
        <v>1420.75</v>
      </c>
      <c r="C690" s="105">
        <v>6699.1</v>
      </c>
      <c r="D690" s="5">
        <v>221.37</v>
      </c>
      <c r="E690" s="5">
        <v>513.75</v>
      </c>
      <c r="F690" s="45">
        <v>2155.6999999999998</v>
      </c>
      <c r="G690" s="5">
        <v>23688.95</v>
      </c>
      <c r="H690" s="5">
        <f t="shared" si="54"/>
        <v>-2.5624824487504149E-3</v>
      </c>
      <c r="I690" s="5">
        <f t="shared" si="54"/>
        <v>-2.5486231325371284E-2</v>
      </c>
      <c r="J690" s="5">
        <f t="shared" si="54"/>
        <v>-1.5345609821190235E-2</v>
      </c>
      <c r="K690" s="5">
        <f t="shared" si="54"/>
        <v>9.6295568438635685E-3</v>
      </c>
      <c r="L690" s="5">
        <f t="shared" si="54"/>
        <v>-1.1396207378872468E-2</v>
      </c>
      <c r="M690" s="5">
        <f t="shared" si="54"/>
        <v>-7.9931162186447249E-4</v>
      </c>
      <c r="N690" s="5">
        <f t="shared" si="53"/>
        <v>-6.8777337052083158E-3</v>
      </c>
      <c r="O690" s="5">
        <f t="shared" si="51"/>
        <v>6.4628888077250513E-4</v>
      </c>
      <c r="P690" s="79">
        <f t="shared" si="52"/>
        <v>-2.0651320827584693E-3</v>
      </c>
    </row>
    <row r="691" spans="1:16">
      <c r="A691" s="73">
        <v>45666</v>
      </c>
      <c r="B691" s="45">
        <v>1412.9</v>
      </c>
      <c r="C691" s="105">
        <v>6621.7</v>
      </c>
      <c r="D691" s="5">
        <v>216.38</v>
      </c>
      <c r="E691" s="5">
        <v>521.15</v>
      </c>
      <c r="F691" s="45">
        <v>2232.5500000000002</v>
      </c>
      <c r="G691" s="5">
        <v>23526.5</v>
      </c>
      <c r="H691" s="5">
        <f t="shared" si="54"/>
        <v>-5.5252507478443843E-3</v>
      </c>
      <c r="I691" s="5">
        <f t="shared" si="54"/>
        <v>-1.155379080772052E-2</v>
      </c>
      <c r="J691" s="5">
        <f t="shared" si="54"/>
        <v>-2.2541446447124764E-2</v>
      </c>
      <c r="K691" s="5">
        <f t="shared" si="54"/>
        <v>1.4403892944038885E-2</v>
      </c>
      <c r="L691" s="5">
        <f t="shared" si="54"/>
        <v>3.5649672960059546E-2</v>
      </c>
      <c r="M691" s="5">
        <f t="shared" si="54"/>
        <v>-6.8576277124988956E-3</v>
      </c>
      <c r="N691" s="5">
        <f t="shared" si="53"/>
        <v>1.5781784623738856E-2</v>
      </c>
      <c r="O691" s="5">
        <f t="shared" si="51"/>
        <v>4.0293848576109523E-3</v>
      </c>
      <c r="P691" s="79">
        <f t="shared" si="52"/>
        <v>6.6945335580292594E-4</v>
      </c>
    </row>
    <row r="692" spans="1:16">
      <c r="A692" s="73">
        <v>45667</v>
      </c>
      <c r="B692" s="45">
        <v>1425.9</v>
      </c>
      <c r="C692" s="105">
        <v>6584.1</v>
      </c>
      <c r="D692" s="5">
        <v>204.49</v>
      </c>
      <c r="E692" s="5">
        <v>517.9</v>
      </c>
      <c r="F692" s="45">
        <v>2223.15</v>
      </c>
      <c r="G692" s="5">
        <v>23431.5</v>
      </c>
      <c r="H692" s="5">
        <f t="shared" si="54"/>
        <v>9.2009342487083291E-3</v>
      </c>
      <c r="I692" s="5">
        <f t="shared" si="54"/>
        <v>-5.6783001344064901E-3</v>
      </c>
      <c r="J692" s="5">
        <f t="shared" si="54"/>
        <v>-5.4949625658563574E-2</v>
      </c>
      <c r="K692" s="5">
        <f t="shared" si="54"/>
        <v>-6.2362083853017367E-3</v>
      </c>
      <c r="L692" s="5">
        <f t="shared" si="54"/>
        <v>-4.2104320172001034E-3</v>
      </c>
      <c r="M692" s="5">
        <f t="shared" si="54"/>
        <v>-4.0379997024631801E-3</v>
      </c>
      <c r="N692" s="5">
        <f t="shared" si="53"/>
        <v>-1.9194865904368528E-3</v>
      </c>
      <c r="O692" s="5">
        <f t="shared" si="51"/>
        <v>-1.7571112895429218E-3</v>
      </c>
      <c r="P692" s="79">
        <f t="shared" si="52"/>
        <v>-2.9644270934040613E-3</v>
      </c>
    </row>
    <row r="693" spans="1:16">
      <c r="A693" s="73">
        <v>45670</v>
      </c>
      <c r="B693" s="45">
        <v>1364.05</v>
      </c>
      <c r="C693" s="105">
        <v>6224.4</v>
      </c>
      <c r="D693" s="5">
        <v>192.58</v>
      </c>
      <c r="E693" s="5">
        <v>510.75</v>
      </c>
      <c r="F693" s="45">
        <v>2028.3</v>
      </c>
      <c r="G693" s="5">
        <v>23085.95</v>
      </c>
      <c r="H693" s="5">
        <f t="shared" si="54"/>
        <v>-4.3376113331930803E-2</v>
      </c>
      <c r="I693" s="5">
        <f t="shared" si="54"/>
        <v>-5.4631612521073604E-2</v>
      </c>
      <c r="J693" s="5">
        <f t="shared" si="54"/>
        <v>-5.8242456843855428E-2</v>
      </c>
      <c r="K693" s="5">
        <f t="shared" si="54"/>
        <v>-1.3805754006564931E-2</v>
      </c>
      <c r="L693" s="5">
        <f t="shared" si="54"/>
        <v>-8.7645907833479586E-2</v>
      </c>
      <c r="M693" s="5">
        <f t="shared" si="54"/>
        <v>-1.4747241960608552E-2</v>
      </c>
      <c r="N693" s="5">
        <f t="shared" si="53"/>
        <v>-6.1325543341368999E-2</v>
      </c>
      <c r="O693" s="5">
        <f t="shared" si="51"/>
        <v>-3.1482852130528149E-2</v>
      </c>
      <c r="P693" s="79">
        <f t="shared" si="52"/>
        <v>-3.4724811722062023E-2</v>
      </c>
    </row>
    <row r="694" spans="1:16">
      <c r="A694" s="73">
        <v>45671</v>
      </c>
      <c r="B694" s="45">
        <v>1343.55</v>
      </c>
      <c r="C694" s="105">
        <v>6161.15</v>
      </c>
      <c r="D694" s="5">
        <v>197.1</v>
      </c>
      <c r="E694" s="5">
        <v>512.5</v>
      </c>
      <c r="F694" s="45">
        <v>2231.5500000000002</v>
      </c>
      <c r="G694" s="5">
        <v>23176.05</v>
      </c>
      <c r="H694" s="5">
        <f t="shared" si="54"/>
        <v>-1.5028774605036472E-2</v>
      </c>
      <c r="I694" s="5">
        <f t="shared" si="54"/>
        <v>-1.0161622003727267E-2</v>
      </c>
      <c r="J694" s="5">
        <f t="shared" si="54"/>
        <v>2.3470765396198887E-2</v>
      </c>
      <c r="K694" s="5">
        <f t="shared" si="54"/>
        <v>3.4263338228095936E-3</v>
      </c>
      <c r="L694" s="5">
        <f t="shared" si="54"/>
        <v>0.10020706996006519</v>
      </c>
      <c r="M694" s="5">
        <f t="shared" si="54"/>
        <v>3.9028066854514777E-3</v>
      </c>
      <c r="N694" s="5">
        <f t="shared" si="53"/>
        <v>4.3196587493373018E-2</v>
      </c>
      <c r="O694" s="5">
        <f t="shared" si="51"/>
        <v>-1.9822899288735049E-3</v>
      </c>
      <c r="P694" s="79">
        <f t="shared" si="52"/>
        <v>-3.9251297656217954E-3</v>
      </c>
    </row>
    <row r="695" spans="1:16">
      <c r="A695" s="73">
        <v>45672</v>
      </c>
      <c r="B695" s="45">
        <v>1308.55</v>
      </c>
      <c r="C695" s="105">
        <v>6390.25</v>
      </c>
      <c r="D695" s="5">
        <v>202.16</v>
      </c>
      <c r="E695" s="5">
        <v>515.5</v>
      </c>
      <c r="F695" s="45">
        <v>2229.15</v>
      </c>
      <c r="G695" s="5">
        <v>23213.200000000001</v>
      </c>
      <c r="H695" s="5">
        <f t="shared" si="54"/>
        <v>-2.6050388895091363E-2</v>
      </c>
      <c r="I695" s="5">
        <f t="shared" si="54"/>
        <v>3.7184616508281795E-2</v>
      </c>
      <c r="J695" s="5">
        <f t="shared" si="54"/>
        <v>2.5672247590055822E-2</v>
      </c>
      <c r="K695" s="5">
        <f t="shared" si="54"/>
        <v>5.8536585365853658E-3</v>
      </c>
      <c r="L695" s="5">
        <f t="shared" si="54"/>
        <v>-1.075485648988412E-3</v>
      </c>
      <c r="M695" s="5">
        <f t="shared" si="54"/>
        <v>1.6029478707545702E-3</v>
      </c>
      <c r="N695" s="5">
        <f t="shared" si="53"/>
        <v>-4.4346584972389837E-3</v>
      </c>
      <c r="O695" s="5">
        <f t="shared" si="51"/>
        <v>-2.6303691349543884E-3</v>
      </c>
      <c r="P695" s="79">
        <f t="shared" si="52"/>
        <v>-8.2361061382203802E-4</v>
      </c>
    </row>
    <row r="696" spans="1:16">
      <c r="A696" s="73">
        <v>45673</v>
      </c>
      <c r="B696" s="45">
        <v>1307.95</v>
      </c>
      <c r="C696" s="105">
        <v>6211.55</v>
      </c>
      <c r="D696" s="5">
        <v>210.59</v>
      </c>
      <c r="E696" s="5">
        <v>522.4</v>
      </c>
      <c r="F696" s="45">
        <v>2248.15</v>
      </c>
      <c r="G696" s="5">
        <v>23311.8</v>
      </c>
      <c r="H696" s="5">
        <f t="shared" si="54"/>
        <v>-4.5852279240373627E-4</v>
      </c>
      <c r="I696" s="5">
        <f t="shared" si="54"/>
        <v>-2.7964477133132479E-2</v>
      </c>
      <c r="J696" s="5">
        <f t="shared" si="54"/>
        <v>4.1699643846458287E-2</v>
      </c>
      <c r="K696" s="5">
        <f t="shared" si="54"/>
        <v>1.3385063045586764E-2</v>
      </c>
      <c r="L696" s="5">
        <f t="shared" si="54"/>
        <v>8.5234282125473838E-3</v>
      </c>
      <c r="M696" s="5">
        <f t="shared" si="54"/>
        <v>4.2475832715867931E-3</v>
      </c>
      <c r="N696" s="5">
        <f t="shared" si="53"/>
        <v>5.0325578072682453E-3</v>
      </c>
      <c r="O696" s="5">
        <f t="shared" si="51"/>
        <v>5.0299254362503364E-3</v>
      </c>
      <c r="P696" s="79">
        <f t="shared" si="52"/>
        <v>3.3784836562055368E-3</v>
      </c>
    </row>
    <row r="697" spans="1:16">
      <c r="A697" s="73">
        <v>45674</v>
      </c>
      <c r="B697" s="45">
        <v>1310.8</v>
      </c>
      <c r="C697" s="105">
        <v>6216.55</v>
      </c>
      <c r="D697" s="5">
        <v>214.08</v>
      </c>
      <c r="E697" s="5">
        <v>526.04999999999995</v>
      </c>
      <c r="F697" s="45">
        <v>2315.0500000000002</v>
      </c>
      <c r="G697" s="5">
        <v>23203.200000000001</v>
      </c>
      <c r="H697" s="5">
        <f t="shared" si="54"/>
        <v>2.1789823770021095E-3</v>
      </c>
      <c r="I697" s="5">
        <f t="shared" si="54"/>
        <v>8.0495206510452296E-4</v>
      </c>
      <c r="J697" s="5">
        <f t="shared" si="54"/>
        <v>1.6572486822736165E-2</v>
      </c>
      <c r="K697" s="5">
        <f t="shared" si="54"/>
        <v>6.9869831546707072E-3</v>
      </c>
      <c r="L697" s="5">
        <f t="shared" si="54"/>
        <v>2.9757800858483681E-2</v>
      </c>
      <c r="M697" s="5">
        <f t="shared" si="54"/>
        <v>-4.6585849226571325E-3</v>
      </c>
      <c r="N697" s="5">
        <f t="shared" si="53"/>
        <v>1.6142585610451444E-2</v>
      </c>
      <c r="O697" s="5">
        <f t="shared" si="51"/>
        <v>5.3946272441522981E-3</v>
      </c>
      <c r="P697" s="79">
        <f t="shared" si="52"/>
        <v>4.9137033970561112E-3</v>
      </c>
    </row>
    <row r="698" spans="1:16">
      <c r="A698" s="73">
        <v>45677</v>
      </c>
      <c r="B698" s="45">
        <v>1302.8499999999999</v>
      </c>
      <c r="C698" s="105">
        <v>6090</v>
      </c>
      <c r="D698" s="5">
        <v>216.92</v>
      </c>
      <c r="E698" s="5">
        <v>521.6</v>
      </c>
      <c r="F698" s="45">
        <v>2438.4499999999998</v>
      </c>
      <c r="G698" s="5">
        <v>23344.75</v>
      </c>
      <c r="H698" s="5">
        <f t="shared" si="54"/>
        <v>-6.0649984742142549E-3</v>
      </c>
      <c r="I698" s="5">
        <f t="shared" si="54"/>
        <v>-2.0356950398532976E-2</v>
      </c>
      <c r="J698" s="5">
        <f t="shared" si="54"/>
        <v>1.3266068759342184E-2</v>
      </c>
      <c r="K698" s="5">
        <f t="shared" si="54"/>
        <v>-8.4592719323256949E-3</v>
      </c>
      <c r="L698" s="5">
        <f t="shared" si="54"/>
        <v>5.330338437614722E-2</v>
      </c>
      <c r="M698" s="5">
        <f t="shared" si="54"/>
        <v>6.1004516618397148E-3</v>
      </c>
      <c r="N698" s="5">
        <f t="shared" si="53"/>
        <v>2.1203987595135778E-2</v>
      </c>
      <c r="O698" s="5">
        <f t="shared" si="51"/>
        <v>-6.7158918074293411E-3</v>
      </c>
      <c r="P698" s="79">
        <f t="shared" si="52"/>
        <v>-7.552978146535304E-3</v>
      </c>
    </row>
    <row r="699" spans="1:16">
      <c r="A699" s="73">
        <v>45678</v>
      </c>
      <c r="B699" s="45">
        <v>1288.8499999999999</v>
      </c>
      <c r="C699" s="105">
        <v>5736.95</v>
      </c>
      <c r="D699" s="5">
        <v>209.55</v>
      </c>
      <c r="E699" s="5">
        <v>521.25</v>
      </c>
      <c r="F699" s="45">
        <v>2351.85</v>
      </c>
      <c r="G699" s="5">
        <v>23024.65</v>
      </c>
      <c r="H699" s="5">
        <f t="shared" si="54"/>
        <v>-1.0745672947768355E-2</v>
      </c>
      <c r="I699" s="5">
        <f t="shared" si="54"/>
        <v>-5.7972085385878516E-2</v>
      </c>
      <c r="J699" s="5">
        <f t="shared" si="54"/>
        <v>-3.3975659229208817E-2</v>
      </c>
      <c r="K699" s="5">
        <f t="shared" si="54"/>
        <v>-6.7101226993869392E-4</v>
      </c>
      <c r="L699" s="5">
        <f t="shared" si="54"/>
        <v>-3.5514363632635451E-2</v>
      </c>
      <c r="M699" s="5">
        <f t="shared" si="54"/>
        <v>-1.3711862410177815E-2</v>
      </c>
      <c r="N699" s="5">
        <f t="shared" si="53"/>
        <v>-2.4713382117570758E-2</v>
      </c>
      <c r="O699" s="5">
        <f t="shared" si="51"/>
        <v>-1.1496643450764833E-2</v>
      </c>
      <c r="P699" s="79">
        <f t="shared" si="52"/>
        <v>-1.546888325031631E-2</v>
      </c>
    </row>
    <row r="700" spans="1:16">
      <c r="A700" s="73">
        <v>45679</v>
      </c>
      <c r="B700" s="45">
        <v>1276.1500000000001</v>
      </c>
      <c r="C700" s="105">
        <v>5626.35</v>
      </c>
      <c r="D700" s="5">
        <v>205.46</v>
      </c>
      <c r="E700" s="5">
        <v>520.5</v>
      </c>
      <c r="F700" s="45">
        <v>2287.75</v>
      </c>
      <c r="G700" s="5">
        <v>23155.35</v>
      </c>
      <c r="H700" s="5">
        <f t="shared" si="54"/>
        <v>-9.8537455871511963E-3</v>
      </c>
      <c r="I700" s="5">
        <f t="shared" si="54"/>
        <v>-1.9278536504588582E-2</v>
      </c>
      <c r="J700" s="5">
        <f t="shared" si="54"/>
        <v>-1.9518014793605359E-2</v>
      </c>
      <c r="K700" s="5">
        <f t="shared" si="54"/>
        <v>-1.4388489208633094E-3</v>
      </c>
      <c r="L700" s="5">
        <f t="shared" si="54"/>
        <v>-2.7255139570976004E-2</v>
      </c>
      <c r="M700" s="5">
        <f t="shared" si="54"/>
        <v>5.6765249417470879E-3</v>
      </c>
      <c r="N700" s="5">
        <f t="shared" si="53"/>
        <v>-1.7773866944979344E-2</v>
      </c>
      <c r="O700" s="5">
        <f t="shared" si="51"/>
        <v>-7.31202481924372E-3</v>
      </c>
      <c r="P700" s="79">
        <f t="shared" si="52"/>
        <v>-8.6850121377306973E-3</v>
      </c>
    </row>
    <row r="701" spans="1:16">
      <c r="A701" s="73">
        <v>45680</v>
      </c>
      <c r="B701" s="45">
        <v>1300.9000000000001</v>
      </c>
      <c r="C701" s="105">
        <v>5733.6</v>
      </c>
      <c r="D701" s="5">
        <v>206.49</v>
      </c>
      <c r="E701" s="5">
        <v>524.6</v>
      </c>
      <c r="F701" s="45">
        <v>2319.5500000000002</v>
      </c>
      <c r="G701" s="5">
        <v>23205.35</v>
      </c>
      <c r="H701" s="5">
        <f t="shared" si="54"/>
        <v>1.939427183324844E-2</v>
      </c>
      <c r="I701" s="5">
        <f t="shared" si="54"/>
        <v>1.9062091764643151E-2</v>
      </c>
      <c r="J701" s="5">
        <f t="shared" si="54"/>
        <v>5.013141244037774E-3</v>
      </c>
      <c r="K701" s="5">
        <f t="shared" si="54"/>
        <v>7.8770413064361625E-3</v>
      </c>
      <c r="L701" s="5">
        <f t="shared" si="54"/>
        <v>1.3900120205442108E-2</v>
      </c>
      <c r="M701" s="5">
        <f t="shared" si="54"/>
        <v>2.1593281898135853E-3</v>
      </c>
      <c r="N701" s="5">
        <f t="shared" si="53"/>
        <v>1.4817167413684289E-2</v>
      </c>
      <c r="O701" s="5">
        <f t="shared" si="51"/>
        <v>1.3255183046146014E-2</v>
      </c>
      <c r="P701" s="79">
        <f t="shared" si="52"/>
        <v>1.3949800567803221E-2</v>
      </c>
    </row>
    <row r="702" spans="1:16">
      <c r="A702" s="73">
        <v>45681</v>
      </c>
      <c r="B702" s="45">
        <v>1281.3499999999999</v>
      </c>
      <c r="C702" s="105">
        <v>5490.45</v>
      </c>
      <c r="D702" s="5">
        <v>200.19</v>
      </c>
      <c r="E702" s="5">
        <v>521.65</v>
      </c>
      <c r="F702" s="45">
        <v>2299.5500000000002</v>
      </c>
      <c r="G702" s="5">
        <v>23092.2</v>
      </c>
      <c r="H702" s="5">
        <f t="shared" si="54"/>
        <v>-1.5028057498654917E-2</v>
      </c>
      <c r="I702" s="5">
        <f t="shared" si="54"/>
        <v>-4.2407911259941491E-2</v>
      </c>
      <c r="J702" s="5">
        <f t="shared" si="54"/>
        <v>-3.0509952055789682E-2</v>
      </c>
      <c r="K702" s="5">
        <f t="shared" si="54"/>
        <v>-5.623332062523914E-3</v>
      </c>
      <c r="L702" s="5">
        <f t="shared" si="54"/>
        <v>-8.6223620960962245E-3</v>
      </c>
      <c r="M702" s="5">
        <f t="shared" si="54"/>
        <v>-4.8760307429104848E-3</v>
      </c>
      <c r="N702" s="5">
        <f t="shared" si="53"/>
        <v>-1.2897552251629821E-2</v>
      </c>
      <c r="O702" s="5">
        <f t="shared" si="51"/>
        <v>-1.3325811187097202E-2</v>
      </c>
      <c r="P702" s="79">
        <f t="shared" si="52"/>
        <v>-1.6333161008215528E-2</v>
      </c>
    </row>
    <row r="703" spans="1:16">
      <c r="A703" s="73">
        <v>45684</v>
      </c>
      <c r="B703" s="45">
        <v>1238.2</v>
      </c>
      <c r="C703" s="105">
        <v>5412.6</v>
      </c>
      <c r="D703" s="5">
        <v>194.54</v>
      </c>
      <c r="E703" s="5">
        <v>523.85</v>
      </c>
      <c r="F703" s="45">
        <v>2228.4499999999998</v>
      </c>
      <c r="G703" s="5">
        <v>22829.15</v>
      </c>
      <c r="H703" s="5">
        <f t="shared" si="54"/>
        <v>-3.3675420454988773E-2</v>
      </c>
      <c r="I703" s="5">
        <f t="shared" si="54"/>
        <v>-1.4179165642160379E-2</v>
      </c>
      <c r="J703" s="5">
        <f t="shared" si="54"/>
        <v>-2.8223187971427172E-2</v>
      </c>
      <c r="K703" s="5">
        <f t="shared" si="54"/>
        <v>4.21738713696932E-3</v>
      </c>
      <c r="L703" s="5">
        <f t="shared" si="54"/>
        <v>-3.0919092865995677E-2</v>
      </c>
      <c r="M703" s="5">
        <f t="shared" si="54"/>
        <v>-1.1391292297832136E-2</v>
      </c>
      <c r="N703" s="5">
        <f t="shared" si="53"/>
        <v>-2.5777622104250393E-2</v>
      </c>
      <c r="O703" s="5">
        <f t="shared" si="51"/>
        <v>-1.32379908813371E-2</v>
      </c>
      <c r="P703" s="79">
        <f t="shared" si="52"/>
        <v>-1.5586883809074527E-2</v>
      </c>
    </row>
    <row r="704" spans="1:16">
      <c r="A704" s="73">
        <v>45685</v>
      </c>
      <c r="B704" s="45">
        <v>1237.7</v>
      </c>
      <c r="C704" s="105">
        <v>5455.1</v>
      </c>
      <c r="D704" s="5">
        <v>187.62</v>
      </c>
      <c r="E704" s="5">
        <v>525.35</v>
      </c>
      <c r="F704" s="45">
        <v>2322.6999999999998</v>
      </c>
      <c r="G704" s="5">
        <v>22957.25</v>
      </c>
      <c r="H704" s="5">
        <f t="shared" si="54"/>
        <v>-4.0381198513971895E-4</v>
      </c>
      <c r="I704" s="5">
        <f t="shared" si="54"/>
        <v>7.8520489228836414E-3</v>
      </c>
      <c r="J704" s="5">
        <f t="shared" si="54"/>
        <v>-3.5571090778246058E-2</v>
      </c>
      <c r="K704" s="5">
        <f t="shared" ref="K704:M746" si="55">(E704 - E703) / E703</f>
        <v>2.8634150997422923E-3</v>
      </c>
      <c r="L704" s="5">
        <f t="shared" si="55"/>
        <v>4.2293971145863724E-2</v>
      </c>
      <c r="M704" s="5">
        <f t="shared" si="55"/>
        <v>5.6112470240897508E-3</v>
      </c>
      <c r="N704" s="5">
        <f t="shared" si="53"/>
        <v>1.9771463852815706E-2</v>
      </c>
      <c r="O704" s="5">
        <f t="shared" si="51"/>
        <v>1.9445362383918342E-3</v>
      </c>
      <c r="P704" s="79">
        <f t="shared" si="52"/>
        <v>3.6338432092874518E-4</v>
      </c>
    </row>
    <row r="705" spans="1:16">
      <c r="A705" s="73">
        <v>45686</v>
      </c>
      <c r="B705" s="45">
        <v>1263.5</v>
      </c>
      <c r="C705" s="105">
        <v>5597.15</v>
      </c>
      <c r="D705" s="5">
        <v>199.86</v>
      </c>
      <c r="E705" s="5">
        <v>518.1</v>
      </c>
      <c r="F705" s="45">
        <v>2355.0500000000002</v>
      </c>
      <c r="G705" s="5">
        <v>23163.1</v>
      </c>
      <c r="H705" s="5">
        <f t="shared" ref="H705:J746" si="56">(B705 - B704) / B704</f>
        <v>2.0845115940858007E-2</v>
      </c>
      <c r="I705" s="5">
        <f t="shared" si="56"/>
        <v>2.6039852614984007E-2</v>
      </c>
      <c r="J705" s="5">
        <f t="shared" si="56"/>
        <v>6.5238247521586232E-2</v>
      </c>
      <c r="K705" s="5">
        <f t="shared" si="55"/>
        <v>-1.3800323593794612E-2</v>
      </c>
      <c r="L705" s="5">
        <f t="shared" si="55"/>
        <v>1.392775649029163E-2</v>
      </c>
      <c r="M705" s="5">
        <f t="shared" si="55"/>
        <v>8.9666663036730675E-3</v>
      </c>
      <c r="N705" s="5">
        <f t="shared" si="53"/>
        <v>1.4357824209168245E-2</v>
      </c>
      <c r="O705" s="5">
        <f t="shared" si="51"/>
        <v>5.5881688042695773E-3</v>
      </c>
      <c r="P705" s="79">
        <f t="shared" si="52"/>
        <v>1.0651560460574224E-2</v>
      </c>
    </row>
    <row r="706" spans="1:16">
      <c r="A706" s="73">
        <v>45687</v>
      </c>
      <c r="B706" s="45">
        <v>1267.2</v>
      </c>
      <c r="C706" s="105">
        <v>5511.2</v>
      </c>
      <c r="D706" s="5">
        <v>196.37</v>
      </c>
      <c r="E706" s="5">
        <v>533.70000000000005</v>
      </c>
      <c r="F706" s="45">
        <v>2350.6999999999998</v>
      </c>
      <c r="G706" s="5">
        <v>23249.5</v>
      </c>
      <c r="H706" s="5">
        <f t="shared" si="56"/>
        <v>2.9283735654927149E-3</v>
      </c>
      <c r="I706" s="5">
        <f t="shared" si="56"/>
        <v>-1.5356029407823593E-2</v>
      </c>
      <c r="J706" s="5">
        <f t="shared" si="56"/>
        <v>-1.7462223556489586E-2</v>
      </c>
      <c r="K706" s="5">
        <f t="shared" si="55"/>
        <v>3.0110017371163911E-2</v>
      </c>
      <c r="L706" s="5">
        <f t="shared" si="55"/>
        <v>-1.8470945415173196E-3</v>
      </c>
      <c r="M706" s="5">
        <f t="shared" si="55"/>
        <v>3.7300706727511198E-3</v>
      </c>
      <c r="N706" s="5">
        <f t="shared" si="53"/>
        <v>2.6772702153828277E-3</v>
      </c>
      <c r="O706" s="5">
        <f t="shared" si="51"/>
        <v>1.3729847986216945E-2</v>
      </c>
      <c r="P706" s="79">
        <f t="shared" si="52"/>
        <v>9.5649438282777929E-3</v>
      </c>
    </row>
    <row r="707" spans="1:16">
      <c r="A707" s="73">
        <v>45688</v>
      </c>
      <c r="B707" s="45">
        <v>1296.8</v>
      </c>
      <c r="C707" s="105">
        <v>5753.2</v>
      </c>
      <c r="D707" s="5">
        <v>208.09</v>
      </c>
      <c r="E707" s="5">
        <v>529.85</v>
      </c>
      <c r="F707" s="45">
        <v>2498.5</v>
      </c>
      <c r="G707" s="5">
        <v>23508.400000000001</v>
      </c>
      <c r="H707" s="5">
        <f t="shared" si="56"/>
        <v>2.3358585858585787E-2</v>
      </c>
      <c r="I707" s="5">
        <f t="shared" si="56"/>
        <v>4.3910582087385686E-2</v>
      </c>
      <c r="J707" s="5">
        <f t="shared" si="56"/>
        <v>5.9683251005754438E-2</v>
      </c>
      <c r="K707" s="5">
        <f t="shared" si="55"/>
        <v>-7.2137905190182167E-3</v>
      </c>
      <c r="L707" s="5">
        <f t="shared" si="55"/>
        <v>6.2874888331135484E-2</v>
      </c>
      <c r="M707" s="5">
        <f t="shared" si="55"/>
        <v>1.1135723348889286E-2</v>
      </c>
      <c r="N707" s="5">
        <f t="shared" si="53"/>
        <v>4.0103213650172956E-2</v>
      </c>
      <c r="O707" s="5">
        <f t="shared" si="51"/>
        <v>1.2339117967544324E-2</v>
      </c>
      <c r="P707" s="79">
        <f t="shared" si="52"/>
        <v>1.6944714618424624E-2</v>
      </c>
    </row>
    <row r="708" spans="1:16">
      <c r="A708" s="73">
        <v>45689</v>
      </c>
      <c r="B708" s="45">
        <v>1377.15</v>
      </c>
      <c r="C708" s="105">
        <v>6189.5</v>
      </c>
      <c r="D708" s="5">
        <v>200.02</v>
      </c>
      <c r="E708" s="5">
        <v>539.1</v>
      </c>
      <c r="F708" s="45">
        <v>2379.6999999999998</v>
      </c>
      <c r="G708" s="5">
        <v>23482.15</v>
      </c>
      <c r="H708" s="5">
        <f t="shared" si="56"/>
        <v>6.1960209747069818E-2</v>
      </c>
      <c r="I708" s="5">
        <f t="shared" si="56"/>
        <v>7.5836056455537829E-2</v>
      </c>
      <c r="J708" s="5">
        <f t="shared" si="56"/>
        <v>-3.8781296554375476E-2</v>
      </c>
      <c r="K708" s="5">
        <f t="shared" si="55"/>
        <v>1.7457771067283193E-2</v>
      </c>
      <c r="L708" s="5">
        <f t="shared" si="55"/>
        <v>-4.7548529117470553E-2</v>
      </c>
      <c r="M708" s="5">
        <f t="shared" si="55"/>
        <v>-1.1166221435742116E-3</v>
      </c>
      <c r="N708" s="5">
        <f t="shared" si="53"/>
        <v>2.4047919257821834E-3</v>
      </c>
      <c r="O708" s="5">
        <f t="shared" ref="O708:O746" si="57">$V$86*H708 +$V$87*I708 + $V$88*J708 + $V$89*K708+ $V$90*L708</f>
        <v>3.645295426134381E-2</v>
      </c>
      <c r="P708" s="79">
        <f t="shared" ref="P708:P746" si="58">$V$104*H708 +$V$105*I708 + $V$106*J708 + $V$107*K708+ $V$108*L708</f>
        <v>3.9856909693467092E-2</v>
      </c>
    </row>
    <row r="709" spans="1:16">
      <c r="A709" s="73">
        <v>45691</v>
      </c>
      <c r="B709" s="45">
        <v>1415.3</v>
      </c>
      <c r="C709" s="105">
        <v>6135.1</v>
      </c>
      <c r="D709" s="5">
        <v>196.24</v>
      </c>
      <c r="E709" s="5">
        <v>534.54999999999995</v>
      </c>
      <c r="F709" s="45">
        <v>2234.3000000000002</v>
      </c>
      <c r="G709" s="5">
        <v>23361.05</v>
      </c>
      <c r="H709" s="5">
        <f t="shared" si="56"/>
        <v>2.7702138474385407E-2</v>
      </c>
      <c r="I709" s="5">
        <f t="shared" si="56"/>
        <v>-8.789078277728353E-3</v>
      </c>
      <c r="J709" s="5">
        <f t="shared" si="56"/>
        <v>-1.8898110188981108E-2</v>
      </c>
      <c r="K709" s="5">
        <f t="shared" si="55"/>
        <v>-8.4399925802264297E-3</v>
      </c>
      <c r="L709" s="5">
        <f t="shared" si="55"/>
        <v>-6.1100138672941819E-2</v>
      </c>
      <c r="M709" s="5">
        <f t="shared" si="55"/>
        <v>-5.1571086974575228E-3</v>
      </c>
      <c r="N709" s="5">
        <f t="shared" ref="N709:N746" si="59">((H709 *0.3 ) + (I709 * 0.064462757 ) + (J709 * 0.026806099 ) + (K709 * 0.137093997) + (L709 * 0.471637147))</f>
        <v>-2.2736678690078525E-2</v>
      </c>
      <c r="O709" s="5">
        <f t="shared" si="57"/>
        <v>3.4605668858135648E-3</v>
      </c>
      <c r="P709" s="79">
        <f t="shared" si="58"/>
        <v>4.653158932750927E-3</v>
      </c>
    </row>
    <row r="710" spans="1:16">
      <c r="A710" s="73">
        <v>45692</v>
      </c>
      <c r="B710" s="45">
        <v>1368.35</v>
      </c>
      <c r="C710" s="105">
        <v>5750.3</v>
      </c>
      <c r="D710" s="5">
        <v>206.72</v>
      </c>
      <c r="E710" s="5">
        <v>541.04999999999995</v>
      </c>
      <c r="F710" s="45">
        <v>2196.25</v>
      </c>
      <c r="G710" s="5">
        <v>23739.25</v>
      </c>
      <c r="H710" s="5">
        <f t="shared" si="56"/>
        <v>-3.3173178831343214E-2</v>
      </c>
      <c r="I710" s="5">
        <f t="shared" si="56"/>
        <v>-6.2721064041335942E-2</v>
      </c>
      <c r="J710" s="5">
        <f t="shared" si="56"/>
        <v>5.3403995108030927E-2</v>
      </c>
      <c r="K710" s="5">
        <f t="shared" si="55"/>
        <v>1.215976054625386E-2</v>
      </c>
      <c r="L710" s="5">
        <f t="shared" si="55"/>
        <v>-1.7029942263796349E-2</v>
      </c>
      <c r="M710" s="5">
        <f t="shared" si="55"/>
        <v>1.6189340804458736E-2</v>
      </c>
      <c r="N710" s="5">
        <f t="shared" si="59"/>
        <v>-1.8928496786642431E-2</v>
      </c>
      <c r="O710" s="5">
        <f t="shared" si="57"/>
        <v>-1.1212759754335382E-2</v>
      </c>
      <c r="P710" s="79">
        <f t="shared" si="58"/>
        <v>-1.4652734193764345E-2</v>
      </c>
    </row>
    <row r="711" spans="1:16">
      <c r="A711" s="73">
        <v>45693</v>
      </c>
      <c r="B711" s="45">
        <v>1368.75</v>
      </c>
      <c r="C711" s="105">
        <v>5749.95</v>
      </c>
      <c r="D711" s="5">
        <v>209.01</v>
      </c>
      <c r="E711" s="5">
        <v>531.5</v>
      </c>
      <c r="F711" s="45">
        <v>2203.5</v>
      </c>
      <c r="G711" s="5">
        <v>23696.3</v>
      </c>
      <c r="H711" s="5">
        <f t="shared" si="56"/>
        <v>2.9232287061065586E-4</v>
      </c>
      <c r="I711" s="5">
        <f t="shared" si="56"/>
        <v>-6.0866389579737369E-5</v>
      </c>
      <c r="J711" s="5">
        <f t="shared" si="56"/>
        <v>1.107778637770894E-2</v>
      </c>
      <c r="K711" s="5">
        <f t="shared" si="55"/>
        <v>-1.765086406062278E-2</v>
      </c>
      <c r="L711" s="5">
        <f t="shared" si="55"/>
        <v>3.301081388730791E-3</v>
      </c>
      <c r="M711" s="5">
        <f t="shared" si="55"/>
        <v>-1.8092399717767296E-3</v>
      </c>
      <c r="N711" s="5">
        <f t="shared" si="59"/>
        <v>-4.8218941213467106E-4</v>
      </c>
      <c r="O711" s="5">
        <f t="shared" si="57"/>
        <v>-8.084868697095236E-3</v>
      </c>
      <c r="P711" s="79">
        <f t="shared" si="58"/>
        <v>-6.1153846421934856E-3</v>
      </c>
    </row>
    <row r="712" spans="1:16">
      <c r="A712" s="73">
        <v>45694</v>
      </c>
      <c r="B712" s="45">
        <v>1356.75</v>
      </c>
      <c r="C712" s="105">
        <v>5277.1</v>
      </c>
      <c r="D712" s="5">
        <v>204.84</v>
      </c>
      <c r="E712" s="5">
        <v>526.20000000000005</v>
      </c>
      <c r="F712" s="45">
        <v>2198.5</v>
      </c>
      <c r="G712" s="5">
        <v>23603.35</v>
      </c>
      <c r="H712" s="5">
        <f t="shared" si="56"/>
        <v>-8.7671232876712323E-3</v>
      </c>
      <c r="I712" s="5">
        <f t="shared" si="56"/>
        <v>-8.2235497699979912E-2</v>
      </c>
      <c r="J712" s="5">
        <f t="shared" si="56"/>
        <v>-1.9951198507248399E-2</v>
      </c>
      <c r="K712" s="5">
        <f t="shared" si="55"/>
        <v>-9.9717779868296417E-3</v>
      </c>
      <c r="L712" s="5">
        <f t="shared" si="55"/>
        <v>-2.269117313365101E-3</v>
      </c>
      <c r="M712" s="5">
        <f t="shared" si="55"/>
        <v>-3.9225533100104544E-3</v>
      </c>
      <c r="N712" s="5">
        <f t="shared" si="59"/>
        <v>-1.0903348610958095E-2</v>
      </c>
      <c r="O712" s="5">
        <f t="shared" si="57"/>
        <v>-1.6434213943066954E-2</v>
      </c>
      <c r="P712" s="79">
        <f t="shared" si="58"/>
        <v>-2.0893985793001935E-2</v>
      </c>
    </row>
    <row r="713" spans="1:16">
      <c r="A713" s="73">
        <v>45695</v>
      </c>
      <c r="B713" s="45">
        <v>1334.5</v>
      </c>
      <c r="C713" s="105">
        <v>5454.4</v>
      </c>
      <c r="D713" s="5">
        <v>202.84</v>
      </c>
      <c r="E713" s="5">
        <v>527.1</v>
      </c>
      <c r="F713" s="45">
        <v>2230.1999999999998</v>
      </c>
      <c r="G713" s="5">
        <v>23559.95</v>
      </c>
      <c r="H713" s="5">
        <f t="shared" si="56"/>
        <v>-1.6399484061175605E-2</v>
      </c>
      <c r="I713" s="5">
        <f t="shared" si="56"/>
        <v>3.3597998900911343E-2</v>
      </c>
      <c r="J713" s="5">
        <f t="shared" si="56"/>
        <v>-9.7637180238234721E-3</v>
      </c>
      <c r="K713" s="5">
        <f t="shared" si="55"/>
        <v>1.7103762827821688E-3</v>
      </c>
      <c r="L713" s="5">
        <f t="shared" si="55"/>
        <v>1.4418921992267372E-2</v>
      </c>
      <c r="M713" s="5">
        <f t="shared" si="55"/>
        <v>-1.8387220458112013E-3</v>
      </c>
      <c r="N713" s="5">
        <f t="shared" si="59"/>
        <v>4.0192287807574861E-3</v>
      </c>
      <c r="O713" s="5">
        <f t="shared" si="57"/>
        <v>-2.0310984240768703E-3</v>
      </c>
      <c r="P713" s="79">
        <f t="shared" si="58"/>
        <v>-1.1751066486536117E-3</v>
      </c>
    </row>
    <row r="714" spans="1:16">
      <c r="A714" s="73">
        <v>45698</v>
      </c>
      <c r="B714" s="45">
        <v>1341.15</v>
      </c>
      <c r="C714" s="105">
        <v>5196.75</v>
      </c>
      <c r="D714" s="5">
        <v>202.98</v>
      </c>
      <c r="E714" s="5">
        <v>528.1</v>
      </c>
      <c r="F714" s="45">
        <v>2201.15</v>
      </c>
      <c r="G714" s="5">
        <v>23381.599999999999</v>
      </c>
      <c r="H714" s="5">
        <f t="shared" si="56"/>
        <v>4.9831397527164414E-3</v>
      </c>
      <c r="I714" s="5">
        <f t="shared" si="56"/>
        <v>-4.7237092989146315E-2</v>
      </c>
      <c r="J714" s="5">
        <f t="shared" si="56"/>
        <v>6.9019917176092662E-4</v>
      </c>
      <c r="K714" s="5">
        <f t="shared" si="55"/>
        <v>1.8971732119142477E-3</v>
      </c>
      <c r="L714" s="5">
        <f t="shared" si="55"/>
        <v>-1.3025737602008668E-2</v>
      </c>
      <c r="M714" s="5">
        <f t="shared" si="55"/>
        <v>-7.5700500213286602E-3</v>
      </c>
      <c r="N714" s="5">
        <f t="shared" si="59"/>
        <v>-7.4149204351622051E-3</v>
      </c>
      <c r="O714" s="5">
        <f t="shared" si="57"/>
        <v>-1.9530302768134722E-3</v>
      </c>
      <c r="P714" s="79">
        <f t="shared" si="58"/>
        <v>-4.4652758770904848E-3</v>
      </c>
    </row>
    <row r="715" spans="1:16">
      <c r="A715" s="73">
        <v>45699</v>
      </c>
      <c r="B715" s="45">
        <v>1343.4</v>
      </c>
      <c r="C715" s="105">
        <v>5228.3500000000004</v>
      </c>
      <c r="D715" s="5">
        <v>199.71</v>
      </c>
      <c r="E715" s="5">
        <v>517.70000000000005</v>
      </c>
      <c r="F715" s="45">
        <v>2185.1999999999998</v>
      </c>
      <c r="G715" s="5">
        <v>23071.8</v>
      </c>
      <c r="H715" s="5">
        <f t="shared" si="56"/>
        <v>1.6776646907504752E-3</v>
      </c>
      <c r="I715" s="5">
        <f t="shared" si="56"/>
        <v>6.0807235291288524E-3</v>
      </c>
      <c r="J715" s="5">
        <f t="shared" si="56"/>
        <v>-1.6109961572568637E-2</v>
      </c>
      <c r="K715" s="5">
        <f t="shared" si="55"/>
        <v>-1.9693239916682401E-2</v>
      </c>
      <c r="L715" s="5">
        <f t="shared" si="55"/>
        <v>-7.2462122072554222E-3</v>
      </c>
      <c r="M715" s="5">
        <f t="shared" si="55"/>
        <v>-1.3249734834228593E-2</v>
      </c>
      <c r="N715" s="5">
        <f t="shared" si="59"/>
        <v>-5.6539734403773696E-3</v>
      </c>
      <c r="O715" s="5">
        <f t="shared" si="57"/>
        <v>-8.9677765660742745E-3</v>
      </c>
      <c r="P715" s="79">
        <f t="shared" si="58"/>
        <v>-7.1348089927850316E-3</v>
      </c>
    </row>
    <row r="716" spans="1:16">
      <c r="A716" s="73">
        <v>45700</v>
      </c>
      <c r="B716" s="45">
        <v>1353.6</v>
      </c>
      <c r="C716" s="105">
        <v>5237.3</v>
      </c>
      <c r="D716" s="5">
        <v>198.83</v>
      </c>
      <c r="E716" s="5">
        <v>525.75</v>
      </c>
      <c r="F716" s="45">
        <v>2189.9499999999998</v>
      </c>
      <c r="G716" s="5">
        <v>23045.25</v>
      </c>
      <c r="H716" s="5">
        <f t="shared" si="56"/>
        <v>7.5926753014737367E-3</v>
      </c>
      <c r="I716" s="5">
        <f t="shared" si="56"/>
        <v>1.7118211290368505E-3</v>
      </c>
      <c r="J716" s="5">
        <f t="shared" si="56"/>
        <v>-4.4063892644334059E-3</v>
      </c>
      <c r="K716" s="5">
        <f t="shared" si="55"/>
        <v>1.554954606915193E-2</v>
      </c>
      <c r="L716" s="5">
        <f t="shared" si="55"/>
        <v>2.1737140765147357E-3</v>
      </c>
      <c r="M716" s="5">
        <f t="shared" si="55"/>
        <v>-1.1507554677138009E-3</v>
      </c>
      <c r="N716" s="5">
        <f t="shared" si="59"/>
        <v>5.4269869206525767E-3</v>
      </c>
      <c r="O716" s="5">
        <f t="shared" si="57"/>
        <v>1.0449098474753912E-2</v>
      </c>
      <c r="P716" s="79">
        <f t="shared" si="58"/>
        <v>9.0688537791503848E-3</v>
      </c>
    </row>
    <row r="717" spans="1:16">
      <c r="A717" s="73">
        <v>45701</v>
      </c>
      <c r="B717" s="45">
        <v>1333.7</v>
      </c>
      <c r="C717" s="105">
        <v>5256.8</v>
      </c>
      <c r="D717" s="5">
        <v>201.82</v>
      </c>
      <c r="E717" s="5">
        <v>519.85</v>
      </c>
      <c r="F717" s="45">
        <v>2211.5</v>
      </c>
      <c r="G717" s="5">
        <v>23031.4</v>
      </c>
      <c r="H717" s="5">
        <f t="shared" si="56"/>
        <v>-1.4701536643025905E-2</v>
      </c>
      <c r="I717" s="5">
        <f t="shared" si="56"/>
        <v>3.7232925362305001E-3</v>
      </c>
      <c r="J717" s="5">
        <f t="shared" si="56"/>
        <v>1.503797213700136E-2</v>
      </c>
      <c r="K717" s="5">
        <f t="shared" si="55"/>
        <v>-1.1222063718497341E-2</v>
      </c>
      <c r="L717" s="5">
        <f t="shared" si="55"/>
        <v>9.8404073152355918E-3</v>
      </c>
      <c r="M717" s="5">
        <f t="shared" si="55"/>
        <v>-6.0099152753814971E-4</v>
      </c>
      <c r="N717" s="5">
        <f t="shared" si="59"/>
        <v>-6.6471385932297036E-4</v>
      </c>
      <c r="O717" s="5">
        <f t="shared" si="57"/>
        <v>-9.9112877731355395E-3</v>
      </c>
      <c r="P717" s="79">
        <f t="shared" si="58"/>
        <v>-8.6262192612196545E-3</v>
      </c>
    </row>
    <row r="718" spans="1:16">
      <c r="A718" s="73">
        <v>45702</v>
      </c>
      <c r="B718" s="45">
        <v>1320.05</v>
      </c>
      <c r="C718" s="105">
        <v>5117.3500000000004</v>
      </c>
      <c r="D718" s="5">
        <v>193.31</v>
      </c>
      <c r="E718" s="5">
        <v>519.9</v>
      </c>
      <c r="F718" s="45">
        <v>2166.35</v>
      </c>
      <c r="G718" s="5">
        <v>22929.25</v>
      </c>
      <c r="H718" s="5">
        <f t="shared" si="56"/>
        <v>-1.0234685461498156E-2</v>
      </c>
      <c r="I718" s="5">
        <f t="shared" si="56"/>
        <v>-2.6527545274691793E-2</v>
      </c>
      <c r="J718" s="5">
        <f t="shared" si="56"/>
        <v>-4.2166286790209055E-2</v>
      </c>
      <c r="K718" s="5">
        <f t="shared" si="55"/>
        <v>9.6181590843425068E-5</v>
      </c>
      <c r="L718" s="5">
        <f t="shared" si="55"/>
        <v>-2.0416007234908475E-2</v>
      </c>
      <c r="M718" s="5">
        <f t="shared" si="55"/>
        <v>-4.4352492683901734E-3</v>
      </c>
      <c r="N718" s="5">
        <f t="shared" si="59"/>
        <v>-1.5526519488136187E-2</v>
      </c>
      <c r="O718" s="5">
        <f t="shared" si="57"/>
        <v>-7.8616980628950645E-3</v>
      </c>
      <c r="P718" s="79">
        <f t="shared" si="58"/>
        <v>-1.0609922492160443E-2</v>
      </c>
    </row>
    <row r="719" spans="1:16">
      <c r="A719" s="73">
        <v>45705</v>
      </c>
      <c r="B719" s="45">
        <v>1296.3</v>
      </c>
      <c r="C719" s="105">
        <v>5096.45</v>
      </c>
      <c r="D719" s="5">
        <v>193.47</v>
      </c>
      <c r="E719" s="5">
        <v>520.54999999999995</v>
      </c>
      <c r="F719" s="45">
        <v>2083.1</v>
      </c>
      <c r="G719" s="5">
        <v>22959.5</v>
      </c>
      <c r="H719" s="5">
        <f t="shared" si="56"/>
        <v>-1.7991742737017539E-2</v>
      </c>
      <c r="I719" s="5">
        <f t="shared" si="56"/>
        <v>-4.0841451141705263E-3</v>
      </c>
      <c r="J719" s="5">
        <f t="shared" si="56"/>
        <v>8.2768610004653974E-4</v>
      </c>
      <c r="K719" s="5">
        <f t="shared" si="55"/>
        <v>1.2502404308520432E-3</v>
      </c>
      <c r="L719" s="5">
        <f t="shared" si="55"/>
        <v>-3.8428693424423573E-2</v>
      </c>
      <c r="M719" s="5">
        <f t="shared" si="55"/>
        <v>1.3192755977626831E-3</v>
      </c>
      <c r="N719" s="5">
        <f t="shared" si="59"/>
        <v>-2.3591609911370284E-2</v>
      </c>
      <c r="O719" s="5">
        <f t="shared" si="57"/>
        <v>-7.2818205183667562E-3</v>
      </c>
      <c r="P719" s="79">
        <f t="shared" si="58"/>
        <v>-7.4226053786304912E-3</v>
      </c>
    </row>
    <row r="720" spans="1:16">
      <c r="A720" s="73">
        <v>45706</v>
      </c>
      <c r="B720" s="45">
        <v>1284.75</v>
      </c>
      <c r="C720" s="105">
        <v>4997.75</v>
      </c>
      <c r="D720" s="5">
        <v>186.57</v>
      </c>
      <c r="E720" s="5">
        <v>515.15</v>
      </c>
      <c r="F720" s="45">
        <v>1961.75</v>
      </c>
      <c r="G720" s="5">
        <v>22945.3</v>
      </c>
      <c r="H720" s="5">
        <f t="shared" si="56"/>
        <v>-8.9099745429298428E-3</v>
      </c>
      <c r="I720" s="5">
        <f t="shared" si="56"/>
        <v>-1.9366421724926138E-2</v>
      </c>
      <c r="J720" s="5">
        <f t="shared" si="56"/>
        <v>-3.5664444099860471E-2</v>
      </c>
      <c r="K720" s="5">
        <f t="shared" si="55"/>
        <v>-1.037364326193445E-2</v>
      </c>
      <c r="L720" s="5">
        <f t="shared" si="55"/>
        <v>-5.8254524506744718E-2</v>
      </c>
      <c r="M720" s="5">
        <f t="shared" si="55"/>
        <v>-6.184803676038558E-4</v>
      </c>
      <c r="N720" s="5">
        <f t="shared" si="59"/>
        <v>-3.3774591876246582E-2</v>
      </c>
      <c r="O720" s="5">
        <f t="shared" si="57"/>
        <v>-1.2442884724959819E-2</v>
      </c>
      <c r="P720" s="79">
        <f t="shared" si="58"/>
        <v>-1.3012721790340725E-2</v>
      </c>
    </row>
    <row r="721" spans="1:16">
      <c r="A721" s="73">
        <v>45707</v>
      </c>
      <c r="B721" s="45">
        <v>1256.3499999999999</v>
      </c>
      <c r="C721" s="105">
        <v>4991.45</v>
      </c>
      <c r="D721" s="5">
        <v>195.09</v>
      </c>
      <c r="E721" s="5">
        <v>504.45</v>
      </c>
      <c r="F721" s="45">
        <v>2180.1</v>
      </c>
      <c r="G721" s="5">
        <v>22932.9</v>
      </c>
      <c r="H721" s="5">
        <f t="shared" si="56"/>
        <v>-2.2105467989881371E-2</v>
      </c>
      <c r="I721" s="5">
        <f t="shared" si="56"/>
        <v>-1.2605672552649055E-3</v>
      </c>
      <c r="J721" s="5">
        <f t="shared" si="56"/>
        <v>4.5666505869110849E-2</v>
      </c>
      <c r="K721" s="5">
        <f t="shared" si="55"/>
        <v>-2.0770649325439171E-2</v>
      </c>
      <c r="L721" s="5">
        <f t="shared" si="55"/>
        <v>0.11130368293615389</v>
      </c>
      <c r="M721" s="5">
        <f t="shared" si="55"/>
        <v>-5.4041568425768321E-4</v>
      </c>
      <c r="N721" s="5">
        <f t="shared" si="59"/>
        <v>4.415866097397915E-2</v>
      </c>
      <c r="O721" s="5">
        <f t="shared" si="57"/>
        <v>-1.4651392520034581E-2</v>
      </c>
      <c r="P721" s="79">
        <f t="shared" si="58"/>
        <v>-1.3424274117944225E-2</v>
      </c>
    </row>
    <row r="722" spans="1:16">
      <c r="A722" s="73">
        <v>45708</v>
      </c>
      <c r="B722" s="45">
        <v>1264.1500000000001</v>
      </c>
      <c r="C722" s="105">
        <v>5099.5</v>
      </c>
      <c r="D722" s="5">
        <v>200.17</v>
      </c>
      <c r="E722" s="5">
        <v>510.35</v>
      </c>
      <c r="F722" s="45">
        <v>2154.3000000000002</v>
      </c>
      <c r="G722" s="5">
        <v>22913.15</v>
      </c>
      <c r="H722" s="5">
        <f t="shared" si="56"/>
        <v>6.2084610180285606E-3</v>
      </c>
      <c r="I722" s="5">
        <f t="shared" si="56"/>
        <v>2.1647016398040685E-2</v>
      </c>
      <c r="J722" s="5">
        <f t="shared" si="56"/>
        <v>2.6039263929468367E-2</v>
      </c>
      <c r="K722" s="5">
        <f t="shared" si="55"/>
        <v>1.1695906432748607E-2</v>
      </c>
      <c r="L722" s="5">
        <f t="shared" si="55"/>
        <v>-1.1834319526627094E-2</v>
      </c>
      <c r="M722" s="5">
        <f t="shared" si="55"/>
        <v>-8.6120813329321623E-4</v>
      </c>
      <c r="N722" s="5">
        <f t="shared" si="59"/>
        <v>-2.2090386790336522E-5</v>
      </c>
      <c r="O722" s="5">
        <f t="shared" si="57"/>
        <v>1.0468704031620348E-2</v>
      </c>
      <c r="P722" s="79">
        <f t="shared" si="58"/>
        <v>1.1708452266699504E-2</v>
      </c>
    </row>
    <row r="723" spans="1:16">
      <c r="A723" s="73">
        <v>45709</v>
      </c>
      <c r="B723" s="45">
        <v>1298.0999999999999</v>
      </c>
      <c r="C723" s="105">
        <v>5048.2</v>
      </c>
      <c r="D723" s="5">
        <v>196.41</v>
      </c>
      <c r="E723" s="5">
        <v>508.65</v>
      </c>
      <c r="F723" s="45">
        <v>2119.4499999999998</v>
      </c>
      <c r="G723" s="5">
        <v>22795.9</v>
      </c>
      <c r="H723" s="5">
        <f t="shared" si="56"/>
        <v>2.6855990191037311E-2</v>
      </c>
      <c r="I723" s="5">
        <f t="shared" si="56"/>
        <v>-1.0059809785273101E-2</v>
      </c>
      <c r="J723" s="5">
        <f t="shared" si="56"/>
        <v>-1.8784033571464211E-2</v>
      </c>
      <c r="K723" s="5">
        <f t="shared" si="55"/>
        <v>-3.3310473204664357E-3</v>
      </c>
      <c r="L723" s="5">
        <f t="shared" si="55"/>
        <v>-1.6176948428724115E-2</v>
      </c>
      <c r="M723" s="5">
        <f t="shared" si="55"/>
        <v>-5.1171488861199788E-3</v>
      </c>
      <c r="N723" s="5">
        <f t="shared" si="59"/>
        <v>-1.18152907532754E-3</v>
      </c>
      <c r="O723" s="5">
        <f t="shared" si="57"/>
        <v>6.5124878580993598E-3</v>
      </c>
      <c r="P723" s="79">
        <f t="shared" si="58"/>
        <v>6.4783643995987763E-3</v>
      </c>
    </row>
    <row r="724" spans="1:16">
      <c r="A724" s="73">
        <v>45712</v>
      </c>
      <c r="B724" s="45">
        <v>1336.3</v>
      </c>
      <c r="C724" s="105">
        <v>5066</v>
      </c>
      <c r="D724" s="5">
        <v>191.43</v>
      </c>
      <c r="E724" s="5">
        <v>505.7</v>
      </c>
      <c r="F724" s="45">
        <v>2151.0500000000002</v>
      </c>
      <c r="G724" s="5">
        <v>22553.35</v>
      </c>
      <c r="H724" s="5">
        <f t="shared" si="56"/>
        <v>2.942762499037058E-2</v>
      </c>
      <c r="I724" s="5">
        <f t="shared" si="56"/>
        <v>3.5260092706311521E-3</v>
      </c>
      <c r="J724" s="5">
        <f t="shared" si="56"/>
        <v>-2.5355124484496665E-2</v>
      </c>
      <c r="K724" s="5">
        <f t="shared" si="55"/>
        <v>-5.7996657819718639E-3</v>
      </c>
      <c r="L724" s="5">
        <f t="shared" si="55"/>
        <v>1.4909528415390958E-2</v>
      </c>
      <c r="M724" s="5">
        <f t="shared" si="55"/>
        <v>-1.0640071240881163E-2</v>
      </c>
      <c r="N724" s="5">
        <f t="shared" si="59"/>
        <v>1.4612699880450643E-2</v>
      </c>
      <c r="O724" s="5">
        <f t="shared" si="57"/>
        <v>8.0602826426262146E-3</v>
      </c>
      <c r="P724" s="79">
        <f t="shared" si="58"/>
        <v>8.4132771861343773E-3</v>
      </c>
    </row>
    <row r="725" spans="1:16">
      <c r="A725" s="73">
        <v>45713</v>
      </c>
      <c r="B725" s="45">
        <v>1346.05</v>
      </c>
      <c r="C725" s="105">
        <v>4959.8999999999996</v>
      </c>
      <c r="D725" s="5">
        <v>194.61</v>
      </c>
      <c r="E725" s="5">
        <v>510.95</v>
      </c>
      <c r="F725" s="45">
        <v>2123.25</v>
      </c>
      <c r="G725" s="5">
        <v>22547.55</v>
      </c>
      <c r="H725" s="5">
        <f t="shared" si="56"/>
        <v>7.2962658085759186E-3</v>
      </c>
      <c r="I725" s="5">
        <f t="shared" si="56"/>
        <v>-2.0943545203316299E-2</v>
      </c>
      <c r="J725" s="5">
        <f t="shared" si="56"/>
        <v>1.6611816329728919E-2</v>
      </c>
      <c r="K725" s="5">
        <f t="shared" si="55"/>
        <v>1.0381649199129919E-2</v>
      </c>
      <c r="L725" s="5">
        <f t="shared" si="55"/>
        <v>-1.2923920875851412E-2</v>
      </c>
      <c r="M725" s="5">
        <f t="shared" si="55"/>
        <v>-2.571680038663557E-4</v>
      </c>
      <c r="N725" s="5">
        <f t="shared" si="59"/>
        <v>-3.3880403152623199E-3</v>
      </c>
      <c r="O725" s="5">
        <f t="shared" si="57"/>
        <v>5.9388810593625418E-3</v>
      </c>
      <c r="P725" s="79">
        <f t="shared" si="58"/>
        <v>4.6528275866076054E-3</v>
      </c>
    </row>
    <row r="726" spans="1:16">
      <c r="A726" s="73">
        <v>45715</v>
      </c>
      <c r="B726" s="45">
        <v>1282.25</v>
      </c>
      <c r="C726" s="105">
        <v>4805.3</v>
      </c>
      <c r="D726" s="5">
        <v>187.44</v>
      </c>
      <c r="E726" s="5">
        <v>503.25</v>
      </c>
      <c r="F726" s="45">
        <v>2101.9499999999998</v>
      </c>
      <c r="G726" s="5">
        <v>22545.05</v>
      </c>
      <c r="H726" s="5">
        <f t="shared" si="56"/>
        <v>-4.7397942126964049E-2</v>
      </c>
      <c r="I726" s="5">
        <f t="shared" si="56"/>
        <v>-3.116998326579154E-2</v>
      </c>
      <c r="J726" s="5">
        <f t="shared" si="56"/>
        <v>-3.6842916602435723E-2</v>
      </c>
      <c r="K726" s="5">
        <f t="shared" si="55"/>
        <v>-1.5069967707212034E-2</v>
      </c>
      <c r="L726" s="5">
        <f t="shared" si="55"/>
        <v>-1.0031790886612589E-2</v>
      </c>
      <c r="M726" s="5">
        <f t="shared" si="55"/>
        <v>-1.1087679149175853E-4</v>
      </c>
      <c r="N726" s="5">
        <f t="shared" si="59"/>
        <v>-2.4013667905644819E-2</v>
      </c>
      <c r="O726" s="5">
        <f t="shared" si="57"/>
        <v>-2.9056035066807061E-2</v>
      </c>
      <c r="P726" s="79">
        <f t="shared" si="58"/>
        <v>-3.1409933324376256E-2</v>
      </c>
    </row>
    <row r="727" spans="1:16">
      <c r="A727" s="73">
        <v>45716</v>
      </c>
      <c r="B727" s="45">
        <v>1221.0999999999999</v>
      </c>
      <c r="C727" s="105">
        <v>4851.55</v>
      </c>
      <c r="D727" s="5">
        <v>179.17</v>
      </c>
      <c r="E727" s="5">
        <v>493.3</v>
      </c>
      <c r="F727" s="45">
        <v>2131.0500000000002</v>
      </c>
      <c r="G727" s="5">
        <v>22124.7</v>
      </c>
      <c r="H727" s="5">
        <f t="shared" si="56"/>
        <v>-4.7689608110742902E-2</v>
      </c>
      <c r="I727" s="5">
        <f t="shared" si="56"/>
        <v>9.6247892951532681E-3</v>
      </c>
      <c r="J727" s="5">
        <f t="shared" si="56"/>
        <v>-4.4120785317968474E-2</v>
      </c>
      <c r="K727" s="5">
        <f t="shared" si="55"/>
        <v>-1.9771485345255815E-2</v>
      </c>
      <c r="L727" s="5">
        <f t="shared" si="55"/>
        <v>1.3844287447370473E-2</v>
      </c>
      <c r="M727" s="5">
        <f t="shared" si="55"/>
        <v>-1.8644891007116797E-2</v>
      </c>
      <c r="N727" s="5">
        <f t="shared" si="59"/>
        <v>-1.1050219837586736E-2</v>
      </c>
      <c r="O727" s="5">
        <f t="shared" si="57"/>
        <v>-2.7270894719490821E-2</v>
      </c>
      <c r="P727" s="79">
        <f t="shared" si="58"/>
        <v>-2.7476835227769274E-2</v>
      </c>
    </row>
    <row r="728" spans="1:16">
      <c r="A728" s="73">
        <v>45719</v>
      </c>
      <c r="B728" s="45">
        <v>1237.8</v>
      </c>
      <c r="C728" s="105">
        <v>4946.8999999999996</v>
      </c>
      <c r="D728" s="5">
        <v>185.47</v>
      </c>
      <c r="E728" s="5">
        <v>491.75</v>
      </c>
      <c r="F728" s="45">
        <v>2153.15</v>
      </c>
      <c r="G728" s="5">
        <v>22119.3</v>
      </c>
      <c r="H728" s="5">
        <f t="shared" si="56"/>
        <v>1.3676193595938127E-2</v>
      </c>
      <c r="I728" s="5">
        <f t="shared" si="56"/>
        <v>1.9653512794879875E-2</v>
      </c>
      <c r="J728" s="5">
        <f t="shared" si="56"/>
        <v>3.5162136518390424E-2</v>
      </c>
      <c r="K728" s="5">
        <f t="shared" si="55"/>
        <v>-3.1421041962294981E-3</v>
      </c>
      <c r="L728" s="5">
        <f t="shared" si="55"/>
        <v>1.0370474648647337E-2</v>
      </c>
      <c r="M728" s="5">
        <f t="shared" si="55"/>
        <v>-2.4407110604896133E-4</v>
      </c>
      <c r="N728" s="5">
        <f t="shared" si="59"/>
        <v>1.0772674863909943E-2</v>
      </c>
      <c r="O728" s="5">
        <f t="shared" si="57"/>
        <v>6.5947191557973739E-3</v>
      </c>
      <c r="P728" s="79">
        <f t="shared" si="58"/>
        <v>9.2439211128084731E-3</v>
      </c>
    </row>
    <row r="729" spans="1:16">
      <c r="A729" s="73">
        <v>45720</v>
      </c>
      <c r="B729" s="45">
        <v>1211.95</v>
      </c>
      <c r="C729" s="105">
        <v>4999.8</v>
      </c>
      <c r="D729" s="5">
        <v>192.75</v>
      </c>
      <c r="E729" s="5">
        <v>483.7</v>
      </c>
      <c r="F729" s="45">
        <v>2162.5</v>
      </c>
      <c r="G729" s="5">
        <v>22082.65</v>
      </c>
      <c r="H729" s="5">
        <f t="shared" si="56"/>
        <v>-2.088382614315714E-2</v>
      </c>
      <c r="I729" s="5">
        <f t="shared" si="56"/>
        <v>1.0693565667387769E-2</v>
      </c>
      <c r="J729" s="5">
        <f t="shared" si="56"/>
        <v>3.9251630991535023E-2</v>
      </c>
      <c r="K729" s="5">
        <f t="shared" si="55"/>
        <v>-1.6370106761565858E-2</v>
      </c>
      <c r="L729" s="5">
        <f t="shared" si="55"/>
        <v>4.3424749785198006E-3</v>
      </c>
      <c r="M729" s="5">
        <f t="shared" si="55"/>
        <v>-1.656924043708337E-3</v>
      </c>
      <c r="N729" s="5">
        <f t="shared" si="59"/>
        <v>-4.71979886906805E-3</v>
      </c>
      <c r="O729" s="5">
        <f t="shared" si="57"/>
        <v>-1.3501029790515958E-2</v>
      </c>
      <c r="P729" s="79">
        <f t="shared" si="58"/>
        <v>-1.0625555431217055E-2</v>
      </c>
    </row>
    <row r="730" spans="1:16">
      <c r="A730" s="73">
        <v>45721</v>
      </c>
      <c r="B730" s="45">
        <v>1237.0999999999999</v>
      </c>
      <c r="C730" s="105">
        <v>5106.1000000000004</v>
      </c>
      <c r="D730" s="5">
        <v>196.06</v>
      </c>
      <c r="E730" s="5">
        <v>487.7</v>
      </c>
      <c r="F730" s="45">
        <v>2246.6999999999998</v>
      </c>
      <c r="G730" s="5">
        <v>22337.3</v>
      </c>
      <c r="H730" s="5">
        <f t="shared" si="56"/>
        <v>2.0751681174965852E-2</v>
      </c>
      <c r="I730" s="5">
        <f t="shared" si="56"/>
        <v>2.1260850434017396E-2</v>
      </c>
      <c r="J730" s="5">
        <f t="shared" si="56"/>
        <v>1.7172503242542166E-2</v>
      </c>
      <c r="K730" s="5">
        <f t="shared" si="55"/>
        <v>8.2695885879677487E-3</v>
      </c>
      <c r="L730" s="5">
        <f t="shared" si="55"/>
        <v>3.8936416184971012E-2</v>
      </c>
      <c r="M730" s="5">
        <f t="shared" si="55"/>
        <v>1.1531677583985519E-2</v>
      </c>
      <c r="N730" s="5">
        <f t="shared" si="59"/>
        <v>2.7553936406583004E-2</v>
      </c>
      <c r="O730" s="5">
        <f t="shared" si="57"/>
        <v>1.504939962221233E-2</v>
      </c>
      <c r="P730" s="79">
        <f t="shared" si="58"/>
        <v>1.5875983344293288E-2</v>
      </c>
    </row>
    <row r="731" spans="1:16">
      <c r="A731" s="73">
        <v>45722</v>
      </c>
      <c r="B731" s="45">
        <v>1246.6500000000001</v>
      </c>
      <c r="C731" s="105">
        <v>5069.5</v>
      </c>
      <c r="D731" s="5">
        <v>198.4</v>
      </c>
      <c r="E731" s="5">
        <v>495</v>
      </c>
      <c r="F731" s="45">
        <v>2242.4</v>
      </c>
      <c r="G731" s="5">
        <v>22544.7</v>
      </c>
      <c r="H731" s="5">
        <f t="shared" si="56"/>
        <v>7.7196669630589139E-3</v>
      </c>
      <c r="I731" s="5">
        <f t="shared" si="56"/>
        <v>-7.1678972209710664E-3</v>
      </c>
      <c r="J731" s="5">
        <f t="shared" si="56"/>
        <v>1.1935121901458755E-2</v>
      </c>
      <c r="K731" s="5">
        <f t="shared" si="55"/>
        <v>1.4968218166905908E-2</v>
      </c>
      <c r="L731" s="5">
        <f t="shared" si="55"/>
        <v>-1.9139181911246395E-3</v>
      </c>
      <c r="M731" s="5">
        <f t="shared" si="55"/>
        <v>9.2849180518684658E-3</v>
      </c>
      <c r="N731" s="5">
        <f t="shared" si="59"/>
        <v>3.3231496726445309E-3</v>
      </c>
      <c r="O731" s="5">
        <f t="shared" si="57"/>
        <v>9.7362172718130826E-3</v>
      </c>
      <c r="P731" s="79">
        <f t="shared" si="58"/>
        <v>8.4907790958327206E-3</v>
      </c>
    </row>
    <row r="732" spans="1:16">
      <c r="A732" s="73">
        <v>45723</v>
      </c>
      <c r="B732" s="45">
        <v>1233.0999999999999</v>
      </c>
      <c r="C732" s="105">
        <v>4999.8500000000004</v>
      </c>
      <c r="D732" s="5">
        <v>196.95</v>
      </c>
      <c r="E732" s="5">
        <v>495.8</v>
      </c>
      <c r="F732" s="45">
        <v>2338.1999999999998</v>
      </c>
      <c r="G732" s="5">
        <v>22552.5</v>
      </c>
      <c r="H732" s="5">
        <f t="shared" si="56"/>
        <v>-1.0869129266434189E-2</v>
      </c>
      <c r="I732" s="5">
        <f t="shared" si="56"/>
        <v>-1.3739027517506585E-2</v>
      </c>
      <c r="J732" s="5">
        <f t="shared" si="56"/>
        <v>-7.3084677419355693E-3</v>
      </c>
      <c r="K732" s="5">
        <f t="shared" si="55"/>
        <v>1.6161616161616391E-3</v>
      </c>
      <c r="L732" s="5">
        <f t="shared" si="55"/>
        <v>4.2722083481983468E-2</v>
      </c>
      <c r="M732" s="5">
        <f t="shared" si="55"/>
        <v>3.4597932108208459E-4</v>
      </c>
      <c r="N732" s="5">
        <f t="shared" si="59"/>
        <v>1.6028581741059859E-2</v>
      </c>
      <c r="O732" s="5">
        <f t="shared" si="57"/>
        <v>-3.7860786016531631E-3</v>
      </c>
      <c r="P732" s="79">
        <f t="shared" si="58"/>
        <v>-5.798862424879446E-3</v>
      </c>
    </row>
    <row r="733" spans="1:16">
      <c r="A733" s="73">
        <v>45726</v>
      </c>
      <c r="B733" s="45">
        <v>1216.2</v>
      </c>
      <c r="C733" s="105">
        <v>4799.7</v>
      </c>
      <c r="D733" s="5">
        <v>192.11</v>
      </c>
      <c r="E733" s="5">
        <v>493.35</v>
      </c>
      <c r="F733" s="45">
        <v>2302.6999999999998</v>
      </c>
      <c r="G733" s="5">
        <v>22460.3</v>
      </c>
      <c r="H733" s="5">
        <f t="shared" si="56"/>
        <v>-1.3705295596464086E-2</v>
      </c>
      <c r="I733" s="5">
        <f t="shared" si="56"/>
        <v>-4.0031200936028188E-2</v>
      </c>
      <c r="J733" s="5">
        <f t="shared" si="56"/>
        <v>-2.4574765168824449E-2</v>
      </c>
      <c r="K733" s="5">
        <f t="shared" si="55"/>
        <v>-4.9415086728519337E-3</v>
      </c>
      <c r="L733" s="5">
        <f t="shared" si="55"/>
        <v>-1.5182619108716107E-2</v>
      </c>
      <c r="M733" s="5">
        <f t="shared" si="55"/>
        <v>-4.0882385544840144E-3</v>
      </c>
      <c r="N733" s="5">
        <f t="shared" si="59"/>
        <v>-1.5189002180907827E-2</v>
      </c>
      <c r="O733" s="5">
        <f t="shared" si="57"/>
        <v>-1.226384219464367E-2</v>
      </c>
      <c r="P733" s="79">
        <f t="shared" si="58"/>
        <v>-1.4890313071520967E-2</v>
      </c>
    </row>
    <row r="734" spans="1:16">
      <c r="A734" s="73">
        <v>45727</v>
      </c>
      <c r="B734" s="45">
        <v>1197.4000000000001</v>
      </c>
      <c r="C734" s="105">
        <v>4995.45</v>
      </c>
      <c r="D734" s="5">
        <v>194.12</v>
      </c>
      <c r="E734" s="5">
        <v>497.55</v>
      </c>
      <c r="F734" s="45">
        <v>2255.9499999999998</v>
      </c>
      <c r="G734" s="5">
        <v>22497.9</v>
      </c>
      <c r="H734" s="5">
        <f t="shared" si="56"/>
        <v>-1.545798388422953E-2</v>
      </c>
      <c r="I734" s="5">
        <f t="shared" si="56"/>
        <v>4.0783798987436719E-2</v>
      </c>
      <c r="J734" s="5">
        <f t="shared" si="56"/>
        <v>1.0462755712872786E-2</v>
      </c>
      <c r="K734" s="5">
        <f t="shared" si="55"/>
        <v>8.5132259045302295E-3</v>
      </c>
      <c r="L734" s="5">
        <f t="shared" si="55"/>
        <v>-2.0302253875884833E-2</v>
      </c>
      <c r="M734" s="5">
        <f t="shared" si="55"/>
        <v>1.6740649056335927E-3</v>
      </c>
      <c r="N734" s="5">
        <f t="shared" si="59"/>
        <v>-1.0136078305228819E-2</v>
      </c>
      <c r="O734" s="5">
        <f t="shared" si="57"/>
        <v>2.0778247576822119E-3</v>
      </c>
      <c r="P734" s="79">
        <f t="shared" si="58"/>
        <v>3.8632588913846562E-3</v>
      </c>
    </row>
    <row r="735" spans="1:16">
      <c r="A735" s="73">
        <v>45728</v>
      </c>
      <c r="B735" s="45">
        <v>1229.0999999999999</v>
      </c>
      <c r="C735" s="105">
        <v>5015.3500000000004</v>
      </c>
      <c r="D735" s="5">
        <v>193.63</v>
      </c>
      <c r="E735" s="5">
        <v>499.95</v>
      </c>
      <c r="F735" s="45">
        <v>2255.9</v>
      </c>
      <c r="G735" s="5">
        <v>22470.5</v>
      </c>
      <c r="H735" s="5">
        <f t="shared" si="56"/>
        <v>2.6474027058626871E-2</v>
      </c>
      <c r="I735" s="5">
        <f t="shared" si="56"/>
        <v>3.9836250988400535E-3</v>
      </c>
      <c r="J735" s="5">
        <f t="shared" si="56"/>
        <v>-2.524211827735468E-3</v>
      </c>
      <c r="K735" s="5">
        <f t="shared" si="55"/>
        <v>4.8236358154958841E-3</v>
      </c>
      <c r="L735" s="5">
        <f t="shared" si="55"/>
        <v>-2.216361178205508E-5</v>
      </c>
      <c r="M735" s="5">
        <f t="shared" si="55"/>
        <v>-1.2178914476462894E-3</v>
      </c>
      <c r="N735" s="5">
        <f t="shared" si="59"/>
        <v>8.7821776335530212E-3</v>
      </c>
      <c r="O735" s="5">
        <f t="shared" si="57"/>
        <v>1.2459199014124619E-2</v>
      </c>
      <c r="P735" s="79">
        <f t="shared" si="58"/>
        <v>1.2712378290699088E-2</v>
      </c>
    </row>
    <row r="736" spans="1:16">
      <c r="A736" s="73">
        <v>45729</v>
      </c>
      <c r="B736" s="45">
        <v>1236.45</v>
      </c>
      <c r="C736" s="105">
        <v>5022.3999999999996</v>
      </c>
      <c r="D736" s="5">
        <v>193.33</v>
      </c>
      <c r="E736" s="5">
        <v>500.95</v>
      </c>
      <c r="F736" s="45">
        <v>2316</v>
      </c>
      <c r="G736" s="5">
        <v>22397.200000000001</v>
      </c>
      <c r="H736" s="5">
        <f t="shared" si="56"/>
        <v>5.9799853551380172E-3</v>
      </c>
      <c r="I736" s="5">
        <f t="shared" si="56"/>
        <v>1.4056845484361554E-3</v>
      </c>
      <c r="J736" s="5">
        <f t="shared" si="56"/>
        <v>-1.5493466921447242E-3</v>
      </c>
      <c r="K736" s="5">
        <f t="shared" si="55"/>
        <v>2.0002000200020002E-3</v>
      </c>
      <c r="L736" s="5">
        <f t="shared" si="55"/>
        <v>2.6641251828538458E-2</v>
      </c>
      <c r="M736" s="5">
        <f t="shared" si="55"/>
        <v>-3.262054693932012E-3</v>
      </c>
      <c r="N736" s="5">
        <f t="shared" si="59"/>
        <v>1.468229738765291E-2</v>
      </c>
      <c r="O736" s="5">
        <f t="shared" si="57"/>
        <v>3.8716864906096814E-3</v>
      </c>
      <c r="P736" s="79">
        <f t="shared" si="58"/>
        <v>3.4496166832577021E-3</v>
      </c>
    </row>
    <row r="737" spans="1:16">
      <c r="A737" s="73">
        <v>45733</v>
      </c>
      <c r="B737" s="45">
        <v>1205.9000000000001</v>
      </c>
      <c r="C737" s="105">
        <v>5159.55</v>
      </c>
      <c r="D737" s="5">
        <v>195.43</v>
      </c>
      <c r="E737" s="5">
        <v>494.75</v>
      </c>
      <c r="F737" s="45">
        <v>2322.0500000000002</v>
      </c>
      <c r="G737" s="5">
        <v>22508.75</v>
      </c>
      <c r="H737" s="5">
        <f t="shared" si="56"/>
        <v>-2.4707832908730604E-2</v>
      </c>
      <c r="I737" s="5">
        <f t="shared" si="56"/>
        <v>2.7307661675693005E-2</v>
      </c>
      <c r="J737" s="5">
        <f t="shared" si="56"/>
        <v>1.0862256245797312E-2</v>
      </c>
      <c r="K737" s="5">
        <f t="shared" si="55"/>
        <v>-1.237648467910967E-2</v>
      </c>
      <c r="L737" s="5">
        <f t="shared" si="55"/>
        <v>2.6122625215890252E-3</v>
      </c>
      <c r="M737" s="5">
        <f t="shared" si="55"/>
        <v>4.9805332809458001E-3</v>
      </c>
      <c r="N737" s="5">
        <f t="shared" si="59"/>
        <v>-5.8255497080636912E-3</v>
      </c>
      <c r="O737" s="5">
        <f t="shared" si="57"/>
        <v>-1.2235472126060644E-2</v>
      </c>
      <c r="P737" s="79">
        <f t="shared" si="58"/>
        <v>-9.7562487789802158E-3</v>
      </c>
    </row>
    <row r="738" spans="1:16">
      <c r="A738" s="73">
        <v>45734</v>
      </c>
      <c r="B738" s="45">
        <v>1235.9000000000001</v>
      </c>
      <c r="C738" s="105">
        <v>5260.25</v>
      </c>
      <c r="D738" s="5">
        <v>203.88</v>
      </c>
      <c r="E738" s="5">
        <v>498.75</v>
      </c>
      <c r="F738" s="45">
        <v>2376.5</v>
      </c>
      <c r="G738" s="5">
        <v>22834.3</v>
      </c>
      <c r="H738" s="5">
        <f t="shared" si="56"/>
        <v>2.4877684716809019E-2</v>
      </c>
      <c r="I738" s="5">
        <f t="shared" si="56"/>
        <v>1.951720595788389E-2</v>
      </c>
      <c r="J738" s="5">
        <f t="shared" si="56"/>
        <v>4.3237988026403253E-2</v>
      </c>
      <c r="K738" s="5">
        <f t="shared" si="55"/>
        <v>8.0848913592723604E-3</v>
      </c>
      <c r="L738" s="5">
        <f t="shared" si="55"/>
        <v>2.344910746969265E-2</v>
      </c>
      <c r="M738" s="5">
        <f t="shared" si="55"/>
        <v>1.4463264286110925E-2</v>
      </c>
      <c r="N738" s="5">
        <f t="shared" si="59"/>
        <v>2.204834032607695E-2</v>
      </c>
      <c r="O738" s="5">
        <f t="shared" si="57"/>
        <v>1.6696600066521846E-2</v>
      </c>
      <c r="P738" s="79">
        <f t="shared" si="58"/>
        <v>1.858060354429707E-2</v>
      </c>
    </row>
    <row r="739" spans="1:16">
      <c r="A739" s="73">
        <v>45735</v>
      </c>
      <c r="B739" s="45">
        <v>1269.1500000000001</v>
      </c>
      <c r="C739" s="105">
        <v>5230.8500000000004</v>
      </c>
      <c r="D739" s="5">
        <v>205.69</v>
      </c>
      <c r="E739" s="5">
        <v>495.45</v>
      </c>
      <c r="F739" s="45">
        <v>2625.25</v>
      </c>
      <c r="G739" s="5">
        <v>22907.599999999999</v>
      </c>
      <c r="H739" s="5">
        <f t="shared" si="56"/>
        <v>2.6903471154624159E-2</v>
      </c>
      <c r="I739" s="5">
        <f t="shared" si="56"/>
        <v>-5.5890879711039659E-3</v>
      </c>
      <c r="J739" s="5">
        <f t="shared" si="56"/>
        <v>8.877771237983138E-3</v>
      </c>
      <c r="K739" s="5">
        <f t="shared" si="55"/>
        <v>-6.6165413533834814E-3</v>
      </c>
      <c r="L739" s="5">
        <f t="shared" si="55"/>
        <v>0.10467073427309068</v>
      </c>
      <c r="M739" s="5">
        <f t="shared" si="55"/>
        <v>3.2100830767748203E-3</v>
      </c>
      <c r="N739" s="5">
        <f t="shared" si="59"/>
        <v>5.6408250127863546E-2</v>
      </c>
      <c r="O739" s="5">
        <f t="shared" si="57"/>
        <v>8.8153893121113765E-3</v>
      </c>
      <c r="P739" s="79">
        <f t="shared" si="58"/>
        <v>8.4440016846142347E-3</v>
      </c>
    </row>
    <row r="740" spans="1:16">
      <c r="A740" s="73">
        <v>45736</v>
      </c>
      <c r="B740" s="45">
        <v>1269.3</v>
      </c>
      <c r="C740" s="105">
        <v>5221.55</v>
      </c>
      <c r="D740" s="5">
        <v>206.54</v>
      </c>
      <c r="E740" s="5">
        <v>499</v>
      </c>
      <c r="F740" s="45">
        <v>2633.1</v>
      </c>
      <c r="G740" s="5">
        <v>23190.65</v>
      </c>
      <c r="H740" s="5">
        <f t="shared" si="56"/>
        <v>1.1818933932148569E-4</v>
      </c>
      <c r="I740" s="5">
        <f t="shared" si="56"/>
        <v>-1.7779137233910705E-3</v>
      </c>
      <c r="J740" s="5">
        <f t="shared" si="56"/>
        <v>4.1324323010355117E-3</v>
      </c>
      <c r="K740" s="5">
        <f t="shared" si="55"/>
        <v>7.165203350489477E-3</v>
      </c>
      <c r="L740" s="5">
        <f t="shared" si="55"/>
        <v>2.9901914103418374E-3</v>
      </c>
      <c r="M740" s="5">
        <f t="shared" si="55"/>
        <v>1.23561612739878E-2</v>
      </c>
      <c r="N740" s="5">
        <f t="shared" si="59"/>
        <v>2.4242136832448025E-3</v>
      </c>
      <c r="O740" s="5">
        <f t="shared" si="57"/>
        <v>3.5341399532207622E-3</v>
      </c>
      <c r="P740" s="79">
        <f t="shared" si="58"/>
        <v>2.8473788758593176E-3</v>
      </c>
    </row>
    <row r="741" spans="1:16">
      <c r="A741" s="73">
        <v>45737</v>
      </c>
      <c r="B741" s="45">
        <v>1243.4000000000001</v>
      </c>
      <c r="C741" s="105">
        <v>5150.05</v>
      </c>
      <c r="D741" s="5">
        <v>211.95</v>
      </c>
      <c r="E741" s="5">
        <v>506.8</v>
      </c>
      <c r="F741" s="45">
        <v>2591.4</v>
      </c>
      <c r="G741" s="5">
        <v>23350.400000000001</v>
      </c>
      <c r="H741" s="5">
        <f t="shared" si="56"/>
        <v>-2.0404947608918193E-2</v>
      </c>
      <c r="I741" s="5">
        <f t="shared" si="56"/>
        <v>-1.3693252003715371E-2</v>
      </c>
      <c r="J741" s="5">
        <f t="shared" si="56"/>
        <v>2.6193473419192394E-2</v>
      </c>
      <c r="K741" s="5">
        <f t="shared" si="55"/>
        <v>1.5631262525050121E-2</v>
      </c>
      <c r="L741" s="5">
        <f t="shared" si="55"/>
        <v>-1.5836846302836893E-2</v>
      </c>
      <c r="M741" s="5">
        <f t="shared" si="55"/>
        <v>6.8885520673202345E-3</v>
      </c>
      <c r="N741" s="5">
        <f t="shared" si="59"/>
        <v>-1.162833696753404E-2</v>
      </c>
      <c r="O741" s="5">
        <f t="shared" si="57"/>
        <v>-8.997935219477054E-4</v>
      </c>
      <c r="P741" s="79">
        <f t="shared" si="58"/>
        <v>-2.5190001204674455E-3</v>
      </c>
    </row>
    <row r="742" spans="1:16">
      <c r="A742" s="73">
        <v>45740</v>
      </c>
      <c r="B742" s="45">
        <v>1236.45</v>
      </c>
      <c r="C742" s="105">
        <v>5054.7</v>
      </c>
      <c r="D742" s="5">
        <v>217.54</v>
      </c>
      <c r="E742" s="5">
        <v>507.2</v>
      </c>
      <c r="F742" s="45">
        <v>2654.8</v>
      </c>
      <c r="G742" s="5">
        <v>23658.35</v>
      </c>
      <c r="H742" s="5">
        <f t="shared" si="56"/>
        <v>-5.5895126266688475E-3</v>
      </c>
      <c r="I742" s="5">
        <f t="shared" si="56"/>
        <v>-1.8514383355501474E-2</v>
      </c>
      <c r="J742" s="5">
        <f t="shared" si="56"/>
        <v>2.6374144845482443E-2</v>
      </c>
      <c r="K742" s="5">
        <f t="shared" si="55"/>
        <v>7.8926598263610349E-4</v>
      </c>
      <c r="L742" s="5">
        <f t="shared" si="55"/>
        <v>2.4465539862622555E-2</v>
      </c>
      <c r="M742" s="5">
        <f t="shared" si="55"/>
        <v>1.3188210908592447E-2</v>
      </c>
      <c r="N742" s="5">
        <f t="shared" si="59"/>
        <v>9.4837070033949415E-3</v>
      </c>
      <c r="O742" s="5">
        <f t="shared" si="57"/>
        <v>-2.1606513951308607E-3</v>
      </c>
      <c r="P742" s="79">
        <f t="shared" si="58"/>
        <v>-2.9199942411231293E-3</v>
      </c>
    </row>
    <row r="743" spans="1:16">
      <c r="A743" s="73">
        <v>45741</v>
      </c>
      <c r="B743" s="45">
        <v>1229.9000000000001</v>
      </c>
      <c r="C743" s="105">
        <v>5185.05</v>
      </c>
      <c r="D743" s="5">
        <v>213.6</v>
      </c>
      <c r="E743" s="5">
        <v>509.25</v>
      </c>
      <c r="F743" s="45">
        <v>2614.5</v>
      </c>
      <c r="G743" s="5">
        <v>23668.65</v>
      </c>
      <c r="H743" s="5">
        <f t="shared" si="56"/>
        <v>-5.2974240769945845E-3</v>
      </c>
      <c r="I743" s="5">
        <f t="shared" si="56"/>
        <v>2.5787880586385023E-2</v>
      </c>
      <c r="J743" s="5">
        <f t="shared" si="56"/>
        <v>-1.8111611657626175E-2</v>
      </c>
      <c r="K743" s="5">
        <f t="shared" si="55"/>
        <v>4.0417981072555431E-3</v>
      </c>
      <c r="L743" s="5">
        <f t="shared" si="55"/>
        <v>-1.518005122796451E-2</v>
      </c>
      <c r="M743" s="5">
        <f t="shared" si="55"/>
        <v>4.3536425828525282E-4</v>
      </c>
      <c r="N743" s="5">
        <f t="shared" si="59"/>
        <v>-7.0177407933374328E-3</v>
      </c>
      <c r="O743" s="5">
        <f t="shared" si="57"/>
        <v>1.5894924417844544E-3</v>
      </c>
      <c r="P743" s="79">
        <f t="shared" si="58"/>
        <v>2.1941156295707826E-3</v>
      </c>
    </row>
    <row r="744" spans="1:16">
      <c r="A744" s="73">
        <v>45742</v>
      </c>
      <c r="B744" s="45">
        <v>1213.0999999999999</v>
      </c>
      <c r="C744" s="105">
        <v>5321.95</v>
      </c>
      <c r="D744" s="5">
        <v>210.52</v>
      </c>
      <c r="E744" s="5">
        <v>508.85</v>
      </c>
      <c r="F744" s="45">
        <v>2643.15</v>
      </c>
      <c r="G744" s="5">
        <v>23486.85</v>
      </c>
      <c r="H744" s="5">
        <f t="shared" si="56"/>
        <v>-1.365964712578273E-2</v>
      </c>
      <c r="I744" s="5">
        <f t="shared" si="56"/>
        <v>2.6402831216670936E-2</v>
      </c>
      <c r="J744" s="5">
        <f t="shared" si="56"/>
        <v>-1.4419475655430638E-2</v>
      </c>
      <c r="K744" s="5">
        <f t="shared" si="55"/>
        <v>-7.8546882670589547E-4</v>
      </c>
      <c r="L744" s="5">
        <f t="shared" si="55"/>
        <v>1.0958118187033884E-2</v>
      </c>
      <c r="M744" s="5">
        <f t="shared" si="55"/>
        <v>-7.6810464475161409E-3</v>
      </c>
      <c r="N744" s="5">
        <f t="shared" si="59"/>
        <v>2.2781478003993522E-3</v>
      </c>
      <c r="O744" s="5">
        <f t="shared" si="57"/>
        <v>-3.1098471670569215E-3</v>
      </c>
      <c r="P744" s="79">
        <f t="shared" si="58"/>
        <v>-2.4602037904564865E-3</v>
      </c>
    </row>
    <row r="745" spans="1:16">
      <c r="A745" s="73">
        <v>45743</v>
      </c>
      <c r="B745" s="45">
        <v>1202.05</v>
      </c>
      <c r="C745" s="105">
        <v>5422.3</v>
      </c>
      <c r="D745" s="5">
        <v>213.98</v>
      </c>
      <c r="E745" s="5">
        <v>512.85</v>
      </c>
      <c r="F745" s="45">
        <v>2695.35</v>
      </c>
      <c r="G745" s="5">
        <v>23591.95</v>
      </c>
      <c r="H745" s="5">
        <f t="shared" si="56"/>
        <v>-9.1088945676365968E-3</v>
      </c>
      <c r="I745" s="5">
        <f t="shared" si="56"/>
        <v>1.8855870498595509E-2</v>
      </c>
      <c r="J745" s="5">
        <f t="shared" si="56"/>
        <v>1.6435493064791844E-2</v>
      </c>
      <c r="K745" s="5">
        <f t="shared" si="55"/>
        <v>7.8608627296845833E-3</v>
      </c>
      <c r="L745" s="5">
        <f t="shared" si="55"/>
        <v>1.9749162930594109E-2</v>
      </c>
      <c r="M745" s="5">
        <f t="shared" si="55"/>
        <v>4.4748444342260539E-3</v>
      </c>
      <c r="N745" s="5">
        <f t="shared" si="59"/>
        <v>9.3155204335964303E-3</v>
      </c>
      <c r="O745" s="5">
        <f t="shared" si="57"/>
        <v>3.1076671311491442E-3</v>
      </c>
      <c r="P745" s="79">
        <f t="shared" si="58"/>
        <v>3.4598108492050711E-3</v>
      </c>
    </row>
    <row r="746" spans="1:16">
      <c r="A746" s="73">
        <v>45744</v>
      </c>
      <c r="B746" s="45">
        <v>1219.9000000000001</v>
      </c>
      <c r="C746" s="105">
        <v>5325.15</v>
      </c>
      <c r="D746" s="5">
        <v>216.43</v>
      </c>
      <c r="E746" s="5">
        <v>506.5</v>
      </c>
      <c r="F746" s="45">
        <v>2643.8</v>
      </c>
      <c r="G746" s="5">
        <v>23519.35</v>
      </c>
      <c r="H746" s="5">
        <f t="shared" si="56"/>
        <v>1.4849631878873705E-2</v>
      </c>
      <c r="I746" s="5">
        <f t="shared" si="56"/>
        <v>-1.7916751194142808E-2</v>
      </c>
      <c r="J746" s="5">
        <f t="shared" si="56"/>
        <v>1.1449668193289173E-2</v>
      </c>
      <c r="K746" s="5">
        <f t="shared" si="55"/>
        <v>-1.238178804718733E-2</v>
      </c>
      <c r="L746" s="5">
        <f t="shared" si="55"/>
        <v>-1.9125531007104728E-2</v>
      </c>
      <c r="M746" s="5">
        <f t="shared" si="55"/>
        <v>-3.077320865803894E-3</v>
      </c>
      <c r="N746" s="5">
        <f t="shared" si="59"/>
        <v>-7.1109323681355623E-3</v>
      </c>
      <c r="O746" s="5">
        <f t="shared" si="57"/>
        <v>-2.3039690437148997E-3</v>
      </c>
      <c r="P746" s="79">
        <f t="shared" si="58"/>
        <v>-1.1833946855105682E-3</v>
      </c>
    </row>
  </sheetData>
  <mergeCells count="48">
    <mergeCell ref="B1:G1"/>
    <mergeCell ref="H1:N1"/>
    <mergeCell ref="AC1:AD1"/>
    <mergeCell ref="R6:R8"/>
    <mergeCell ref="AC3:AD3"/>
    <mergeCell ref="AC4:AD4"/>
    <mergeCell ref="AC5:AD5"/>
    <mergeCell ref="AC6:AD6"/>
    <mergeCell ref="AC7:AD7"/>
    <mergeCell ref="AC8:AD8"/>
    <mergeCell ref="T30:Z30"/>
    <mergeCell ref="AC12:AE33"/>
    <mergeCell ref="R24:S24"/>
    <mergeCell ref="R25:S25"/>
    <mergeCell ref="R26:S26"/>
    <mergeCell ref="R27:S27"/>
    <mergeCell ref="R28:S28"/>
    <mergeCell ref="R23:S23"/>
    <mergeCell ref="R22:S22"/>
    <mergeCell ref="T32:Y32"/>
    <mergeCell ref="R33:R34"/>
    <mergeCell ref="S33:S34"/>
    <mergeCell ref="T33:U33"/>
    <mergeCell ref="V33:W33"/>
    <mergeCell ref="X33:Y33"/>
    <mergeCell ref="R102:R103"/>
    <mergeCell ref="S102:S103"/>
    <mergeCell ref="T102:T103"/>
    <mergeCell ref="U102:U103"/>
    <mergeCell ref="V102:V103"/>
    <mergeCell ref="R84:R85"/>
    <mergeCell ref="S84:S85"/>
    <mergeCell ref="T84:T85"/>
    <mergeCell ref="U84:U85"/>
    <mergeCell ref="V84:V85"/>
    <mergeCell ref="R75:W75"/>
    <mergeCell ref="R50:R52"/>
    <mergeCell ref="R56:R57"/>
    <mergeCell ref="S56:S57"/>
    <mergeCell ref="T56:T57"/>
    <mergeCell ref="R69:R71"/>
    <mergeCell ref="V52:AB67"/>
    <mergeCell ref="W113:X114"/>
    <mergeCell ref="W97:Y97"/>
    <mergeCell ref="W116:Z116"/>
    <mergeCell ref="Y102:Z103"/>
    <mergeCell ref="Y84:Z85"/>
    <mergeCell ref="W94:X95"/>
  </mergeCells>
  <pageMargins left="0.7" right="0.7" top="0.75" bottom="0.75" header="0.3" footer="0.3"/>
  <drawing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D052F7EAAC841B1E780D168FEE2B1" ma:contentTypeVersion="6" ma:contentTypeDescription="Create a new document." ma:contentTypeScope="" ma:versionID="1192ee847ce1375508221df81373a9ec">
  <xsd:schema xmlns:xsd="http://www.w3.org/2001/XMLSchema" xmlns:xs="http://www.w3.org/2001/XMLSchema" xmlns:p="http://schemas.microsoft.com/office/2006/metadata/properties" xmlns:ns3="6bbc5478-824f-473d-bd21-a83fcd2a2003" targetNamespace="http://schemas.microsoft.com/office/2006/metadata/properties" ma:root="true" ma:fieldsID="1ff8f5689c717b452977b443149bb6c2" ns3:_="">
    <xsd:import namespace="6bbc5478-824f-473d-bd21-a83fcd2a200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bc5478-824f-473d-bd21-a83fcd2a200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bbc5478-824f-473d-bd21-a83fcd2a2003" xsi:nil="true"/>
  </documentManagement>
</p:properties>
</file>

<file path=customXml/itemProps1.xml><?xml version="1.0" encoding="utf-8"?>
<ds:datastoreItem xmlns:ds="http://schemas.openxmlformats.org/officeDocument/2006/customXml" ds:itemID="{E8330D6D-7D23-43AF-9EF7-9F170C63F9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bc5478-824f-473d-bd21-a83fcd2a20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874CF3-8A96-4B8B-90A4-CD97912A52F0}">
  <ds:schemaRefs>
    <ds:schemaRef ds:uri="http://schemas.microsoft.com/sharepoint/v3/contenttype/forms"/>
  </ds:schemaRefs>
</ds:datastoreItem>
</file>

<file path=customXml/itemProps3.xml><?xml version="1.0" encoding="utf-8"?>
<ds:datastoreItem xmlns:ds="http://schemas.openxmlformats.org/officeDocument/2006/customXml" ds:itemID="{1372ABB1-A875-4FF6-8E94-8AEDDF63123F}">
  <ds:schemaRefs>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6bbc5478-824f-473d-bd21-a83fcd2a200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 Members</vt:lpstr>
      <vt:lpstr>Two-Year Analysis</vt:lpstr>
      <vt:lpstr>Data Used</vt:lpstr>
      <vt:lpstr>Price Movement Analysis</vt:lpstr>
      <vt:lpstr>Portfolio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  NIGAM</dc:creator>
  <cp:keywords/>
  <dc:description/>
  <cp:lastModifiedBy>DRISHYA MUSADDI</cp:lastModifiedBy>
  <cp:revision/>
  <dcterms:created xsi:type="dcterms:W3CDTF">2025-11-20T08:34:24Z</dcterms:created>
  <dcterms:modified xsi:type="dcterms:W3CDTF">2026-02-15T13:29:55Z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0x0101004A6D052F7EAAC841B1E780D168FEE2B1</vt:lpwstr>
  </property>
</Properties>
</file>