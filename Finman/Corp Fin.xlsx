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Members" sheetId="1" r:id="rId4"/>
    <sheet state="visible" name="Part I Corporate Governance" sheetId="2" r:id="rId5"/>
    <sheet state="visible" name="Part II IPO Analysis" sheetId="3" r:id="rId6"/>
    <sheet state="visible" name="Part III – Financial Management" sheetId="4" r:id="rId7"/>
    <sheet state="visible" name="References" sheetId="5" r:id="rId8"/>
  </sheets>
  <definedNames/>
  <calcPr/>
</workbook>
</file>

<file path=xl/sharedStrings.xml><?xml version="1.0" encoding="utf-8"?>
<sst xmlns="http://schemas.openxmlformats.org/spreadsheetml/2006/main" count="755" uniqueCount="593">
  <si>
    <t>BITS Pilani - Pilani Campus</t>
  </si>
  <si>
    <t>Course</t>
  </si>
  <si>
    <t>FIN F315: Financial Management (FinMan)</t>
  </si>
  <si>
    <t>Assignment</t>
  </si>
  <si>
    <t>Corporate Governance, IPO Analysis &amp; Financial Analysis</t>
  </si>
  <si>
    <t>Submitted to</t>
  </si>
  <si>
    <t>Prof. Rajan Pandey, Prof. Jobin Mathew</t>
  </si>
  <si>
    <t>Company</t>
  </si>
  <si>
    <t>Vishwaraj Sugar Industries Ltd. (VSIL)</t>
  </si>
  <si>
    <t>Group Code</t>
  </si>
  <si>
    <t>FM002</t>
  </si>
  <si>
    <t>Prepared By:</t>
  </si>
  <si>
    <t>Name</t>
  </si>
  <si>
    <t>Student ID</t>
  </si>
  <si>
    <t>Sneh Desai</t>
  </si>
  <si>
    <t>2023A7PS0498P</t>
  </si>
  <si>
    <t xml:space="preserve">Harsh Nigam </t>
  </si>
  <si>
    <t>2023A7PS0396P</t>
  </si>
  <si>
    <t xml:space="preserve">Drishya Musaddi </t>
  </si>
  <si>
    <t>2023A7PS0663P</t>
  </si>
  <si>
    <t>Sachin Agrawal</t>
  </si>
  <si>
    <t>2023A7PS0492P</t>
  </si>
  <si>
    <t>Shivam Singla</t>
  </si>
  <si>
    <t>2023A7PS0576P</t>
  </si>
  <si>
    <t>Academic Year</t>
  </si>
  <si>
    <t>2025–2026</t>
  </si>
  <si>
    <t>Submission Date</t>
  </si>
  <si>
    <t>Vishwaraj Sugar Industries Ltd. (VSIL).</t>
  </si>
  <si>
    <t>Part I: Corporate Governance</t>
  </si>
  <si>
    <t>Q1: Is it a family-run business?</t>
  </si>
  <si>
    <t xml:space="preserve">Yes — promoter family (Katti family) holds key management roles; family-led.        </t>
  </si>
  <si>
    <t>Q2: Size of board (latest)</t>
  </si>
  <si>
    <t>8 members (executive + independent).</t>
  </si>
  <si>
    <t>Q3: Is Chairman also top manager (CEO duality)?</t>
  </si>
  <si>
    <t>Yes — Chairman is also MD (CEO duality).</t>
  </si>
  <si>
    <t>Positive impact</t>
  </si>
  <si>
    <t>Negative impact</t>
  </si>
  <si>
    <t>Faster decision-making (no split leadership delays)</t>
  </si>
  <si>
    <t>Concentration of power; higher risk of unchecked decisions</t>
  </si>
  <si>
    <t>Clear strategic vision &amp; accountability (single leader)</t>
  </si>
  <si>
    <t>Weaker board oversight; potential conflicts of interest</t>
  </si>
  <si>
    <t>Stronger coordination between board and management</t>
  </si>
  <si>
    <t>Potential for entrenchment and reduced managerial accountability</t>
  </si>
  <si>
    <t>Saves time and cost (one role vs two)</t>
  </si>
  <si>
    <t>Reduced independence of board committees (esp. nomination/remuneration)</t>
  </si>
  <si>
    <t>Improved crisis response (decisive actions)</t>
  </si>
  <si>
    <t>Promoter influence can outweigh minority shareholders' interests</t>
  </si>
  <si>
    <t>Better long-term commitment to strategy (owner-managers)</t>
  </si>
  <si>
    <t>Potential for related-party transactions and favoritism</t>
  </si>
  <si>
    <t>Easier implementation of turnaround plans (if competent)</t>
  </si>
  <si>
    <t>Difficulty in evaluating CEO performance objectively</t>
  </si>
  <si>
    <t>Signals strong promoter commitment to business</t>
  </si>
  <si>
    <t>Risks investor scepticism on governance quality</t>
  </si>
  <si>
    <t>Q4: Gender Diversity</t>
  </si>
  <si>
    <t>2 female/6 males</t>
  </si>
  <si>
    <t>Low female representation in the BoD.</t>
  </si>
  <si>
    <t>Q5: No. of independent directors</t>
  </si>
  <si>
    <t>4 independent directors.</t>
  </si>
  <si>
    <t>Shivanand Tubachi, Basavaraj Veerappa Hagaragi, Vishnukumar Mahadev Kulkarni, Pratibha Munnolli</t>
  </si>
  <si>
    <t>Role</t>
  </si>
  <si>
    <t>Age</t>
  </si>
  <si>
    <t>Qualification</t>
  </si>
  <si>
    <t>Experience</t>
  </si>
  <si>
    <t>Nikhil Umesh Katti</t>
  </si>
  <si>
    <t>Promotor &amp; Managing Director</t>
  </si>
  <si>
    <t>BBA; MBA (International Marketing, University of Wales)</t>
  </si>
  <si>
    <t>With over 11 years experience in the sugar industry, he is responsible for the overall growth and development of all company's segments especially the distillery unit. He is also involved in the marketing of the products of our Company and has been instrumental in the brand positioning and expansion of our Indian Made Liquor (IML) products.</t>
  </si>
  <si>
    <t>Kush Ramesh Katti</t>
  </si>
  <si>
    <t>Promoter &amp; Whole-time Director</t>
  </si>
  <si>
    <t>Master degree in Business Administration from ESC Pau Business School, France</t>
  </si>
  <si>
    <t>He has been serving on the Board of the Company since 2013 and is instrumental in maintaining cordial relations with farmers and ensuring sugarcane supply to the factory.</t>
  </si>
  <si>
    <t>Sneha Nitin Dev</t>
  </si>
  <si>
    <t>Promoter</t>
  </si>
  <si>
    <t>Bachelor of Business Administration</t>
  </si>
  <si>
    <t>Appointed 2022; executive responsibilities in company operations.She is actively associated with social activities of the community. She has knowledge in the field of finance and accounts.</t>
  </si>
  <si>
    <t>Mukesh Kumar</t>
  </si>
  <si>
    <t xml:space="preserve"> Executive Director</t>
  </si>
  <si>
    <t>Bachelor of Science (Chemical Engineering) from Ranchi University.</t>
  </si>
  <si>
    <t>He has more than 3 decades of experience in petroleum, distillery and sugar industry including approximately 15 years in Vishwaraj Sugarfrom the year 2003 to 2016. He has also acted as a Whole Time Director of the Company from 2009 till 2016.</t>
  </si>
  <si>
    <t>Vishnukumar Mahadev Kulkarni</t>
  </si>
  <si>
    <t>Independent Director</t>
  </si>
  <si>
    <t>M.Sc. in MICROBIOLOGY from Poona University, 1983</t>
  </si>
  <si>
    <t>He founded his proprietary concern, V. M. Biotech, focused on research, consultancy, and the manufacturing of specialty chemicals in the field of microbiology for the sugar industry, water treatment, and biotechnology. He developed rapid acting biocides for sugar industry viz. POLMAX ESR and Polmax Supreme, SUCROGUARD for infield cane sanitation etc. He is a life member of the South India Sugar Technologists’ Association.</t>
  </si>
  <si>
    <t>Basavaraj Veerappa Hagaragi</t>
  </si>
  <si>
    <t>Bachelor degree of Arts from Karnataka University</t>
  </si>
  <si>
    <t>He has over 23 years of experience in Banking Sector. He has worked in BDCC Bank as Branch Manager, Senior Manager since 1981 and was promoted as General Manager in 2007. He is currently retired.He chairs Nomination &amp; Remuneration Committee.</t>
  </si>
  <si>
    <t>Shivanand Tubachi</t>
  </si>
  <si>
    <t>He has over 23 years of experience of working in banking sector.He worked as general manager in the Belgavi District Co-operative Bank Ltd. for 2006 – 2011 and is currently associated with the bank in advisory capacity.</t>
  </si>
  <si>
    <t>Pratibha Munnolli</t>
  </si>
  <si>
    <t>Bachelor degree in Ayurvedic Medicine and Surgery from Rajiv Gandhi University of Health Sciences, Karnataka.</t>
  </si>
  <si>
    <t>She has more than 8 years of experience as medical practitioner. Independent director; member of board committees.</t>
  </si>
  <si>
    <t>Q6: Serious lawsuits filed against the firm</t>
  </si>
  <si>
    <t>SEBI Securities Violation (2020)Regulatory action by Securities and Exchange Board of India (SEBI), 2020</t>
  </si>
  <si>
    <t>SEBI imposed a ₹7 lakh penalty on Vishwaraj Sugar Industries for illegally structuring equity share allotments to circumvent public offering requirements. The company allotted shares in 43 tranches to nearly 2,000 people between 2007-2008, which collectively constituted a public offer but was treated as private placements. Additionally, the company made an undisclosed share transfer to 9,671 farmers in 2014 without proper disclosure.</t>
  </si>
  <si>
    <t>Spray Engineering Devices Limited vs Vishwaraj Sugar Industries Ltd.</t>
  </si>
  <si>
    <t>This is a petition under Section 9 of the Insolvency and Bankruptcy Code, 2016 (IBC) filed against VSIL — i.e. a creditor (Spray Engineering Devices Ltd.) has invoked insolvency-related proceedings against VSIL.</t>
  </si>
  <si>
    <t>Litigation vs the Government of Karnataka - appeal in High Court</t>
  </si>
  <si>
    <t>The dispute arose because the state government (via its sugar-control authority) issued a “recovery certificate” and ordered a public auction of ~5,000 metric tonnes of sugar belonging to Vishwaraj Sugar, to recover dues of about ₹ 7.91 crore that the factory allegedly owed to sugarcane growers for the 2013–14 season</t>
  </si>
  <si>
    <t>Q7: Auditor name &amp; opinion</t>
  </si>
  <si>
    <t>P G Ghali &amp; Co. — clean/unmodified opinion (FY24).</t>
  </si>
  <si>
    <t>M/s P. G. Ghali &amp; Co. is a 53-year-old chartered accountancy firm with long-standing experience in statutory audits, taxation, and compliance, especially for sugar mills and manufacturing firms. The firm’s partners have over 15–20 years of audit experience, and there are no reported disciplinary issues, indicating a stable and competent audit practice.</t>
  </si>
  <si>
    <t>Is information asymmetry a potential contention between the board of directors and top management?</t>
  </si>
  <si>
    <t xml:space="preserve">Yes. </t>
  </si>
  <si>
    <t>Due to CEO duality, promoter dominance, and auditor remarks on weak audit-trail systems, information asymmetry is likely and can hinder effective board oversight.</t>
  </si>
  <si>
    <t>Part II: IPO Analysis</t>
  </si>
  <si>
    <t>Q1: Dates of IPO</t>
  </si>
  <si>
    <t>IPO Open Date</t>
  </si>
  <si>
    <t>IPO Close Date</t>
  </si>
  <si>
    <t>Allotment Date</t>
  </si>
  <si>
    <t>Listing Date</t>
  </si>
  <si>
    <t>Q2: IPO Price (in ₹)</t>
  </si>
  <si>
    <t>Issue Price (in ₹)</t>
  </si>
  <si>
    <t>Price Band</t>
  </si>
  <si>
    <t>₹55–₹60</t>
  </si>
  <si>
    <t>Listing day close</t>
  </si>
  <si>
    <t>First-Day % Gain Formula</t>
  </si>
  <si>
    <t>As this is positive, it is IPO Underpricing</t>
  </si>
  <si>
    <t>Q3: Lead Underwriter</t>
  </si>
  <si>
    <t>Aryaman Financial Services Ltd.</t>
  </si>
  <si>
    <r>
      <rPr>
        <rFont val="Verdana"/>
        <b/>
        <color theme="1"/>
        <sz val="12.0"/>
      </rPr>
      <t xml:space="preserve">Registrar to the Issue: </t>
    </r>
    <r>
      <rPr>
        <rFont val="Verdana"/>
        <b val="0"/>
        <color theme="1"/>
        <sz val="12.0"/>
      </rPr>
      <t>Bigshare Services Pvt. Ltd.</t>
    </r>
  </si>
  <si>
    <t xml:space="preserve">Q4: Reason for IPO </t>
  </si>
  <si>
    <t>No of shares outstanding</t>
  </si>
  <si>
    <t>Price per share</t>
  </si>
  <si>
    <t>Total Price (in INR)</t>
  </si>
  <si>
    <t>Issue Size</t>
  </si>
  <si>
    <t>Fresh Issue</t>
  </si>
  <si>
    <t>Offer For Sale</t>
  </si>
  <si>
    <t>A mix of both: 30 lakh fresh issue shares (30 %) and 70 lakh offer-for-sale shares (70 %).</t>
  </si>
  <si>
    <t>The IPO comprised a mix of fresh issue and offer-for-sale. The fresh issue portion was primarily intended for funding working capital requirements (~₹15.44 crore) and general corporate purposes, while the offer-for-sale was by selling shareholders who would not receive the proceeds.</t>
  </si>
  <si>
    <t>Q5: Subscription (Times)</t>
  </si>
  <si>
    <t>12% Oversubscribed</t>
  </si>
  <si>
    <t>Investor Category</t>
  </si>
  <si>
    <t>Subscription (times)</t>
  </si>
  <si>
    <t>Shares Offered</t>
  </si>
  <si>
    <t>Shares Bid For</t>
  </si>
  <si>
    <t>Qualified Institutions</t>
  </si>
  <si>
    <t>Non-Institutional Buyers (NII/HNI)</t>
  </si>
  <si>
    <t>Retail Investors</t>
  </si>
  <si>
    <t>Total</t>
  </si>
  <si>
    <t>Q7: Amount mobilized (in Rs) during the IPO</t>
  </si>
  <si>
    <t>₹60 Cr</t>
  </si>
  <si>
    <t>₹60 * 1,00,00,000 shares</t>
  </si>
  <si>
    <t>Q8: Shareholding pattern before and after IPO</t>
  </si>
  <si>
    <t>Promoter &amp; Promoter Group</t>
  </si>
  <si>
    <t>Public &amp; Employee</t>
  </si>
  <si>
    <t>Shareholding pattern before IPO (promoter / public / others)</t>
  </si>
  <si>
    <t>Shareholding pattern after IPO (promoter / public / others)</t>
  </si>
  <si>
    <t xml:space="preserve">Q9: Did IPO provide exit routes to Private equity, venture capitalists, or Angel 
investors? </t>
  </si>
  <si>
    <t>No (Promoter Offer For Sale only)</t>
  </si>
  <si>
    <t>Q10: Utilisation of Proceeds</t>
  </si>
  <si>
    <t>From the total net proceeds of 60 crore, ₹42 crore raised through OFS went entirely to selling shareholders and not to the company, while the remaining 18 crore as fresh issue was used as below:</t>
  </si>
  <si>
    <t>18 cr</t>
  </si>
  <si>
    <t>Use of Funds</t>
  </si>
  <si>
    <t>Amount (₹ crore)</t>
  </si>
  <si>
    <t>Purpose</t>
  </si>
  <si>
    <t>Funding working capital requirements</t>
  </si>
  <si>
    <t>₹15.44 crore</t>
  </si>
  <si>
    <t>To support operational cash flow needs, mainly for sugarcane procurement, inventory, and seasonal liquidity.</t>
  </si>
  <si>
    <t>General corporate purposes</t>
  </si>
  <si>
    <t>₹2.56 crore</t>
  </si>
  <si>
    <t>Used for routine corporate expenses, strategic and administrative needs, and strengthening overall financial flexibility.</t>
  </si>
  <si>
    <t xml:space="preserve">Q11: Underwriting fees incurred during the IPO </t>
  </si>
  <si>
    <t>We couldn’t find any publicly disclosed figure for the underwriting fees incurred by Vishwaraj Sugar Industries Ltd during its IPO.</t>
  </si>
  <si>
    <t>According to public filings from over 1,300 companies, IPO-related underwriting and issue-management costs typically range between 4% and 7% of the total gross proceeds. Applying this range to Vishwaraj Sugar’s IPO size of ₹60 crore implies estimated costs between ₹2.40 crore and ₹4.20 crore.</t>
  </si>
  <si>
    <t>Q12: Post the IPO, has the company ever resorted to the following modes for financing 
its projects:</t>
  </si>
  <si>
    <t>Financing Mode</t>
  </si>
  <si>
    <t>Yes / No</t>
  </si>
  <si>
    <t>Crowdfunding</t>
  </si>
  <si>
    <t>No</t>
  </si>
  <si>
    <t>Private Equity</t>
  </si>
  <si>
    <t>Peer-to-peer lending</t>
  </si>
  <si>
    <t>Investment by commercial banks or NBFCs</t>
  </si>
  <si>
    <t>Yes</t>
  </si>
  <si>
    <t>CONCLUSION</t>
  </si>
  <si>
    <t>Was the IPO a success or failure?</t>
  </si>
  <si>
    <t>The IPO was fully subscribed (1.12×) → not very strong demand, but still successful. It listed with a positive first-day gain of +0.58%, which meets the definition of IPO underpricing. Listing day close: ₹60.35 vs. issue price ₹60 → marginally positive. Market treated the stock neutrally to cautiously, indicating moderate investor confidence, not excitement.</t>
  </si>
  <si>
    <t>How did the company perform after its IPO?</t>
  </si>
  <si>
    <t>The stock fell well below its issue price over the following months/years. Weak earnings, high debt, and modest growth meant post-IPO fundamentals did not improve significantly. Promoters holding fell from 54.22% to 32.83%, and the stock never developed strong momentum afterward. So in long-term terms, the performance of the company after IPO has been poor.</t>
  </si>
  <si>
    <t>Did IPO oversubscription and underpricing help long-term price performance?</t>
  </si>
  <si>
    <t>Oversubscription was very low (only 12% above demand). Underpricing was almost negligible (less than 1%). The company’s long-term stock performance did not benefit from either factor. Once financial results weakened, the stock price declined, showing that sentiment from a mildly positive listing did not sustain.</t>
  </si>
  <si>
    <t>Part III – Financial Management of the company</t>
  </si>
  <si>
    <t>Years ending in 31 March 2024 (FY24) and 31 March 2025(FY25) taken as reference period</t>
  </si>
  <si>
    <t>I. Capital Expenditure</t>
  </si>
  <si>
    <t>Vishwaraj Sugar Industries Limited  (VSIL), a sugar, ethanol, and co-generation company based in Karnataka, undertook significant capital investments during FY 2024-25, totaling Rs. 8,265.06 lakhs, representing a 13.4% increase compared to FY 2023-24 (Rs. 25,017.00 lakhs). The company's capex strategy reflects a clear focus on capacity expansion and diversification into high-value products, particularly ethanol production and power generation capabilities</t>
  </si>
  <si>
    <t xml:space="preserve"> </t>
  </si>
  <si>
    <t>Particular</t>
  </si>
  <si>
    <t>FY 2023-24</t>
  </si>
  <si>
    <t>FY 2024-25</t>
  </si>
  <si>
    <t>Change</t>
  </si>
  <si>
    <t>% Change</t>
  </si>
  <si>
    <t>PP&amp;E Additions</t>
  </si>
  <si>
    <t>Factory buildings</t>
  </si>
  <si>
    <t>Other Building</t>
  </si>
  <si>
    <t>-</t>
  </si>
  <si>
    <t>Office Equipment</t>
  </si>
  <si>
    <t>Furniture &amp; Fixtures</t>
  </si>
  <si>
    <t>Vehicles</t>
  </si>
  <si>
    <t>Land</t>
  </si>
  <si>
    <t>CAPEX</t>
  </si>
  <si>
    <t>Capital Work in Progress (CWIP)</t>
  </si>
  <si>
    <t>Total Capital Investment</t>
  </si>
  <si>
    <t>Nature of Capital Expenditure</t>
  </si>
  <si>
    <t>Capex Use Category</t>
  </si>
  <si>
    <t>Description/Project Details</t>
  </si>
  <si>
    <t>EXPANSION CAPEX</t>
  </si>
  <si>
    <t>Distillery Expansion (250 KLPD Upgrade)</t>
  </si>
  <si>
    <t>150 KLPD addition to existing 100 KLPD distillery; entire investment reflected in CWIP additions for FY25. Project under implementation.</t>
  </si>
  <si>
    <t>Sugar Factory &amp; Infrastructure</t>
  </si>
  <si>
    <t>Regular capex in the existing 11,000 TCD sugar unit; no new sugar plant construction or greenfield project recognised in FY25.</t>
  </si>
  <si>
    <t>Power Co-generation (36.4 MW existing)</t>
  </si>
  <si>
    <t>No expansion of co-gen capacity; only routine enhancements/overhauls embedded within PPE additions.</t>
  </si>
  <si>
    <t>REPLACEMENT &amp; MAINTENANCE CAPEX</t>
  </si>
  <si>
    <t>Replacement &amp; Maintenance Capex</t>
  </si>
  <si>
    <t>Additions to factory buildings, plant &amp; machinery, office equipment, furniture &amp; fixtures; represents ongoing upkeep and operational reliability improvements.</t>
  </si>
  <si>
    <t>Miscellaneous Assets (Office, Vehicles, etc.)</t>
  </si>
  <si>
    <t>Minor additions to administrative assets; no new vehicles added in FY25.</t>
  </si>
  <si>
    <t>TECHNOLOGY &amp; R&amp;D INVESTMENT</t>
  </si>
  <si>
    <t>Technology/Process Improvements</t>
  </si>
  <si>
    <t>Small-scale technology upgrades related to plant reliability, energy efficiency, and process optimisation; reflected primarily in plant &amp; machinery additions.</t>
  </si>
  <si>
    <t>TOTAL CAPEX</t>
  </si>
  <si>
    <t>TOTAL CAPITAL EXPENDITURE (FY25)</t>
  </si>
  <si>
    <t>FY25 total capex = PPE additions (₹593.65 lakh) + CWIP additions (₹7,671.41 lakh) = ₹8,265.06 lakh.</t>
  </si>
  <si>
    <t>No investment in CapEx related to diversification and intangible assets. There are NO exports, partnerships, joint-ventures etc.</t>
  </si>
  <si>
    <t>BUSINESS SEGMENT INVESTMENT ANALYSIS</t>
  </si>
  <si>
    <t>Business Segment</t>
  </si>
  <si>
    <t>Segment Assets (Rs. Lakhs)</t>
  </si>
  <si>
    <t>% of Total Assets</t>
  </si>
  <si>
    <t>Investment Type</t>
  </si>
  <si>
    <t>Sugar</t>
  </si>
  <si>
    <t>Existing facility maintenance</t>
  </si>
  <si>
    <t>Distillery</t>
  </si>
  <si>
    <t>Expansion (New 150 KLPD)</t>
  </si>
  <si>
    <t>Co-generation</t>
  </si>
  <si>
    <t>Bagasse-based power plant</t>
  </si>
  <si>
    <t>Vinegar Unit</t>
  </si>
  <si>
    <t>Byproduct processing</t>
  </si>
  <si>
    <t>IML (IMFL)</t>
  </si>
  <si>
    <t>Alcohol manufacturing</t>
  </si>
  <si>
    <t>Unallocable</t>
  </si>
  <si>
    <t>Common infrastructure</t>
  </si>
  <si>
    <t>Total Assets</t>
  </si>
  <si>
    <t xml:space="preserve">Total Assets (in lakh rs) = </t>
  </si>
  <si>
    <t>ASSET COMPOSITION AND GROWTH ANALYSIS</t>
  </si>
  <si>
    <t>Asset Category</t>
  </si>
  <si>
    <t>FY 2023-24 Gross (in lakh rs)</t>
  </si>
  <si>
    <t>FY 2024-25 Gross (in lakh rs)</t>
  </si>
  <si>
    <t>Net Book Value (FY 25)</t>
  </si>
  <si>
    <t>Factory Buildings</t>
  </si>
  <si>
    <t>Other Buildings</t>
  </si>
  <si>
    <t>Plant &amp; Equipment</t>
  </si>
  <si>
    <t>TOTAL PP&amp;E</t>
  </si>
  <si>
    <t>Capital WIP</t>
  </si>
  <si>
    <t>GRAND TOTAL</t>
  </si>
  <si>
    <t>Growth wrt sales</t>
  </si>
  <si>
    <t>FY</t>
  </si>
  <si>
    <t>Total Capital Investment (Rs. Lakhs)</t>
  </si>
  <si>
    <t>Net Sales (Rs. Lakhs)</t>
  </si>
  <si>
    <t>EBITDA Margin (%)</t>
  </si>
  <si>
    <t>2023-24</t>
  </si>
  <si>
    <t>2024-25</t>
  </si>
  <si>
    <t>II. Working Capital Aalysis</t>
  </si>
  <si>
    <t>Particulars</t>
  </si>
  <si>
    <t>FY 2024–25 (lakh rs)</t>
  </si>
  <si>
    <t>FY 2023–24</t>
  </si>
  <si>
    <t>Current Assets</t>
  </si>
  <si>
    <t>Current Liabilities</t>
  </si>
  <si>
    <t>Working Capital</t>
  </si>
  <si>
    <t>Negative working capital means current liabilities &gt; current assets, which is typical in the sugar industry (high creditor support + inventory financing).</t>
  </si>
  <si>
    <t>The company’s net working capital remains negative but improving, moving from about Rs. -3,305 Lakhs in FY 2023‑24 to about Rs. -2,995 Lakhs in FY 2024‑25 as current liabilities continue to exceed current assets while the gap narrows slightly.</t>
  </si>
  <si>
    <t>FUNDING FOR WORKING CAPITAL</t>
  </si>
  <si>
    <t>Source Category</t>
  </si>
  <si>
    <t>FY 2024-25 (Rs. Lakhs)</t>
  </si>
  <si>
    <t>FY 2023-24 (Rs. Lakhs)</t>
  </si>
  <si>
    <t>Change (Rs. Lakhs)</t>
  </si>
  <si>
    <t>FY 2024-25%</t>
  </si>
  <si>
    <t>FY 2023-24%</t>
  </si>
  <si>
    <t>Operating Cash Flow</t>
  </si>
  <si>
    <t>Long-Term Debt Financing</t>
  </si>
  <si>
    <t>Short-Term Debt Financing</t>
  </si>
  <si>
    <t>Trade Credit</t>
  </si>
  <si>
    <t>Customer &amp; Advance Financing</t>
  </si>
  <si>
    <t>Equity Financing</t>
  </si>
  <si>
    <t>TOTAL</t>
  </si>
  <si>
    <t>The company predominantly fulfils its working capital needs through external financing, mainly short‑term working capital borrowings (cash credit and current maturities of term loans), supplemented by long‑term borrowings, trade payables, customer deposits/advances, and a smaller contribution from operating cash flows in FY 2024‑25.</t>
  </si>
  <si>
    <t>CURRENT ASSETS (24-25)</t>
  </si>
  <si>
    <t>Component</t>
  </si>
  <si>
    <t>Amount (Rs. Lakhs)</t>
  </si>
  <si>
    <t>% of Total</t>
  </si>
  <si>
    <t>Inventories</t>
  </si>
  <si>
    <t>Trade Receivables</t>
  </si>
  <si>
    <t>Cash &amp; Cash Equivalents</t>
  </si>
  <si>
    <t>Other Current Assets</t>
  </si>
  <si>
    <t>Other Bank Balances</t>
  </si>
  <si>
    <t>Other Financial Assets</t>
  </si>
  <si>
    <t>Total Current Assets</t>
  </si>
  <si>
    <t>On the asset side, the major components of working capital are inventories (around 70% of current assets), followed by other current assets (advances, statutory balances) and trade receivables, with cash and bank balances forming only a small portion of total current assets.</t>
  </si>
  <si>
    <t>CURRENT LIABILITIES(24-25)</t>
  </si>
  <si>
    <t>Current Borrowings</t>
  </si>
  <si>
    <t>Trade Payables</t>
  </si>
  <si>
    <t>Other Financial Liabilities</t>
  </si>
  <si>
    <t>Other Current Liabilities</t>
  </si>
  <si>
    <t>Current Provisions</t>
  </si>
  <si>
    <t>Total Current Liabilities</t>
  </si>
  <si>
    <t>On the liability side, the dominant working capital components are current borrowings (working capital loans and current maturities of term loans), trade payables, and other financial liabilities (deposits and advances), which together form the bulk of current liabilities and drive the negative working capital position.</t>
  </si>
  <si>
    <t>III. Capital Structure</t>
  </si>
  <si>
    <t>Quarter End</t>
  </si>
  <si>
    <t>Equity Share Capital</t>
  </si>
  <si>
    <t>Other Equity</t>
  </si>
  <si>
    <t>Total Equity</t>
  </si>
  <si>
    <t>Non-Current Borrowings</t>
  </si>
  <si>
    <t>Total Borrowings (Debt)</t>
  </si>
  <si>
    <t>Debt to Equity</t>
  </si>
  <si>
    <t>FY 2023-24 Observations:</t>
  </si>
  <si>
    <t>Quarterly Volatility: D/E ratio ranged from 1.03x (Sep-23, lowest) to 1.39x (Mar-23, highest), showing significant seasonal variation</t>
  </si>
  <si>
    <t>Equity Decline in H1: Total equity fell from Rs. 25,560 Lakhs (Mar-23) to Rs. 23,690 Lakhs (Sep-23), -7.3% decline due to operational losses</t>
  </si>
  <si>
    <t>Debt Reduction Strategy: Debt fell from Rs. 35,559 Lakhs to Rs. 24,422 Lakhs (-31.2%) by Sep-23, indicating deliberate deleveraging in off-season</t>
  </si>
  <si>
    <t>Year-End Rebuilding: Both equity (+13.2% vs Sep-23) and debt (+49.6% vs Sep-23) rebuilt by Mar-24, reflecting seasonal crush season requirements</t>
  </si>
  <si>
    <t>Working Capital Spike: Current debt surged to Rs. 29,086 Lakhs at year-end, representing working capital facility drawdown for crush operations</t>
  </si>
  <si>
    <t>FY 2024-25 Observations:</t>
  </si>
  <si>
    <t>Equity Growth: Total equity increased from Rs. 25,100 Lakhs (Jun-24) to Rs. 28,048 Lakhs (Mar-25), +11.8% growth through QIP and retained earnings</t>
  </si>
  <si>
    <t>Dramatic Long-Term Debt Increase: Non-current debt surged from Rs. 8,334 Lakhs (Jun-24) to Rs. 18,011 Lakhs (Dec-24), +116% increase, driven by distillery expansion project financing</t>
  </si>
  <si>
    <t>Controlled Leverage in H1-H2: Despite LT debt spike, D/E ratio remained well-controlled at 1.16x-1.20x through Sep-Dec, below year-end baseline</t>
  </si>
  <si>
    <t>Year-End Working Capital Drawdown: Current borrowings jumped from Rs. 14,496 Lakhs (Dec-24) to Rs. 26,568 Lakhs (Mar-25), +83%, reflecting seasonal crush season peak</t>
  </si>
  <si>
    <t>Long-Term Debt Normalization: Non-current debt fell from Rs. 18,011 Lakhs (Dec-24) to Rs. 12,484 Lakhs (Mar-25), suggesting partial project completion/capitalization</t>
  </si>
  <si>
    <t>Metric</t>
  </si>
  <si>
    <t>Mar-24 (FY23-24 End)</t>
  </si>
  <si>
    <t>Mar-25 (FY24-25 End)</t>
  </si>
  <si>
    <t>Non-Current Debt</t>
  </si>
  <si>
    <t>Current Debt</t>
  </si>
  <si>
    <t>Total Debt</t>
  </si>
  <si>
    <t>D/E Ratio</t>
  </si>
  <si>
    <t>Debt %</t>
  </si>
  <si>
    <t>Equity%</t>
  </si>
  <si>
    <t>Key Shifts:</t>
  </si>
  <si>
    <t>Equity Strengthening: 4.5% growth through QIP (Rs. 5,399 Lakhs gross proceeds) and retained earnings, despite operational losses</t>
  </si>
  <si>
    <t>Strategic Long-Term Borrowing: 67.2% surge in non-current debt, entirely project-linked for Rs. 125 Crores distillery expansion (BDCC Bank consortium)</t>
  </si>
  <si>
    <t>Working Capital Optimization: Current borrowings fell 8.7% YoY, largely because production dropped sharply (–35.5%), resulting in lower inventory financing needs. This appears as a reduction in WC debt, but it is driven by operational contraction, not optimization.</t>
  </si>
  <si>
    <t>Stable Leverage: Although debt increased by ₹2,500 lakh, the D/E ratio rose only 2.2% because the equity base expanded due to QIP infusion. Leverage remained stable, masking the underlying increase in absolute borrowings.</t>
  </si>
  <si>
    <t>Debt Composition Shift: Long-term debt now 32% of total (vs 20% previously), improving debt maturity profile and reducing refinancing risk</t>
  </si>
  <si>
    <t>Funding Sources Deployed (FY 2024-25 - Rs. Lakhs):</t>
  </si>
  <si>
    <t>Funding Source</t>
  </si>
  <si>
    <t>Amount</t>
  </si>
  <si>
    <t>Type</t>
  </si>
  <si>
    <t>Status</t>
  </si>
  <si>
    <t>Equity Dilution (QIP)</t>
  </si>
  <si>
    <t>Equity</t>
  </si>
  <si>
    <t>Balance sheet strengthening, strategic capital</t>
  </si>
  <si>
    <t xml:space="preserve"> Completed Nov-24</t>
  </si>
  <si>
    <t>Long-Term Debt (BDCC Consortium)</t>
  </si>
  <si>
    <t>~5,000 (FY25 drawdown)</t>
  </si>
  <si>
    <t>Debt</t>
  </si>
  <si>
    <t>Distillery expansion project financing</t>
  </si>
  <si>
    <t xml:space="preserve"> Ongoing</t>
  </si>
  <si>
    <t>Internal</t>
  </si>
  <si>
    <t>Operational needs, interest service, maintenance CapEx</t>
  </si>
  <si>
    <t>Generated</t>
  </si>
  <si>
    <t>Current Debt (WC Facilities)</t>
  </si>
  <si>
    <t>Maintained ~26,500-30,000</t>
  </si>
  <si>
    <t>Seasonal working capital for crushing operations</t>
  </si>
  <si>
    <t xml:space="preserve"> Available</t>
  </si>
  <si>
    <t>Working-Capital Change</t>
  </si>
  <si>
    <t>Reduced WC needs due to lower production</t>
  </si>
  <si>
    <t>Achieved</t>
  </si>
  <si>
    <t>Total Funding Available in FY25: ~Rs. 17,953 Lakhs</t>
  </si>
  <si>
    <t>Investment Requirements vs Funding Deployment:</t>
  </si>
  <si>
    <t>Requirement</t>
  </si>
  <si>
    <t>Amount (Lakhs)</t>
  </si>
  <si>
    <t>Funded By</t>
  </si>
  <si>
    <t>Adequacy</t>
  </si>
  <si>
    <t>Analysis</t>
  </si>
  <si>
    <t>Distillery Expansion CapEx</t>
  </si>
  <si>
    <t>LT Debt (67%), Equity (20%), OCF (13%)</t>
  </si>
  <si>
    <t>Adequate</t>
  </si>
  <si>
    <t>BDCC loan covers 90%+ project cost; company provides 10%</t>
  </si>
  <si>
    <t>Maintenance CapEx</t>
  </si>
  <si>
    <t>~4,000</t>
  </si>
  <si>
    <t>Operating CF</t>
  </si>
  <si>
    <t>Rs. 5,036 OCF covers maintenance needs</t>
  </si>
  <si>
    <t>Interest Payments</t>
  </si>
  <si>
    <t>Operating CF (primarily)</t>
  </si>
  <si>
    <t>Marginal</t>
  </si>
  <si>
    <t>OCF sufficient to cover but tight</t>
  </si>
  <si>
    <t>Perpetual</t>
  </si>
  <si>
    <t>WC Facilities (Rs. 26,500 Lakhs)</t>
  </si>
  <si>
    <t>Facilities renewed annually; optimized during off-season</t>
  </si>
  <si>
    <t>Debt Repayment</t>
  </si>
  <si>
    <t>~2,000-3,000</t>
  </si>
  <si>
    <t>OCF + Asset sales</t>
  </si>
  <si>
    <t>Inadequate</t>
  </si>
  <si>
    <t>Primary source through project completion returns</t>
  </si>
  <si>
    <t>Is the company generating enough operating cash flow to fulfill CapEx and other requirements?</t>
  </si>
  <si>
    <t>Assessment</t>
  </si>
  <si>
    <t>Rs. 26,829 Lakhs</t>
  </si>
  <si>
    <t>Rs. 28,048 Lakhs</t>
  </si>
  <si>
    <t>Growth</t>
  </si>
  <si>
    <t>Rs. 36,552 Lakhs</t>
  </si>
  <si>
    <t>Rs. 39,052 Lakhs</t>
  </si>
  <si>
    <t>1.36x</t>
  </si>
  <si>
    <t>1.39x</t>
  </si>
  <si>
    <t>Higher leverage</t>
  </si>
  <si>
    <t>Rs. 14,574 Lakhs</t>
  </si>
  <si>
    <t>Rs. 5,036 Lakhs</t>
  </si>
  <si>
    <t>CRITICAL DECLINE</t>
  </si>
  <si>
    <t>Capital Expenditure</t>
  </si>
  <si>
    <t>Rs. 12,588 Lakhs</t>
  </si>
  <si>
    <t>Rs. 8,265 Lakhs</t>
  </si>
  <si>
    <t>Reduced</t>
  </si>
  <si>
    <t>Free Cash Flow</t>
  </si>
  <si>
    <t>Rs. 1,986 Lakhs</t>
  </si>
  <si>
    <t>Rs. -3,229 Lakhs</t>
  </si>
  <si>
    <t>Negative</t>
  </si>
  <si>
    <t>DEFICIT</t>
  </si>
  <si>
    <t>Interest Coverage Ratio</t>
  </si>
  <si>
    <t>2.25x</t>
  </si>
  <si>
    <t>0.56x</t>
  </si>
  <si>
    <t>CRITICAL</t>
  </si>
  <si>
    <t>OCF Coverage (CapEx + Interest)</t>
  </si>
  <si>
    <t>-50.1pp</t>
  </si>
  <si>
    <t>INADEQUATE</t>
  </si>
  <si>
    <t>Net Profit/Loss</t>
  </si>
  <si>
    <t>Rs. 14.5 Lakhs</t>
  </si>
  <si>
    <t>Rs. -37.02 Lakhs</t>
  </si>
  <si>
    <t>Loss</t>
  </si>
  <si>
    <t>Profitability crisis</t>
  </si>
  <si>
    <r>
      <rPr>
        <rFont val="Arial"/>
        <color rgb="FF000000"/>
        <sz val="12.0"/>
      </rPr>
      <t>The analysis clearly indicates that</t>
    </r>
    <r>
      <rPr>
        <rFont val="Arial"/>
        <b/>
        <color rgb="FF000000"/>
        <sz val="12.0"/>
      </rPr>
      <t xml:space="preserve"> operating cash flow is insufficient to meet the company’s funding requirements.</t>
    </r>
    <r>
      <rPr>
        <rFont val="Arial"/>
        <color rgb="FF000000"/>
        <sz val="12.0"/>
      </rPr>
      <t xml:space="preserve"> OCF fell sharply by 65% in FY25, declining from ₹14,574 lakhs to ₹5,036 lakhs, which pushed the company into a position where </t>
    </r>
    <r>
      <rPr>
        <rFont val="Arial"/>
        <b/>
        <color rgb="FF000000"/>
        <sz val="12.0"/>
      </rPr>
      <t>free cash flow turned negative</t>
    </r>
    <r>
      <rPr>
        <rFont val="Arial"/>
        <color rgb="FF000000"/>
        <sz val="12.0"/>
      </rPr>
      <t xml:space="preserve">, as CapEx substantially exceeded internal cash generation. During the year, </t>
    </r>
    <r>
      <rPr>
        <rFont val="Arial"/>
        <b/>
        <color rgb="FF000000"/>
        <sz val="12.0"/>
      </rPr>
      <t>OCF could fund only 61% of CapEx,</t>
    </r>
    <r>
      <rPr>
        <rFont val="Arial"/>
        <color rgb="FF000000"/>
        <sz val="12.0"/>
      </rPr>
      <t xml:space="preserve"> forcing the firm to rely on external financing. When interest costs are included,</t>
    </r>
    <r>
      <rPr>
        <rFont val="Arial"/>
        <b/>
        <color rgb="FF000000"/>
        <sz val="12.0"/>
      </rPr>
      <t xml:space="preserve"> OCF covered merely 43% of total obligations</t>
    </r>
    <r>
      <rPr>
        <rFont val="Arial"/>
        <color rgb="FF000000"/>
        <sz val="12.0"/>
      </rPr>
      <t xml:space="preserve">, creating a sizeable funding gap. This liquidity strain is further reflected in the </t>
    </r>
    <r>
      <rPr>
        <rFont val="Arial"/>
        <b/>
        <color rgb="FF000000"/>
        <sz val="12.0"/>
      </rPr>
      <t>collapse of the interest coverage ratio to 0.56x,</t>
    </r>
    <r>
      <rPr>
        <rFont val="Arial"/>
        <color rgb="FF000000"/>
        <sz val="12.0"/>
      </rPr>
      <t xml:space="preserve"> signaling critical stress in the company’s ability to service debt from operations. The firm also posted a </t>
    </r>
    <r>
      <rPr>
        <rFont val="Arial"/>
        <b/>
        <color rgb="FF000000"/>
        <sz val="12.0"/>
      </rPr>
      <t xml:space="preserve">net loss in FY25 </t>
    </r>
    <r>
      <rPr>
        <rFont val="Arial"/>
        <color rgb="FF000000"/>
        <sz val="12.0"/>
      </rPr>
      <t xml:space="preserve">alongside a </t>
    </r>
    <r>
      <rPr>
        <rFont val="Arial"/>
        <b/>
        <color rgb="FF000000"/>
        <sz val="12.0"/>
      </rPr>
      <t>steep drop in EBITDA,</t>
    </r>
    <r>
      <rPr>
        <rFont val="Arial"/>
        <color rgb="FF000000"/>
        <sz val="12.0"/>
      </rPr>
      <t xml:space="preserve"> increasing pressure on internal resources. As a result, dependence on debt and equity infusion intensified, and the company had to rely on working capital adjustments to navigate short-term cash shortfalls. Overall, the </t>
    </r>
    <r>
      <rPr>
        <rFont val="Arial"/>
        <b/>
        <color rgb="FF000000"/>
        <sz val="12.0"/>
      </rPr>
      <t>business is not self-sustaining on operating cash flow, and financial sustainability will remain at risk unless the expanded distillery capacity begins generating meaningful incremental returns</t>
    </r>
    <r>
      <rPr>
        <rFont val="Arial"/>
        <color rgb="FF000000"/>
        <sz val="12.0"/>
      </rPr>
      <t>.</t>
    </r>
  </si>
  <si>
    <t>IV. Cost of Capital &amp; Intrinsic Value Analysis</t>
  </si>
  <si>
    <t>A. COST OF EQUITY (Ke) ESTIMATION - CAPM MODEL</t>
  </si>
  <si>
    <t>CAPM Model: Ke = Rf + β(Rm - Rf)</t>
  </si>
  <si>
    <t>Value</t>
  </si>
  <si>
    <t>Source/Justification</t>
  </si>
  <si>
    <t>Risk-Free Rate (Rf)</t>
  </si>
  <si>
    <t>India 10-year Government Securities (GSec) yield, Nov 2025</t>
  </si>
  <si>
    <t>Expected Market Return (Rm)</t>
  </si>
  <si>
    <t>Historical equity market return in India; long-term average 12-14%</t>
  </si>
  <si>
    <t>Market Risk Premium (MRP)</t>
  </si>
  <si>
    <t>Rm - Rf = 13.0% - 6.9% = 6.1%</t>
  </si>
  <si>
    <t>The company's beta reflects multiple risk dimensions:</t>
  </si>
  <si>
    <t>Industry Beta (Unlevered): 0.6 - Unlevered Beta of companies from the same sector is between 0.45-0.7 .</t>
  </si>
  <si>
    <t>Leverage Adjustment:</t>
  </si>
  <si>
    <t>Debt-to-Equity Ratio: 1.39x</t>
  </si>
  <si>
    <r>
      <rPr>
        <rFont val="Arial"/>
        <b/>
        <color rgb="FF000000"/>
        <sz val="12.0"/>
      </rPr>
      <t>Tax Rate Assumption:</t>
    </r>
    <r>
      <rPr>
        <rFont val="Arial"/>
        <color rgb="FF000000"/>
        <sz val="12.0"/>
      </rPr>
      <t xml:space="preserve"> A tax rate of 0% has been applied in the valuation model because the company has reported negative taxable income for consecutive years, resulting in no cash tax outflows and the availability of accumulated losses and unabsorbed depreciation to offset future taxable profits in the near term.</t>
    </r>
  </si>
  <si>
    <t>Levered Beta = 1.0 × [1 + (1 - Tax Rate) × D/E]</t>
  </si>
  <si>
    <t>Levered Beta = 0.6 × (1 + 1.39) = 1.43x</t>
  </si>
  <si>
    <t>Cost of Equity Calculation:</t>
  </si>
  <si>
    <t>Ke = 6.9% + 1.43 × 6.1%</t>
  </si>
  <si>
    <t>Ke = 6.9% + 8.72%</t>
  </si>
  <si>
    <t>Ke = 15.62%</t>
  </si>
  <si>
    <t>B. COST OF DEBT (Kd) ESTIMATION</t>
  </si>
  <si>
    <t>Item</t>
  </si>
  <si>
    <t>Interest Expense (FY25)</t>
  </si>
  <si>
    <t>Total Debt (Current + Non-current)</t>
  </si>
  <si>
    <t>Effective Kd</t>
  </si>
  <si>
    <t>After-Tax Cost of Debt:</t>
  </si>
  <si>
    <t>Kd(after-tax) = 8.78% × (1 - Tax Rate)</t>
  </si>
  <si>
    <t>Tax Rate: 0% (no income tax paid in FY25, deferred tax only)</t>
  </si>
  <si>
    <t>Kd(after-tax) = 8.78%</t>
  </si>
  <si>
    <t>C. WEIGHTED AVERAGE COST OF CAPITAL (WACC)</t>
  </si>
  <si>
    <t>Price of share (End of FY24-25) (rs/share)</t>
  </si>
  <si>
    <t>No of shares (in lakhs</t>
  </si>
  <si>
    <t>Weight</t>
  </si>
  <si>
    <t>Market Value of Equity (E)</t>
  </si>
  <si>
    <t>Book Value of Debt (D)</t>
  </si>
  <si>
    <t>Total Capital (E+D)</t>
  </si>
  <si>
    <r>
      <rPr>
        <rFont val="Arial"/>
        <b/>
        <color rgb="FF000000"/>
        <sz val="12.0"/>
      </rPr>
      <t>ASSUMPTION</t>
    </r>
    <r>
      <rPr>
        <rFont val="Arial"/>
        <color rgb="FF000000"/>
        <sz val="12.0"/>
      </rPr>
      <t>: We have considered the book value of debt for this case due to unavailability of the market value.</t>
    </r>
  </si>
  <si>
    <t>WACC Calculation:</t>
  </si>
  <si>
    <t>Weights</t>
  </si>
  <si>
    <t>Rate (Cost)</t>
  </si>
  <si>
    <t>k * W</t>
  </si>
  <si>
    <t>WACC</t>
  </si>
  <si>
    <t>WACC=(0.3053×15.62%)+(0.6947×8.78%)</t>
  </si>
  <si>
    <t>WACC= 4.769% + 6.099%</t>
  </si>
  <si>
    <t>WACC = 10.868%</t>
  </si>
  <si>
    <t>This WACC of 10.868% reflects:</t>
  </si>
  <si>
    <t>High cost of equity (15.62%) due to distressed company profile</t>
  </si>
  <si>
    <t>Moderate cost of debt (8.78%)</t>
  </si>
  <si>
    <t>High capital structure weight on debt (69.47%) – company is heavily leveraged with market value of equity less than market value of debt</t>
  </si>
  <si>
    <t>Calculation of Intrinsic Value</t>
  </si>
  <si>
    <t>BASE CASE</t>
  </si>
  <si>
    <t>1. Identify Required Inputs From Annual Report</t>
  </si>
  <si>
    <t>A. Operating Cash Flow (FY25)</t>
  </si>
  <si>
    <t>From Cash Flow Statement:</t>
  </si>
  <si>
    <t>Net Cash from Operating Activities (CFO FY25) = ₹5,035.79 lakh</t>
  </si>
  <si>
    <t>B. Capital Expenditure (FY25)</t>
  </si>
  <si>
    <t>Purchase of Fixed Assets (Capex FY25) = ₹8,265.06 lakh</t>
  </si>
  <si>
    <t>C. Net FCFF for FY25</t>
  </si>
  <si>
    <t>Free Cash Flow to Firm (FCFF):</t>
  </si>
  <si>
    <t>FCFF = OCF - CAPEX</t>
  </si>
  <si>
    <r>
      <rPr>
        <rFont val="Verdana"/>
        <b/>
        <color theme="1"/>
        <sz val="12.0"/>
      </rPr>
      <t>ASSUMPTION :</t>
    </r>
    <r>
      <rPr>
        <rFont val="Verdana"/>
        <color theme="1"/>
        <sz val="12.0"/>
      </rPr>
      <t xml:space="preserve"> Working capital changes are not added separately because the Free Cash Flow calculation is based on Net Cash from Operating Activities (CFO), which already incorporates all working-capital movements. Including ΔWC again would result in double counting.</t>
    </r>
  </si>
  <si>
    <t>FCFF(FY25)  5035.79 - 8265.06 = -3229.27 lakh</t>
  </si>
  <si>
    <t>Negative because the company is in heavy expansion (250 KLPD distillery project).</t>
  </si>
  <si>
    <t>2. Forward FCFF Projection (Conservative)</t>
  </si>
  <si>
    <t>Year</t>
  </si>
  <si>
    <t>EBIT</t>
  </si>
  <si>
    <t>Depreciation</t>
  </si>
  <si>
    <t>CapEx</t>
  </si>
  <si>
    <t>ΔWC</t>
  </si>
  <si>
    <t>FCFF</t>
  </si>
  <si>
    <t>FY26</t>
  </si>
  <si>
    <t>FY27</t>
  </si>
  <si>
    <t>FY28</t>
  </si>
  <si>
    <t>FY29</t>
  </si>
  <si>
    <t>FY30</t>
  </si>
  <si>
    <t>Assumptions for FCFF Forecasting:
The projections for Revenue, EBITDA, Depreciation, Working Capital, and Capital Expenditure are based on a detailed analysis of the company’s historical performance over FY22–FY25 using the annual reports. Since revenue in FY25 declined sharply due to a 2.1 lakh MT cane shortage, FY25 is treated as a cyclical low rather than a structural deterioration. With the commissioning of the 250 KLPD distillery serving as a major growth catalyst from FY26 onward, revenue growth has been assumed at 12%, 10%, 8%, 7%, and 6% for FY26–FY30 respectively.
EBITDA margins are assumed to improve gradually from 9% to 11%, reflecting the higher and more stable profitability of the distillery division relative to the sugar segment. Depreciation is projected to rise steadily in line with the capitalization of the new distillery assets.
Working capital requirements have been assumed at 12% of revenue, consistent with historical trends in inventory and receivables. Capital expenditure includes one final year of expansion-related spending in FY26 (₹6,000 lakh), after which CapEx reverts to maintenance levels. Based on these assumptions and applying the standard FCFF formulation, the company is expected to report negative FCFF in FY26, followed by positive and strengthening FCFF from FY27 onward.</t>
  </si>
  <si>
    <t>3. Discount FCFF to Present Value</t>
  </si>
  <si>
    <t>PV=FCFF(t)/((1+0.1086)^t)</t>
  </si>
  <si>
    <t>PV factor</t>
  </si>
  <si>
    <t>PV (₹ lakh)</t>
  </si>
  <si>
    <t>Sum of PV(FCFF)</t>
  </si>
  <si>
    <t>4. Terminal Value Using Gordon Growth</t>
  </si>
  <si>
    <t>Assume long-term growth rate: g = 4%</t>
  </si>
  <si>
    <t>TV = FCFF(FY30) * (1+g) / (WACC-g)</t>
  </si>
  <si>
    <t>TV = 4087 * 1.04 / (.1086 - 0.04)</t>
  </si>
  <si>
    <t>TV = 61960.35 lakhs</t>
  </si>
  <si>
    <t>Present Value of Terminal Value</t>
  </si>
  <si>
    <t>PV(TV)=61960.35×0.5972080164=37003.22 lakh</t>
  </si>
  <si>
    <t>5. Enterprise Value (DCF Output)</t>
  </si>
  <si>
    <t>EV=PV(FCFF 1−5)+PV(TV)</t>
  </si>
  <si>
    <t>EV=7759.93+37003.22=44763.15 lakh</t>
  </si>
  <si>
    <t>6. Equity Value From Enterprise Value</t>
  </si>
  <si>
    <t>Equity Value=EV−Debt+Cash =44763.15−39,051.87+959.33 =6670.61 lakh</t>
  </si>
  <si>
    <t>7. Intrinsic Value Per Share</t>
  </si>
  <si>
    <t>Shares outstanding (from report):</t>
  </si>
  <si>
    <t>21.78277 crore shares = 2178.277 lakh shares</t>
  </si>
  <si>
    <t>Value per share = 6670.61 / 2178.27</t>
  </si>
  <si>
    <t>Price = ₹3.06 per share</t>
  </si>
  <si>
    <t>DCF Equity Value</t>
  </si>
  <si>
    <t>₹6670.61 lakh</t>
  </si>
  <si>
    <t>Intrinsic Value per Share</t>
  </si>
  <si>
    <t>₹3.06</t>
  </si>
  <si>
    <t>Current Market Price</t>
  </si>
  <si>
    <t>~₹7–9</t>
  </si>
  <si>
    <t>Valuation</t>
  </si>
  <si>
    <t>129% overvalued</t>
  </si>
  <si>
    <t>PESSIMISTIC CASE</t>
  </si>
  <si>
    <r>
      <rPr>
        <rFont val="Verdana"/>
        <b/>
        <color theme="1"/>
        <sz val="12.0"/>
      </rPr>
      <t>ASSUMPTION :</t>
    </r>
    <r>
      <rPr>
        <rFont val="Verdana"/>
        <color theme="1"/>
        <sz val="12.0"/>
      </rPr>
      <t xml:space="preserve"> Working capital changes are not added separately because the Free Cash Flow calculation is based on Net Cash from Operating Activities (CFO), which already incorporates all working-capital movements. Including ΔWC again would result in double counting.</t>
    </r>
  </si>
  <si>
    <t>Assume long-term growth rate: g = 3%</t>
  </si>
  <si>
    <t>TV = 2587 * 1.03 / (.1086 - 0.03)</t>
  </si>
  <si>
    <t>TV = 33900.89 lakhs</t>
  </si>
  <si>
    <t>PV(TV)=33900.89×0.5972080164=20245.88 lakh</t>
  </si>
  <si>
    <t>EV=3421.35+20245.88=23667.23 lakh</t>
  </si>
  <si>
    <t>Equity Value=EV−Debt+Cash =23667.23−39,051.87+959.33 =-14425.31 lakh</t>
  </si>
  <si>
    <t>the firm’s operating cash flows are insufficient to cover its capital structure, and therefore the intrinsic value of equity is effectively zero.</t>
  </si>
  <si>
    <t>-₹14425.31 lakh</t>
  </si>
  <si>
    <t>Undervaluation</t>
  </si>
  <si>
    <t>overvalued</t>
  </si>
  <si>
    <t>OPTIMISTIC CASE</t>
  </si>
  <si>
    <t>From Cash Flow Statement (Page 68):</t>
  </si>
  <si>
    <t>FCFF(FY25) 5035.79 - 8265.06 = -3229.27 lakh</t>
  </si>
  <si>
    <t>2. Forward FCFF Projection</t>
  </si>
  <si>
    <t>Projected FCFF</t>
  </si>
  <si>
    <t>Projected FCFF (₹ lakh)</t>
  </si>
  <si>
    <t>Basis</t>
  </si>
  <si>
    <t>Partial recovery</t>
  </si>
  <si>
    <t>Distillery reaches stable output</t>
  </si>
  <si>
    <t>Higher-margin ethanol</t>
  </si>
  <si>
    <t>Normal operations</t>
  </si>
  <si>
    <t>Steady-state terminal year</t>
  </si>
  <si>
    <t>SUm of PV(FCFF)</t>
  </si>
  <si>
    <t>TV = 7500 * 1.04 / (.1096 - 0.04)</t>
  </si>
  <si>
    <t>TV = 112068.97 lakhs</t>
  </si>
  <si>
    <t>PV(TV)=112068.97×0.5972080164 =66927.59 lakh</t>
  </si>
  <si>
    <t>EV=18982.91+66927.59 =85910.5 lakh</t>
  </si>
  <si>
    <t>Equity Value=EV−Debt+Cash =85910.5 −39,051.87+959.33 =47817.96 lakh</t>
  </si>
  <si>
    <t>Value per share = 47817.96 / 2178.27</t>
  </si>
  <si>
    <t>Price = ₹21.95 per share</t>
  </si>
  <si>
    <t>₹47817.96 lakh</t>
  </si>
  <si>
    <t>₹21.95</t>
  </si>
  <si>
    <t>~274% undervalued</t>
  </si>
  <si>
    <t>Scenario</t>
  </si>
  <si>
    <t>Equity Value (₹ lakh)</t>
  </si>
  <si>
    <t>Intrinsic Value per Share (₹)</t>
  </si>
  <si>
    <t>Current Market Price (₹7–9)</t>
  </si>
  <si>
    <t>Interpretation</t>
  </si>
  <si>
    <t>Pessimistic Case</t>
  </si>
  <si>
    <t>–14,425</t>
  </si>
  <si>
    <t>7–9</t>
  </si>
  <si>
    <t>Equity completely wiped out; firm over-leveraged</t>
  </si>
  <si>
    <t>Base Case (Your Main Case)</t>
  </si>
  <si>
    <t>Stock is ~129% overvalued</t>
  </si>
  <si>
    <t>Optimistic Case</t>
  </si>
  <si>
    <t>Stock is undervalued only under aggressive assumptions</t>
  </si>
  <si>
    <t>Based on the discounted cash flow valuation under three scenarios—pessimistic, base case, and optimistic—the intrinsic value of Vishwaraj Sugar Industries Ltd. varies significantly depending on assumptions regarding revenue recovery, distillery ramp-up, and capital efficiency. The base-case intrinsic value of the stock is ₹3.06 per share, which is substantially lower than the prevailing market price of ₹7–9, implying that the share is materially overvalued under realistic assumptions. The pessimistic case indicates a zero equity value, reflecting the company’s elevated leverage and insufficient operating cash flows. Only under highly optimistic assumptions, involving strong distillery performance and sustained margin expansion, does the intrinsic value rise to ₹17–18 per share. Therefore, the valuation suggests that the current market price embeds optimistic expectations, and the stock appears overvalued under conservative and base-case scenarios.</t>
  </si>
  <si>
    <t>REFERENCES</t>
  </si>
  <si>
    <t>Vishwaraj Sugar Industries — Official Website</t>
  </si>
  <si>
    <t>http://www.vsil.in</t>
  </si>
  <si>
    <t>Vishwaraj Sugar Industries — Annual Report 2023–24 (PDF)</t>
  </si>
  <si>
    <t>http://www.vsil.in/pdf/annual_report_2024.pdf</t>
  </si>
  <si>
    <t>Vishwaraj Sugar Industries — Investor Relations / Financials</t>
  </si>
  <si>
    <t>http://www.vsil.in/investorrelations.php</t>
  </si>
  <si>
    <t>Vishwaraj Sugar Industries — Screener Page</t>
  </si>
  <si>
    <t>https://www.screener.in/company/VSIL/</t>
  </si>
  <si>
    <t>Vishwaraj Sugar Industries — IPO Review (Chittorgarh)</t>
  </si>
  <si>
    <t>https://www.chittorgarh.com/ipo/vishwaraj-ipo/101/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</si>
</sst>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yy"/>
    <numFmt numFmtId="165" formatCode="dd-mmm-yyyy"/>
    <numFmt numFmtId="166" formatCode="mmm-yyyy"/>
  </numFmts>
  <fonts count="40">
    <font>
      <sz val="10.0"/>
      <color rgb="FF000000"/>
      <name val="Verdana"/>
      <scheme val="minor"/>
    </font>
    <font>
      <b/>
      <i/>
      <sz val="18.0"/>
      <color theme="1"/>
      <name val="Verdana"/>
    </font>
    <font/>
    <font>
      <color theme="1"/>
      <name val="Verdana"/>
      <scheme val="minor"/>
    </font>
    <font>
      <b/>
      <i/>
      <sz val="15.0"/>
      <color theme="1"/>
      <name val="Verdana"/>
    </font>
    <font>
      <color theme="1"/>
      <name val="Arial"/>
    </font>
    <font>
      <sz val="15.0"/>
      <color theme="1"/>
      <name val="Verdana"/>
    </font>
    <font>
      <b/>
      <sz val="15.0"/>
      <color theme="1"/>
      <name val="Verdana"/>
    </font>
    <font>
      <b/>
      <i/>
      <sz val="14.0"/>
      <color rgb="FF000000"/>
      <name val="Verdana"/>
    </font>
    <font>
      <b/>
      <sz val="12.0"/>
      <color rgb="FF000000"/>
      <name val="Verdana"/>
    </font>
    <font>
      <sz val="12.0"/>
      <color rgb="FF000000"/>
      <name val="Verdana"/>
    </font>
    <font>
      <color rgb="FF000000"/>
      <name val="Verdana"/>
    </font>
    <font>
      <b/>
      <i/>
      <sz val="12.0"/>
      <color rgb="FF000000"/>
      <name val="Verdana"/>
    </font>
    <font>
      <sz val="11.0"/>
      <color rgb="FF000000"/>
      <name val="Verdana"/>
    </font>
    <font>
      <sz val="12.0"/>
      <color theme="1"/>
      <name val="Verdana"/>
    </font>
    <font>
      <b/>
      <sz val="14.0"/>
      <color rgb="FF000000"/>
      <name val="Verdana"/>
    </font>
    <font>
      <sz val="14.0"/>
      <color rgb="FF000000"/>
      <name val="Verdana"/>
    </font>
    <font>
      <b/>
      <sz val="12.0"/>
      <color theme="1"/>
      <name val="Verdana"/>
      <scheme val="minor"/>
    </font>
    <font>
      <sz val="12.0"/>
      <color theme="1"/>
      <name val="Verdana"/>
      <scheme val="minor"/>
    </font>
    <font>
      <b/>
      <color theme="1"/>
      <name val="Verdana"/>
      <scheme val="minor"/>
    </font>
    <font>
      <b/>
      <i/>
      <sz val="12.0"/>
      <color theme="1"/>
      <name val="Verdana"/>
      <scheme val="minor"/>
    </font>
    <font>
      <sz val="12.0"/>
      <color rgb="FF000000"/>
      <name val="Arial"/>
    </font>
    <font>
      <sz val="12.0"/>
      <color rgb="FF000000"/>
      <name val="Verdana"/>
      <scheme val="minor"/>
    </font>
    <font>
      <b/>
      <sz val="12.0"/>
      <color rgb="FF000000"/>
      <name val="Arial"/>
    </font>
    <font>
      <b/>
      <sz val="12.0"/>
      <color rgb="FF000000"/>
      <name val="FkGrotesk"/>
    </font>
    <font>
      <b/>
      <sz val="12.0"/>
      <color rgb="FF000000"/>
      <name val="Verdana"/>
      <scheme val="minor"/>
    </font>
    <font>
      <b/>
      <i/>
      <sz val="12.0"/>
      <color rgb="FF000000"/>
      <name val="Verdana"/>
      <scheme val="minor"/>
    </font>
    <font>
      <sz val="12.0"/>
      <color rgb="FF000000"/>
      <name val="FkGroteskNeue"/>
    </font>
    <font>
      <b/>
      <sz val="12.0"/>
      <color rgb="FF000000"/>
      <name val="FkGroteskNeue"/>
    </font>
    <font>
      <b/>
      <i/>
      <sz val="12.0"/>
      <color rgb="FF000000"/>
      <name val="Arial"/>
    </font>
    <font>
      <sz val="12.0"/>
      <color rgb="FF000000"/>
      <name val="FkGrotesk"/>
    </font>
    <font>
      <b/>
      <i/>
      <sz val="12.0"/>
      <color rgb="FF000000"/>
      <name val="FkGroteskNeue"/>
    </font>
    <font>
      <b/>
      <i/>
      <sz val="12.0"/>
      <color theme="1"/>
      <name val="Verdana"/>
    </font>
    <font>
      <b/>
      <sz val="12.0"/>
      <color theme="1"/>
      <name val="Verdana"/>
    </font>
    <font>
      <b/>
      <sz val="12.0"/>
      <color theme="1"/>
      <name val="Arial"/>
    </font>
    <font>
      <b/>
      <i/>
      <sz val="12.0"/>
      <color rgb="FF1A1A1A"/>
      <name val="Verdana"/>
    </font>
    <font>
      <sz val="12.0"/>
      <color rgb="FF1A1A1A"/>
      <name val="Verdana"/>
    </font>
    <font>
      <b/>
      <sz val="12.0"/>
      <color rgb="FF1A1A1A"/>
      <name val="Verdana"/>
    </font>
    <font>
      <b/>
      <i/>
      <color theme="1"/>
      <name val="Verdana"/>
      <scheme val="minor"/>
    </font>
    <font>
      <u/>
      <color rgb="FF0000FF"/>
    </font>
  </fonts>
  <fills count="11">
    <fill>
      <patternFill patternType="none"/>
    </fill>
    <fill>
      <patternFill patternType="lightGray"/>
    </fill>
    <fill>
      <patternFill patternType="solid">
        <fgColor rgb="FF5B95F9"/>
        <bgColor rgb="FF5B95F9"/>
      </patternFill>
    </fill>
    <fill>
      <patternFill patternType="solid">
        <fgColor rgb="FFFFFFFF"/>
        <bgColor rgb="FFFFFFFF"/>
      </patternFill>
    </fill>
    <fill>
      <patternFill patternType="solid">
        <fgColor rgb="FF999999"/>
        <bgColor rgb="FF999999"/>
      </patternFill>
    </fill>
    <fill>
      <patternFill patternType="solid">
        <fgColor theme="8"/>
        <bgColor theme="8"/>
      </patternFill>
    </fill>
    <fill>
      <patternFill patternType="solid">
        <fgColor rgb="FFACC9FE"/>
        <bgColor rgb="FFACC9FE"/>
      </patternFill>
    </fill>
    <fill>
      <patternFill patternType="solid">
        <fgColor rgb="FFB7B7B7"/>
        <bgColor rgb="FFB7B7B7"/>
      </patternFill>
    </fill>
    <fill>
      <patternFill patternType="solid">
        <fgColor theme="0"/>
        <bgColor theme="0"/>
      </patternFill>
    </fill>
    <fill>
      <patternFill patternType="solid">
        <fgColor rgb="FFE8F0FE"/>
        <bgColor rgb="FFE8F0FE"/>
      </patternFill>
    </fill>
    <fill>
      <patternFill patternType="solid">
        <fgColor theme="9"/>
        <bgColor theme="9"/>
      </patternFill>
    </fill>
  </fills>
  <borders count="43">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medium">
        <color rgb="FF000000"/>
      </bottom>
    </border>
    <border>
      <bottom style="medium">
        <color rgb="FF000000"/>
      </bottom>
    </border>
    <border>
      <right style="thick">
        <color rgb="FF000000"/>
      </right>
      <bottom style="medium">
        <color rgb="FF000000"/>
      </bottom>
    </border>
    <border>
      <left style="thick">
        <color rgb="FF000000"/>
      </left>
    </border>
    <border>
      <right style="thick">
        <color rgb="FF000000"/>
      </right>
    </border>
    <border>
      <left style="thick">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right style="medium">
        <color rgb="FF000000"/>
      </right>
      <bottom style="medium">
        <color rgb="FF000000"/>
      </bottom>
    </border>
    <border>
      <left style="medium">
        <color rgb="FF000000"/>
      </lef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bottom style="medium">
        <color rgb="FF000000"/>
      </bottom>
    </border>
    <border>
      <right style="medium">
        <color rgb="FF000000"/>
      </right>
    </border>
    <border>
      <left style="thin">
        <color rgb="FF000000"/>
      </left>
      <top style="thin">
        <color rgb="FF000000"/>
      </top>
    </border>
    <border>
      <top style="thin">
        <color rgb="FF000000"/>
      </top>
    </border>
    <border>
      <right style="medium">
        <color rgb="FF000000"/>
      </right>
      <top style="thin">
        <color rgb="FF000000"/>
      </top>
    </border>
    <border>
      <right style="medium">
        <color rgb="FF000000"/>
      </right>
      <bottom style="thick">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rder>
    <border>
      <bottom style="thin">
        <color rgb="FF000000"/>
      </bottom>
    </border>
    <border>
      <right style="medium">
        <color rgb="FF000000"/>
      </right>
      <bottom style="thin">
        <color rgb="FF000000"/>
      </bottom>
    </border>
  </borders>
  <cellStyleXfs count="1">
    <xf borderId="0" fillId="0" fontId="0" numFmtId="0" applyAlignment="1" applyFont="1"/>
  </cellStyleXfs>
  <cellXfs count="26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3" fontId="3" numFmtId="0" xfId="0" applyFill="1" applyFont="1"/>
    <xf borderId="4" fillId="0" fontId="2" numFmtId="0" xfId="0" applyBorder="1" applyFont="1"/>
    <xf borderId="5" fillId="0" fontId="2" numFmtId="0" xfId="0" applyBorder="1" applyFont="1"/>
    <xf borderId="6" fillId="0" fontId="2" numFmtId="0" xfId="0" applyBorder="1" applyFont="1"/>
    <xf borderId="7" fillId="2" fontId="4" numFmtId="0" xfId="0" applyAlignment="1" applyBorder="1" applyFont="1">
      <alignment horizontal="center" readingOrder="0" shrinkToFit="0" vertical="center" wrapText="1"/>
    </xf>
    <xf borderId="0" fillId="2" fontId="4" numFmtId="0" xfId="0" applyAlignment="1" applyFont="1">
      <alignment horizontal="center" readingOrder="0" shrinkToFit="0" vertical="center" wrapText="1"/>
    </xf>
    <xf borderId="8" fillId="0" fontId="2" numFmtId="0" xfId="0" applyBorder="1" applyFont="1"/>
    <xf borderId="7" fillId="0" fontId="2" numFmtId="0" xfId="0" applyBorder="1" applyFont="1"/>
    <xf borderId="7" fillId="4" fontId="5" numFmtId="0" xfId="0" applyBorder="1" applyFill="1" applyFont="1"/>
    <xf borderId="7" fillId="4" fontId="4" numFmtId="0" xfId="0" applyAlignment="1" applyBorder="1" applyFont="1">
      <alignment horizontal="center" readingOrder="0" shrinkToFit="0" vertical="center" wrapText="1"/>
    </xf>
    <xf borderId="0" fillId="4" fontId="4" numFmtId="0" xfId="0" applyAlignment="1" applyFont="1">
      <alignment horizontal="center" readingOrder="0" shrinkToFit="0" vertical="center" wrapText="1"/>
    </xf>
    <xf borderId="7" fillId="5" fontId="4" numFmtId="0" xfId="0" applyAlignment="1" applyBorder="1" applyFill="1" applyFont="1">
      <alignment horizontal="center" readingOrder="0" shrinkToFit="0" vertical="center" wrapText="1"/>
    </xf>
    <xf borderId="9" fillId="4" fontId="4" numFmtId="0" xfId="0" applyAlignment="1" applyBorder="1" applyFont="1">
      <alignment horizontal="center" readingOrder="0" shrinkToFit="0" vertical="center" wrapText="1"/>
    </xf>
    <xf borderId="10" fillId="0" fontId="2" numFmtId="0" xfId="0" applyBorder="1" applyFont="1"/>
    <xf borderId="11" fillId="0" fontId="2" numFmtId="0" xfId="0" applyBorder="1" applyFont="1"/>
    <xf borderId="12" fillId="0" fontId="2" numFmtId="0" xfId="0" applyBorder="1" applyFont="1"/>
    <xf borderId="13" fillId="4" fontId="4" numFmtId="0" xfId="0" applyAlignment="1" applyBorder="1" applyFont="1">
      <alignment horizontal="center" readingOrder="0" shrinkToFit="0" vertical="center" wrapText="1"/>
    </xf>
    <xf borderId="9" fillId="5" fontId="6" numFmtId="0" xfId="0" applyAlignment="1" applyBorder="1" applyFont="1">
      <alignment horizontal="center" readingOrder="0" shrinkToFit="0" vertical="center" wrapText="1"/>
    </xf>
    <xf borderId="13" fillId="5" fontId="6" numFmtId="0" xfId="0" applyAlignment="1" applyBorder="1" applyFont="1">
      <alignment horizontal="center" readingOrder="0" shrinkToFit="0" vertical="center" wrapText="1"/>
    </xf>
    <xf borderId="7" fillId="5" fontId="7" numFmtId="0" xfId="0" applyAlignment="1" applyBorder="1" applyFont="1">
      <alignment horizontal="center" readingOrder="0" shrinkToFit="0" vertical="center" wrapText="1"/>
    </xf>
    <xf borderId="0" fillId="5" fontId="7" numFmtId="0" xfId="0" applyAlignment="1" applyFont="1">
      <alignment horizontal="center" readingOrder="0" shrinkToFit="0" vertical="center" wrapText="1"/>
    </xf>
    <xf borderId="7" fillId="5" fontId="6" numFmtId="0" xfId="0" applyAlignment="1" applyBorder="1" applyFont="1">
      <alignment horizontal="center" readingOrder="0" shrinkToFit="0" vertical="center" wrapText="1"/>
    </xf>
    <xf borderId="0" fillId="5" fontId="6" numFmtId="0" xfId="0" applyAlignment="1" applyFont="1">
      <alignment horizontal="center" readingOrder="0" shrinkToFit="0" vertical="center" wrapText="1"/>
    </xf>
    <xf borderId="14" fillId="5" fontId="6" numFmtId="0" xfId="0" applyAlignment="1" applyBorder="1" applyFont="1">
      <alignment horizontal="center" readingOrder="0" shrinkToFit="0" vertical="center" wrapText="1"/>
    </xf>
    <xf borderId="15" fillId="0" fontId="2" numFmtId="0" xfId="0" applyBorder="1" applyFont="1"/>
    <xf borderId="15" fillId="5" fontId="6" numFmtId="164" xfId="0" applyAlignment="1" applyBorder="1" applyFont="1" applyNumberFormat="1">
      <alignment horizontal="center" readingOrder="0" shrinkToFit="0" vertical="center" wrapText="1"/>
    </xf>
    <xf borderId="16" fillId="0" fontId="2" numFmtId="0" xfId="0" applyBorder="1" applyFont="1"/>
    <xf borderId="0" fillId="3" fontId="3" numFmtId="0" xfId="0" applyAlignment="1" applyFont="1">
      <alignment horizontal="center" readingOrder="0" shrinkToFit="0" vertical="center" wrapText="1"/>
    </xf>
    <xf borderId="5" fillId="6" fontId="8" numFmtId="0" xfId="0" applyAlignment="1" applyBorder="1" applyFill="1" applyFont="1">
      <alignment horizontal="center" readingOrder="0" shrinkToFit="0" vertical="center" wrapText="1"/>
    </xf>
    <xf borderId="5" fillId="2" fontId="2" numFmtId="0" xfId="0" applyBorder="1" applyFont="1"/>
    <xf borderId="17" fillId="2" fontId="2" numFmtId="0" xfId="0" applyBorder="1" applyFont="1"/>
    <xf borderId="18" fillId="3" fontId="8" numFmtId="0" xfId="0" applyAlignment="1" applyBorder="1" applyFont="1">
      <alignment horizontal="center" readingOrder="0" shrinkToFit="0" vertical="center" wrapText="1"/>
    </xf>
    <xf borderId="0" fillId="3" fontId="8" numFmtId="0" xfId="0" applyAlignment="1" applyFont="1">
      <alignment horizontal="center" readingOrder="0" shrinkToFit="0" vertical="center" wrapText="1"/>
    </xf>
    <xf borderId="13" fillId="6" fontId="8" numFmtId="0" xfId="0" applyAlignment="1" applyBorder="1" applyFont="1">
      <alignment horizontal="center" readingOrder="0" shrinkToFit="0" wrapText="1"/>
    </xf>
    <xf borderId="10" fillId="7" fontId="2" numFmtId="0" xfId="0" applyBorder="1" applyFill="1" applyFont="1"/>
    <xf borderId="12" fillId="7" fontId="2" numFmtId="0" xfId="0" applyBorder="1" applyFont="1"/>
    <xf borderId="18" fillId="3" fontId="8" numFmtId="0" xfId="0" applyAlignment="1" applyBorder="1" applyFont="1">
      <alignment horizontal="center" readingOrder="0" shrinkToFit="0" wrapText="1"/>
    </xf>
    <xf borderId="0" fillId="3" fontId="8" numFmtId="0" xfId="0" applyAlignment="1" applyFont="1">
      <alignment horizontal="center" readingOrder="0" shrinkToFit="0" wrapText="1"/>
    </xf>
    <xf borderId="0" fillId="8" fontId="9" numFmtId="0" xfId="0" applyAlignment="1" applyFill="1" applyFont="1">
      <alignment horizontal="center" readingOrder="0" shrinkToFit="0" vertical="center" wrapText="1"/>
    </xf>
    <xf borderId="18" fillId="3" fontId="9" numFmtId="0" xfId="0" applyAlignment="1" applyBorder="1" applyFont="1">
      <alignment horizontal="center" readingOrder="0" shrinkToFit="0" vertical="center" wrapText="1"/>
    </xf>
    <xf borderId="0" fillId="3" fontId="9" numFmtId="0" xfId="0" applyAlignment="1" applyFont="1">
      <alignment horizontal="center" readingOrder="0" shrinkToFit="0" vertical="center" wrapText="1"/>
    </xf>
    <xf borderId="13" fillId="9" fontId="9" numFmtId="0" xfId="0" applyAlignment="1" applyBorder="1" applyFill="1" applyFont="1">
      <alignment horizontal="center" readingOrder="0" shrinkToFit="0" vertical="center" wrapText="1"/>
    </xf>
    <xf borderId="13" fillId="8" fontId="9" numFmtId="0" xfId="0" applyAlignment="1" applyBorder="1" applyFont="1">
      <alignment horizontal="center" readingOrder="0" shrinkToFit="0" vertical="center" wrapText="1"/>
    </xf>
    <xf borderId="10" fillId="4" fontId="2" numFmtId="0" xfId="0" applyBorder="1" applyFont="1"/>
    <xf borderId="12" fillId="4" fontId="2" numFmtId="0" xfId="0" applyBorder="1" applyFont="1"/>
    <xf borderId="13" fillId="8" fontId="10" numFmtId="0" xfId="0" applyAlignment="1" applyBorder="1" applyFont="1">
      <alignment horizontal="center" readingOrder="0" shrinkToFit="0" vertical="center" wrapText="1"/>
    </xf>
    <xf borderId="18" fillId="3"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13" fillId="9" fontId="8" numFmtId="0" xfId="0" applyAlignment="1" applyBorder="1" applyFont="1">
      <alignment horizontal="center" readingOrder="0" shrinkToFit="0" vertical="center" wrapText="1"/>
    </xf>
    <xf borderId="19" fillId="8" fontId="10" numFmtId="0" xfId="0" applyAlignment="1" applyBorder="1" applyFont="1">
      <alignment horizontal="center" readingOrder="0" shrinkToFit="0" vertical="center" wrapText="1"/>
    </xf>
    <xf borderId="20" fillId="4" fontId="2" numFmtId="0" xfId="0" applyBorder="1" applyFont="1"/>
    <xf borderId="21" fillId="4" fontId="2" numFmtId="0" xfId="0" applyBorder="1" applyFont="1"/>
    <xf borderId="20" fillId="8" fontId="11" numFmtId="0" xfId="0" applyAlignment="1" applyBorder="1" applyFont="1">
      <alignment horizontal="center" shrinkToFit="0" vertical="center" wrapText="1"/>
    </xf>
    <xf borderId="20" fillId="7" fontId="2" numFmtId="0" xfId="0" applyBorder="1" applyFont="1"/>
    <xf borderId="18" fillId="3" fontId="11" numFmtId="0" xfId="0" applyAlignment="1" applyBorder="1" applyFont="1">
      <alignment horizontal="center" shrinkToFit="0" vertical="center" wrapText="1"/>
    </xf>
    <xf borderId="0" fillId="3" fontId="11" numFmtId="0" xfId="0" applyAlignment="1" applyFont="1">
      <alignment horizontal="center" shrinkToFit="0" vertical="center" wrapText="1"/>
    </xf>
    <xf borderId="18" fillId="3"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0" fillId="8" fontId="11" numFmtId="0" xfId="0" applyAlignment="1" applyFont="1">
      <alignment horizontal="center" shrinkToFit="0" vertical="center" wrapText="1"/>
    </xf>
    <xf borderId="22" fillId="9" fontId="12" numFmtId="0" xfId="0" applyAlignment="1" applyBorder="1" applyFont="1">
      <alignment horizontal="center" readingOrder="0" shrinkToFit="0" vertical="center" wrapText="1"/>
    </xf>
    <xf borderId="18" fillId="3" fontId="12" numFmtId="0" xfId="0" applyAlignment="1" applyBorder="1" applyFont="1">
      <alignment horizontal="center" readingOrder="0" shrinkToFit="0" vertical="center" wrapText="1"/>
    </xf>
    <xf borderId="0" fillId="3" fontId="12" numFmtId="0" xfId="0" applyAlignment="1" applyFont="1">
      <alignment horizontal="center" readingOrder="0" shrinkToFit="0" vertical="center" wrapText="1"/>
    </xf>
    <xf borderId="0" fillId="3" fontId="12" numFmtId="0" xfId="0" applyAlignment="1" applyFont="1">
      <alignment horizontal="center" readingOrder="0" shrinkToFit="0" vertical="center" wrapText="1"/>
    </xf>
    <xf borderId="22" fillId="8" fontId="10" numFmtId="0" xfId="0" applyAlignment="1" applyBorder="1" applyFont="1">
      <alignment horizontal="center" readingOrder="0" shrinkToFit="0" vertical="center" wrapText="1"/>
    </xf>
    <xf borderId="22" fillId="8" fontId="13" numFmtId="0" xfId="0" applyAlignment="1" applyBorder="1" applyFont="1">
      <alignment horizontal="center" readingOrder="0" shrinkToFit="0" vertical="center" wrapText="1"/>
    </xf>
    <xf borderId="22" fillId="8" fontId="11" numFmtId="0" xfId="0" applyAlignment="1" applyBorder="1" applyFont="1">
      <alignment horizontal="center" readingOrder="0" shrinkToFit="0" vertical="center" wrapText="1"/>
    </xf>
    <xf borderId="18" fillId="3" fontId="11" numFmtId="0" xfId="0" applyAlignment="1" applyBorder="1" applyFont="1">
      <alignment horizontal="center" readingOrder="0" shrinkToFit="0" vertical="center" wrapText="1"/>
    </xf>
    <xf borderId="0" fillId="3" fontId="11"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23" fillId="9" fontId="9" numFmtId="0" xfId="0" applyAlignment="1" applyBorder="1" applyFont="1">
      <alignment horizontal="center" readingOrder="0" shrinkToFit="0" vertical="center" wrapText="1"/>
    </xf>
    <xf borderId="24" fillId="7" fontId="2" numFmtId="0" xfId="0" applyBorder="1" applyFont="1"/>
    <xf borderId="25" fillId="7" fontId="2" numFmtId="0" xfId="0" applyBorder="1" applyFont="1"/>
    <xf borderId="0" fillId="7" fontId="11" numFmtId="0" xfId="0" applyAlignment="1" applyFont="1">
      <alignment horizontal="center" shrinkToFit="0" vertical="center" wrapText="1"/>
    </xf>
    <xf borderId="23" fillId="8" fontId="10" numFmtId="0" xfId="0" applyAlignment="1" applyBorder="1" applyFont="1">
      <alignment horizontal="center" readingOrder="0" shrinkToFit="0" vertical="center" wrapText="1"/>
    </xf>
    <xf borderId="24" fillId="4" fontId="2" numFmtId="0" xfId="0" applyBorder="1" applyFont="1"/>
    <xf borderId="25" fillId="4" fontId="2" numFmtId="0" xfId="0" applyBorder="1" applyFont="1"/>
    <xf borderId="23" fillId="8" fontId="10" numFmtId="0" xfId="0" applyAlignment="1" applyBorder="1" applyFont="1">
      <alignment horizontal="center" readingOrder="0" shrinkToFit="0" vertical="center" wrapText="1"/>
    </xf>
    <xf borderId="0" fillId="4" fontId="11" numFmtId="0" xfId="0" applyAlignment="1" applyFont="1">
      <alignment horizontal="center" shrinkToFit="0" vertical="center" wrapText="1"/>
    </xf>
    <xf borderId="23" fillId="8" fontId="14" numFmtId="0" xfId="0" applyAlignment="1" applyBorder="1" applyFont="1">
      <alignment horizontal="center" readingOrder="0" shrinkToFit="0" vertical="center" wrapText="1"/>
    </xf>
    <xf borderId="23" fillId="4" fontId="14" numFmtId="0" xfId="0" applyAlignment="1" applyBorder="1" applyFont="1">
      <alignment horizontal="center" readingOrder="0" shrinkToFit="0" vertical="center" wrapText="1"/>
    </xf>
    <xf borderId="26" fillId="9" fontId="9" numFmtId="0" xfId="0" applyAlignment="1" applyBorder="1" applyFont="1">
      <alignment horizontal="center" readingOrder="0" shrinkToFit="0" vertical="center" wrapText="1"/>
    </xf>
    <xf borderId="18" fillId="3" fontId="3" numFmtId="0" xfId="0" applyBorder="1" applyFont="1"/>
    <xf borderId="0" fillId="8" fontId="13" numFmtId="0" xfId="0" applyAlignment="1" applyFont="1">
      <alignment horizontal="center" readingOrder="0" shrinkToFit="0" vertical="center" wrapText="1"/>
    </xf>
    <xf borderId="0" fillId="8" fontId="13" numFmtId="0" xfId="0" applyAlignment="1" applyFont="1">
      <alignment horizontal="center" shrinkToFit="0" vertical="center" wrapText="1"/>
    </xf>
    <xf borderId="13" fillId="9" fontId="15" numFmtId="0" xfId="0" applyAlignment="1" applyBorder="1" applyFont="1">
      <alignment horizontal="center" readingOrder="0" shrinkToFit="0" vertical="center" wrapText="1"/>
    </xf>
    <xf borderId="13" fillId="8" fontId="16" numFmtId="0" xfId="0" applyAlignment="1" applyBorder="1" applyFont="1">
      <alignment horizontal="center" readingOrder="0" shrinkToFit="0" vertical="center" wrapText="1"/>
    </xf>
    <xf borderId="20" fillId="3" fontId="3" numFmtId="0" xfId="0" applyBorder="1" applyFont="1"/>
    <xf borderId="13" fillId="6" fontId="8" numFmtId="0" xfId="0" applyAlignment="1" applyBorder="1" applyFont="1">
      <alignment horizontal="center" readingOrder="0" shrinkToFit="0" vertical="center" wrapText="1"/>
    </xf>
    <xf borderId="10" fillId="2" fontId="2" numFmtId="0" xfId="0" applyBorder="1" applyFont="1"/>
    <xf borderId="12" fillId="2" fontId="2" numFmtId="0" xfId="0" applyBorder="1" applyFont="1"/>
    <xf borderId="18" fillId="3" fontId="8" numFmtId="0" xfId="0" applyAlignment="1" applyBorder="1" applyFont="1">
      <alignment horizontal="center" readingOrder="0" shrinkToFit="0" vertical="center" wrapText="1"/>
    </xf>
    <xf borderId="18" fillId="3" fontId="8" numFmtId="0" xfId="0" applyAlignment="1" applyBorder="1" applyFont="1">
      <alignment horizontal="center" readingOrder="0" shrinkToFit="0" wrapText="1"/>
    </xf>
    <xf borderId="5" fillId="8" fontId="17" numFmtId="0" xfId="0" applyAlignment="1" applyBorder="1" applyFont="1">
      <alignment horizontal="center" readingOrder="0" shrinkToFit="0" vertical="center" wrapText="1"/>
    </xf>
    <xf borderId="13" fillId="9" fontId="17" numFmtId="0" xfId="0" applyAlignment="1" applyBorder="1" applyFont="1">
      <alignment horizontal="center" readingOrder="0" shrinkToFit="0" vertical="center" wrapText="1"/>
    </xf>
    <xf borderId="13" fillId="8" fontId="18" numFmtId="0" xfId="0" applyAlignment="1" applyBorder="1" applyFont="1">
      <alignment horizontal="center" readingOrder="0" shrinkToFit="0" vertical="center" wrapText="1"/>
    </xf>
    <xf borderId="13" fillId="8" fontId="18" numFmtId="164" xfId="0" applyAlignment="1" applyBorder="1" applyFont="1" applyNumberFormat="1">
      <alignment horizontal="center" readingOrder="0" shrinkToFit="0" vertical="center" wrapText="1"/>
    </xf>
    <xf borderId="13" fillId="8" fontId="18" numFmtId="165" xfId="0" applyAlignment="1" applyBorder="1" applyFont="1" applyNumberFormat="1">
      <alignment horizontal="center" readingOrder="0" shrinkToFit="0" vertical="center" wrapText="1"/>
    </xf>
    <xf borderId="0" fillId="8" fontId="18" numFmtId="0" xfId="0" applyAlignment="1" applyFont="1">
      <alignment horizontal="center" readingOrder="0" shrinkToFit="0" vertical="center" wrapText="1"/>
    </xf>
    <xf borderId="13" fillId="8" fontId="18" numFmtId="0" xfId="0" applyAlignment="1" applyBorder="1" applyFont="1">
      <alignment horizontal="center" shrinkToFit="0" vertical="center" wrapText="1"/>
    </xf>
    <xf borderId="13" fillId="8" fontId="17" numFmtId="0" xfId="0" applyAlignment="1" applyBorder="1" applyFont="1">
      <alignment horizontal="center" readingOrder="0" shrinkToFit="0" vertical="center" wrapText="1"/>
    </xf>
    <xf borderId="19" fillId="8" fontId="18" numFmtId="0" xfId="0" applyAlignment="1" applyBorder="1" applyFont="1">
      <alignment horizontal="center" readingOrder="0" shrinkToFit="0" vertical="center" wrapText="1"/>
    </xf>
    <xf borderId="20" fillId="0" fontId="2" numFmtId="0" xfId="0" applyBorder="1" applyFont="1"/>
    <xf borderId="21" fillId="0" fontId="2" numFmtId="0" xfId="0" applyBorder="1" applyFont="1"/>
    <xf borderId="0" fillId="8" fontId="17" numFmtId="0" xfId="0" applyAlignment="1" applyFont="1">
      <alignment horizontal="center" readingOrder="0" shrinkToFit="0" vertical="center" wrapText="1"/>
    </xf>
    <xf borderId="22" fillId="8" fontId="18" numFmtId="0" xfId="0" applyAlignment="1" applyBorder="1" applyFont="1">
      <alignment horizontal="center" readingOrder="0" shrinkToFit="0" vertical="center" wrapText="1"/>
    </xf>
    <xf borderId="22" fillId="8" fontId="18" numFmtId="0" xfId="0" applyAlignment="1" applyBorder="1" applyFont="1">
      <alignment horizontal="center" shrinkToFit="0" vertical="center" wrapText="1"/>
    </xf>
    <xf borderId="22" fillId="4" fontId="19" numFmtId="0" xfId="0" applyAlignment="1" applyBorder="1" applyFont="1">
      <alignment horizontal="center" readingOrder="0" shrinkToFit="0" vertical="center" wrapText="1"/>
    </xf>
    <xf borderId="0" fillId="0" fontId="19" numFmtId="0" xfId="0" applyAlignment="1" applyFont="1">
      <alignment horizontal="center" readingOrder="0"/>
    </xf>
    <xf borderId="22" fillId="4" fontId="3" numFmtId="0" xfId="0" applyAlignment="1" applyBorder="1" applyFont="1">
      <alignment horizontal="center" readingOrder="0" shrinkToFit="0" vertical="center" wrapText="1"/>
    </xf>
    <xf borderId="0" fillId="4" fontId="17" numFmtId="0" xfId="0" applyAlignment="1" applyFont="1">
      <alignment horizontal="center" readingOrder="0" shrinkToFit="0" vertical="center" wrapText="1"/>
    </xf>
    <xf borderId="22" fillId="8" fontId="18" numFmtId="10" xfId="0" applyAlignment="1" applyBorder="1" applyFont="1" applyNumberFormat="1">
      <alignment horizontal="center" readingOrder="0" shrinkToFit="0" vertical="center" wrapText="1"/>
    </xf>
    <xf borderId="22" fillId="8" fontId="17" numFmtId="0" xfId="0" applyAlignment="1" applyBorder="1" applyFont="1">
      <alignment horizontal="center" readingOrder="0" shrinkToFit="0" vertical="center" wrapText="1"/>
    </xf>
    <xf borderId="5" fillId="8" fontId="18" numFmtId="0" xfId="0" applyAlignment="1" applyBorder="1" applyFont="1">
      <alignment horizontal="center" shrinkToFit="0" vertical="center" wrapText="1"/>
    </xf>
    <xf borderId="0" fillId="8" fontId="18" numFmtId="0" xfId="0" applyAlignment="1" applyFont="1">
      <alignment horizontal="center" shrinkToFit="0" vertical="center" wrapText="1"/>
    </xf>
    <xf borderId="19" fillId="6" fontId="20" numFmtId="0" xfId="0" applyAlignment="1" applyBorder="1" applyFont="1">
      <alignment horizontal="center" readingOrder="0" shrinkToFit="0" vertical="center" wrapText="1"/>
    </xf>
    <xf borderId="26" fillId="0" fontId="2" numFmtId="0" xfId="0" applyBorder="1" applyFont="1"/>
    <xf borderId="17" fillId="0" fontId="2" numFmtId="0" xfId="0" applyBorder="1" applyFont="1"/>
    <xf borderId="22" fillId="9" fontId="17" numFmtId="0" xfId="0" applyAlignment="1" applyBorder="1" applyFont="1">
      <alignment horizontal="center" readingOrder="0" shrinkToFit="0" vertical="center" wrapText="1"/>
    </xf>
    <xf borderId="13" fillId="6" fontId="12" numFmtId="0" xfId="0" applyAlignment="1" applyBorder="1" applyFont="1">
      <alignment horizontal="center" readingOrder="0" shrinkToFit="0" vertical="center" wrapText="1"/>
    </xf>
    <xf borderId="0" fillId="6" fontId="12" numFmtId="0" xfId="0" applyAlignment="1" applyFont="1">
      <alignment horizontal="center" readingOrder="0" shrinkToFit="0" vertical="center" wrapText="1"/>
    </xf>
    <xf borderId="27" fillId="4" fontId="2" numFmtId="0" xfId="0" applyBorder="1" applyFont="1"/>
    <xf borderId="0" fillId="8" fontId="12" numFmtId="0" xfId="0" applyAlignment="1" applyFont="1">
      <alignment horizontal="center" readingOrder="0" shrinkToFit="0" vertical="center" wrapText="1"/>
    </xf>
    <xf borderId="27" fillId="7" fontId="2" numFmtId="0" xfId="0" applyBorder="1" applyFont="1"/>
    <xf borderId="0" fillId="10" fontId="12" numFmtId="0" xfId="0" applyAlignment="1" applyFill="1" applyFont="1">
      <alignment horizontal="center" readingOrder="0" shrinkToFit="0" vertical="center" wrapText="1"/>
    </xf>
    <xf borderId="0" fillId="8" fontId="21" numFmtId="0" xfId="0" applyAlignment="1" applyFont="1">
      <alignment horizontal="center" readingOrder="0" shrinkToFit="0" vertical="center" wrapText="1"/>
    </xf>
    <xf borderId="0" fillId="8" fontId="22" numFmtId="0" xfId="0" applyAlignment="1" applyFont="1">
      <alignment horizontal="center" readingOrder="0" shrinkToFit="0" vertical="center" wrapText="1"/>
    </xf>
    <xf borderId="0" fillId="8" fontId="22" numFmtId="0" xfId="0" applyAlignment="1" applyFont="1">
      <alignment horizontal="center" readingOrder="0" shrinkToFit="0" vertical="center" wrapText="1"/>
    </xf>
    <xf borderId="27" fillId="8" fontId="22" numFmtId="0" xfId="0" applyAlignment="1" applyBorder="1" applyFont="1">
      <alignment horizontal="center" readingOrder="0" shrinkToFit="0" vertical="center" wrapText="1"/>
    </xf>
    <xf borderId="13" fillId="9" fontId="23" numFmtId="0" xfId="0" applyAlignment="1" applyBorder="1" applyFont="1">
      <alignment horizontal="center" readingOrder="0" shrinkToFit="0" vertical="center" wrapText="1"/>
    </xf>
    <xf borderId="22" fillId="9" fontId="23" numFmtId="0" xfId="0" applyAlignment="1" applyBorder="1" applyFont="1">
      <alignment horizontal="center" readingOrder="0" shrinkToFit="0" vertical="center" wrapText="1"/>
    </xf>
    <xf borderId="13" fillId="8" fontId="21" numFmtId="0" xfId="0" applyAlignment="1" applyBorder="1" applyFont="1">
      <alignment horizontal="center" readingOrder="0" shrinkToFit="0" vertical="center" wrapText="1"/>
    </xf>
    <xf borderId="13" fillId="8" fontId="21" numFmtId="4" xfId="0" applyAlignment="1" applyBorder="1" applyFont="1" applyNumberFormat="1">
      <alignment horizontal="center" readingOrder="0" shrinkToFit="0" vertical="center" wrapText="1"/>
    </xf>
    <xf borderId="22" fillId="8" fontId="21" numFmtId="4" xfId="0" applyAlignment="1" applyBorder="1" applyFont="1" applyNumberFormat="1">
      <alignment horizontal="center" readingOrder="0" shrinkToFit="0" vertical="center" wrapText="1"/>
    </xf>
    <xf borderId="22" fillId="8" fontId="21" numFmtId="10" xfId="0" applyAlignment="1" applyBorder="1" applyFont="1" applyNumberFormat="1">
      <alignment horizontal="center" readingOrder="0" shrinkToFit="0" vertical="center" wrapText="1"/>
    </xf>
    <xf borderId="22" fillId="8" fontId="21" numFmtId="0" xfId="0" applyAlignment="1" applyBorder="1" applyFont="1">
      <alignment horizontal="center" readingOrder="0" shrinkToFit="0" vertical="center" wrapText="1"/>
    </xf>
    <xf borderId="13" fillId="8" fontId="22" numFmtId="0" xfId="0" applyAlignment="1" applyBorder="1" applyFont="1">
      <alignment horizontal="center" readingOrder="0" shrinkToFit="0" vertical="center" wrapText="1"/>
    </xf>
    <xf borderId="13" fillId="8" fontId="22" numFmtId="4" xfId="0" applyAlignment="1" applyBorder="1" applyFont="1" applyNumberFormat="1">
      <alignment horizontal="center" shrinkToFit="0" vertical="center" wrapText="1"/>
    </xf>
    <xf borderId="0" fillId="8" fontId="22" numFmtId="0" xfId="0" applyAlignment="1" applyFont="1">
      <alignment horizontal="center" shrinkToFit="0" vertical="center" wrapText="1"/>
    </xf>
    <xf borderId="0" fillId="8" fontId="24" numFmtId="0" xfId="0" applyAlignment="1" applyFont="1">
      <alignment horizontal="center" readingOrder="0" shrinkToFit="0" vertical="center" wrapText="1"/>
    </xf>
    <xf borderId="27" fillId="8" fontId="22" numFmtId="0" xfId="0" applyAlignment="1" applyBorder="1" applyFont="1">
      <alignment horizontal="center" shrinkToFit="0" vertical="center" wrapText="1"/>
    </xf>
    <xf borderId="13" fillId="9" fontId="24" numFmtId="0" xfId="0" applyAlignment="1" applyBorder="1" applyFont="1">
      <alignment horizontal="center" readingOrder="0" shrinkToFit="0" vertical="center" wrapText="1"/>
    </xf>
    <xf borderId="13" fillId="8" fontId="21" numFmtId="10" xfId="0" applyAlignment="1" applyBorder="1" applyFont="1" applyNumberFormat="1">
      <alignment horizontal="center" readingOrder="0" shrinkToFit="0" vertical="center" wrapText="1"/>
    </xf>
    <xf borderId="27" fillId="0" fontId="2" numFmtId="0" xfId="0" applyBorder="1" applyFont="1"/>
    <xf borderId="0" fillId="8" fontId="22" numFmtId="4" xfId="0" applyAlignment="1" applyFont="1" applyNumberFormat="1">
      <alignment horizontal="center" readingOrder="0" shrinkToFit="0" vertical="center" wrapText="1"/>
    </xf>
    <xf borderId="13" fillId="8" fontId="23" numFmtId="0" xfId="0" applyAlignment="1" applyBorder="1" applyFont="1">
      <alignment horizontal="center" readingOrder="0" shrinkToFit="0" vertical="center" wrapText="1"/>
    </xf>
    <xf borderId="13" fillId="8" fontId="23" numFmtId="4" xfId="0" applyAlignment="1" applyBorder="1" applyFont="1" applyNumberFormat="1">
      <alignment horizontal="center" readingOrder="0" shrinkToFit="0" vertical="center" wrapText="1"/>
    </xf>
    <xf borderId="22" fillId="8" fontId="23" numFmtId="4" xfId="0" applyAlignment="1" applyBorder="1" applyFont="1" applyNumberFormat="1">
      <alignment horizontal="center" readingOrder="0" shrinkToFit="0" vertical="center" wrapText="1"/>
    </xf>
    <xf borderId="22" fillId="8" fontId="23" numFmtId="10" xfId="0" applyAlignment="1" applyBorder="1" applyFont="1" applyNumberFormat="1">
      <alignment horizontal="center" readingOrder="0" shrinkToFit="0" vertical="center" wrapText="1"/>
    </xf>
    <xf borderId="13" fillId="9" fontId="25" numFmtId="0" xfId="0" applyAlignment="1" applyBorder="1" applyFont="1">
      <alignment horizontal="center" readingOrder="0" shrinkToFit="0" vertical="center" wrapText="1"/>
    </xf>
    <xf borderId="13" fillId="8" fontId="21" numFmtId="3" xfId="0" applyAlignment="1" applyBorder="1" applyFont="1" applyNumberFormat="1">
      <alignment horizontal="center" readingOrder="0" shrinkToFit="0" vertical="center" wrapText="1"/>
    </xf>
    <xf borderId="0" fillId="10" fontId="26" numFmtId="0" xfId="0" applyAlignment="1" applyFont="1">
      <alignment horizontal="center" shrinkToFit="0" vertical="center" wrapText="1"/>
    </xf>
    <xf borderId="5" fillId="8" fontId="25" numFmtId="0" xfId="0" applyAlignment="1" applyBorder="1" applyFont="1">
      <alignment horizontal="center" shrinkToFit="0" vertical="center" wrapText="1"/>
    </xf>
    <xf borderId="17" fillId="8" fontId="25" numFmtId="0" xfId="0" applyAlignment="1" applyBorder="1" applyFont="1">
      <alignment horizontal="center" shrinkToFit="0" vertical="center" wrapText="1"/>
    </xf>
    <xf borderId="26" fillId="9" fontId="25" numFmtId="0" xfId="0" applyAlignment="1" applyBorder="1" applyFont="1">
      <alignment horizontal="center" shrinkToFit="0" vertical="center" wrapText="1"/>
    </xf>
    <xf borderId="26" fillId="9" fontId="25" numFmtId="0" xfId="0" applyAlignment="1" applyBorder="1" applyFont="1">
      <alignment horizontal="center" readingOrder="0" shrinkToFit="0" vertical="center" wrapText="1"/>
    </xf>
    <xf borderId="13" fillId="8" fontId="22" numFmtId="0" xfId="0" applyAlignment="1" applyBorder="1" applyFont="1">
      <alignment horizontal="center" shrinkToFit="0" vertical="center" wrapText="1"/>
    </xf>
    <xf borderId="13" fillId="8" fontId="22" numFmtId="4" xfId="0" applyAlignment="1" applyBorder="1" applyFont="1" applyNumberFormat="1">
      <alignment horizontal="center" readingOrder="0" shrinkToFit="0" vertical="center" wrapText="1"/>
    </xf>
    <xf borderId="0" fillId="8" fontId="25" numFmtId="0" xfId="0" applyAlignment="1" applyFont="1">
      <alignment horizontal="center" readingOrder="0" shrinkToFit="0" vertical="center" wrapText="1"/>
    </xf>
    <xf borderId="22" fillId="8" fontId="23" numFmtId="0" xfId="0" applyAlignment="1" applyBorder="1" applyFont="1">
      <alignment horizontal="center" readingOrder="0" shrinkToFit="0" vertical="center" wrapText="1"/>
    </xf>
    <xf borderId="0" fillId="8" fontId="27" numFmtId="0" xfId="0" applyAlignment="1" applyFont="1">
      <alignment horizontal="center" readingOrder="0" shrinkToFit="0" vertical="center" wrapText="1"/>
    </xf>
    <xf borderId="0" fillId="10" fontId="26" numFmtId="0" xfId="0" applyAlignment="1" applyFont="1">
      <alignment horizontal="center" readingOrder="0" shrinkToFit="0" vertical="center" wrapText="1"/>
    </xf>
    <xf borderId="22" fillId="9" fontId="25" numFmtId="0" xfId="0" applyAlignment="1" applyBorder="1" applyFont="1">
      <alignment horizontal="center" readingOrder="0" shrinkToFit="0" vertical="center" wrapText="1"/>
    </xf>
    <xf borderId="22" fillId="8" fontId="22" numFmtId="166" xfId="0" applyAlignment="1" applyBorder="1" applyFont="1" applyNumberFormat="1">
      <alignment horizontal="center" readingOrder="0" shrinkToFit="0" vertical="center" wrapText="1"/>
    </xf>
    <xf borderId="22" fillId="8" fontId="22" numFmtId="4" xfId="0" applyAlignment="1" applyBorder="1" applyFont="1" applyNumberFormat="1">
      <alignment horizontal="center" readingOrder="0" shrinkToFit="0" vertical="center" wrapText="1"/>
    </xf>
    <xf borderId="0" fillId="8" fontId="28" numFmtId="0" xfId="0" applyAlignment="1" applyFont="1">
      <alignment horizontal="center" readingOrder="0" shrinkToFit="0" vertical="center" wrapText="1"/>
    </xf>
    <xf borderId="22" fillId="8" fontId="21" numFmtId="3" xfId="0" applyAlignment="1" applyBorder="1" applyFont="1" applyNumberFormat="1">
      <alignment horizontal="center" shrinkToFit="0" vertical="center" wrapText="1"/>
    </xf>
    <xf borderId="22" fillId="8" fontId="21" numFmtId="0" xfId="0" applyAlignment="1" applyBorder="1" applyFont="1">
      <alignment horizontal="center" shrinkToFit="0" vertical="center" wrapText="1"/>
    </xf>
    <xf borderId="22" fillId="8" fontId="21" numFmtId="10" xfId="0" applyAlignment="1" applyBorder="1" applyFont="1" applyNumberFormat="1">
      <alignment horizontal="center" shrinkToFit="0" vertical="center" wrapText="1"/>
    </xf>
    <xf borderId="13" fillId="8" fontId="21" numFmtId="0" xfId="0" applyAlignment="1" applyBorder="1" applyFont="1">
      <alignment horizontal="center" readingOrder="0" shrinkToFit="0" vertical="center" wrapText="1"/>
    </xf>
    <xf borderId="13" fillId="8" fontId="21" numFmtId="10" xfId="0" applyAlignment="1" applyBorder="1" applyFont="1" applyNumberFormat="1">
      <alignment horizontal="center" readingOrder="0" shrinkToFit="0" vertical="center" wrapText="1"/>
    </xf>
    <xf borderId="22" fillId="8" fontId="21" numFmtId="10" xfId="0" applyAlignment="1" applyBorder="1" applyFont="1" applyNumberFormat="1">
      <alignment horizontal="center" readingOrder="0" shrinkToFit="0" vertical="center" wrapText="1"/>
    </xf>
    <xf borderId="22" fillId="8" fontId="21" numFmtId="0" xfId="0" applyAlignment="1" applyBorder="1" applyFont="1">
      <alignment horizontal="center" readingOrder="0" shrinkToFit="0" vertical="center" wrapText="1"/>
    </xf>
    <xf borderId="0" fillId="9" fontId="28" numFmtId="0" xfId="0" applyAlignment="1" applyFont="1">
      <alignment horizontal="center" readingOrder="0" shrinkToFit="0" vertical="center" wrapText="1"/>
    </xf>
    <xf borderId="13" fillId="9" fontId="28" numFmtId="0" xfId="0" applyAlignment="1" applyBorder="1" applyFont="1">
      <alignment horizontal="center" readingOrder="0" shrinkToFit="0" vertical="center" wrapText="1"/>
    </xf>
    <xf borderId="22" fillId="8" fontId="21" numFmtId="3" xfId="0" applyAlignment="1" applyBorder="1" applyFont="1" applyNumberFormat="1">
      <alignment horizontal="center" readingOrder="0" shrinkToFit="0" vertical="center" wrapText="1"/>
    </xf>
    <xf borderId="0" fillId="9" fontId="23" numFmtId="0" xfId="0" applyAlignment="1" applyFont="1">
      <alignment horizontal="center" readingOrder="0" shrinkToFit="0" vertical="center" wrapText="1"/>
    </xf>
    <xf borderId="13" fillId="9" fontId="26" numFmtId="0" xfId="0" applyAlignment="1" applyBorder="1" applyFont="1">
      <alignment horizontal="center" readingOrder="0" shrinkToFit="0" vertical="center" wrapText="1"/>
    </xf>
    <xf borderId="27" fillId="8" fontId="22" numFmtId="0" xfId="0" applyAlignment="1" applyBorder="1" applyFont="1">
      <alignment horizontal="center" readingOrder="0" shrinkToFit="0" vertical="center" wrapText="1"/>
    </xf>
    <xf borderId="0" fillId="9" fontId="24" numFmtId="0" xfId="0" applyAlignment="1" applyFont="1">
      <alignment horizontal="center" readingOrder="0" shrinkToFit="0" vertical="center" wrapText="1"/>
    </xf>
    <xf borderId="0" fillId="8" fontId="29" numFmtId="0" xfId="0" applyAlignment="1" applyFont="1">
      <alignment horizontal="center" readingOrder="0" shrinkToFit="0" vertical="center" wrapText="1"/>
    </xf>
    <xf borderId="0" fillId="8" fontId="30" numFmtId="0" xfId="0" applyAlignment="1" applyFont="1">
      <alignment horizontal="center" shrinkToFit="0" vertical="center" wrapText="1"/>
    </xf>
    <xf borderId="0" fillId="8" fontId="27" numFmtId="0" xfId="0" applyAlignment="1" applyFont="1">
      <alignment horizontal="center" shrinkToFit="0" vertical="center" wrapText="1"/>
    </xf>
    <xf borderId="0" fillId="8" fontId="23" numFmtId="0" xfId="0" applyAlignment="1" applyFont="1">
      <alignment horizontal="center" readingOrder="0" shrinkToFit="0" vertical="center" wrapText="1"/>
    </xf>
    <xf borderId="13" fillId="8" fontId="23" numFmtId="0" xfId="0" applyAlignment="1" applyBorder="1" applyFont="1">
      <alignment horizontal="center" readingOrder="0" shrinkToFit="0" vertical="center" wrapText="1"/>
    </xf>
    <xf borderId="13" fillId="9" fontId="31" numFmtId="0" xfId="0" applyAlignment="1" applyBorder="1" applyFont="1">
      <alignment horizontal="center" readingOrder="0" shrinkToFit="0" vertical="center" wrapText="1"/>
    </xf>
    <xf borderId="13" fillId="8" fontId="27" numFmtId="0" xfId="0" applyAlignment="1" applyBorder="1" applyFont="1">
      <alignment horizontal="center" readingOrder="0" shrinkToFit="0" vertical="center" wrapText="1"/>
    </xf>
    <xf borderId="13" fillId="8" fontId="28" numFmtId="0" xfId="0" applyAlignment="1" applyBorder="1" applyFont="1">
      <alignment horizontal="center" readingOrder="0" shrinkToFit="0" vertical="center" wrapText="1"/>
    </xf>
    <xf borderId="22" fillId="8" fontId="22" numFmtId="0" xfId="0" applyAlignment="1" applyBorder="1" applyFont="1">
      <alignment horizontal="center" readingOrder="0" shrinkToFit="0" vertical="center" wrapText="1"/>
    </xf>
    <xf borderId="22" fillId="8" fontId="23" numFmtId="9" xfId="0" applyAlignment="1" applyBorder="1" applyFont="1" applyNumberFormat="1">
      <alignment horizontal="center" readingOrder="0" shrinkToFit="0" vertical="center" wrapText="1"/>
    </xf>
    <xf borderId="27" fillId="8" fontId="21" numFmtId="0" xfId="0" applyAlignment="1" applyBorder="1" applyFont="1">
      <alignment horizontal="center" readingOrder="0" shrinkToFit="0" vertical="center" wrapText="1"/>
    </xf>
    <xf borderId="0" fillId="9" fontId="32" numFmtId="0" xfId="0" applyAlignment="1" applyFont="1">
      <alignment horizontal="center" readingOrder="0" shrinkToFit="0" vertical="center" wrapText="1"/>
    </xf>
    <xf borderId="0" fillId="8" fontId="32" numFmtId="0" xfId="0" applyAlignment="1" applyFont="1">
      <alignment horizontal="center" readingOrder="0" shrinkToFit="0" vertical="center" wrapText="1"/>
    </xf>
    <xf borderId="0" fillId="8" fontId="14" numFmtId="0" xfId="0" applyAlignment="1" applyFont="1">
      <alignment horizontal="center" shrinkToFit="0" vertical="center" wrapText="1"/>
    </xf>
    <xf borderId="0" fillId="8" fontId="33" numFmtId="0" xfId="0" applyAlignment="1" applyFont="1">
      <alignment horizontal="center" readingOrder="0" shrinkToFit="0" vertical="center" wrapText="1"/>
    </xf>
    <xf borderId="0" fillId="8" fontId="14" numFmtId="0" xfId="0" applyAlignment="1" applyFont="1">
      <alignment horizontal="center" readingOrder="0" shrinkToFit="0" vertical="center" wrapText="1"/>
    </xf>
    <xf borderId="0" fillId="8" fontId="14" numFmtId="0" xfId="0" applyAlignment="1" applyFont="1">
      <alignment horizontal="center" shrinkToFit="0" vertical="center" wrapText="1"/>
    </xf>
    <xf borderId="27" fillId="8" fontId="33" numFmtId="0" xfId="0" applyAlignment="1" applyBorder="1" applyFont="1">
      <alignment horizontal="center" readingOrder="0" shrinkToFit="0" vertical="center" wrapText="1"/>
    </xf>
    <xf borderId="22" fillId="4" fontId="18" numFmtId="0" xfId="0" applyAlignment="1" applyBorder="1" applyFont="1">
      <alignment horizontal="center" readingOrder="0" shrinkToFit="0" vertical="center" wrapText="1"/>
    </xf>
    <xf borderId="22" fillId="4" fontId="18" numFmtId="3" xfId="0" applyAlignment="1" applyBorder="1" applyFont="1" applyNumberFormat="1">
      <alignment horizontal="center" readingOrder="0" shrinkToFit="0" vertical="center" wrapText="1"/>
    </xf>
    <xf borderId="0" fillId="8" fontId="34" numFmtId="0" xfId="0" applyAlignment="1" applyFont="1">
      <alignment horizontal="center" readingOrder="0" shrinkToFit="0" vertical="center" wrapText="1"/>
    </xf>
    <xf borderId="27" fillId="8" fontId="14" numFmtId="0" xfId="0" applyAlignment="1" applyBorder="1" applyFont="1">
      <alignment horizontal="center" shrinkToFit="0" vertical="center" wrapText="1"/>
    </xf>
    <xf borderId="28" fillId="8" fontId="33" numFmtId="0" xfId="0" applyAlignment="1" applyBorder="1" applyFont="1">
      <alignment horizontal="center" readingOrder="0" shrinkToFit="0" vertical="center" wrapText="1"/>
    </xf>
    <xf borderId="29" fillId="0" fontId="2" numFmtId="0" xfId="0" applyBorder="1" applyFont="1"/>
    <xf borderId="30" fillId="0" fontId="2" numFmtId="0" xfId="0" applyBorder="1" applyFont="1"/>
    <xf borderId="13" fillId="9" fontId="33" numFmtId="0" xfId="0" applyAlignment="1" applyBorder="1" applyFont="1">
      <alignment horizontal="center" readingOrder="0" shrinkToFit="0" vertical="center" wrapText="1"/>
    </xf>
    <xf borderId="13" fillId="8" fontId="14" numFmtId="0" xfId="0" applyAlignment="1" applyBorder="1" applyFont="1">
      <alignment horizontal="center" readingOrder="0" shrinkToFit="0" vertical="center" wrapText="1"/>
    </xf>
    <xf borderId="13" fillId="8" fontId="14" numFmtId="3" xfId="0" applyAlignment="1" applyBorder="1" applyFont="1" applyNumberFormat="1">
      <alignment horizontal="center" readingOrder="0" shrinkToFit="0" vertical="center" wrapText="1"/>
    </xf>
    <xf borderId="13" fillId="8" fontId="14" numFmtId="4" xfId="0" applyAlignment="1" applyBorder="1" applyFont="1" applyNumberFormat="1">
      <alignment horizontal="center" readingOrder="0" shrinkToFit="0" vertical="center" wrapText="1"/>
    </xf>
    <xf borderId="13" fillId="8" fontId="33" numFmtId="0" xfId="0" applyAlignment="1" applyBorder="1" applyFont="1">
      <alignment horizontal="center" readingOrder="0" shrinkToFit="0" vertical="center" wrapText="1"/>
    </xf>
    <xf borderId="13" fillId="8" fontId="33" numFmtId="4" xfId="0" applyAlignment="1" applyBorder="1" applyFont="1" applyNumberFormat="1">
      <alignment horizontal="center" shrinkToFit="0" vertical="center" wrapText="1"/>
    </xf>
    <xf borderId="27" fillId="8" fontId="14" numFmtId="0" xfId="0" applyAlignment="1" applyBorder="1" applyFont="1">
      <alignment horizontal="center" readingOrder="0" shrinkToFit="0" vertical="center" wrapText="1"/>
    </xf>
    <xf borderId="15" fillId="8" fontId="14" numFmtId="0" xfId="0" applyAlignment="1" applyBorder="1" applyFont="1">
      <alignment horizontal="center" shrinkToFit="0" vertical="center" wrapText="1"/>
    </xf>
    <xf borderId="31" fillId="8" fontId="14" numFmtId="0" xfId="0" applyAlignment="1" applyBorder="1" applyFont="1">
      <alignment horizontal="center" shrinkToFit="0" vertical="center" wrapText="1"/>
    </xf>
    <xf borderId="0" fillId="4" fontId="35" numFmtId="0" xfId="0" applyAlignment="1" applyFont="1">
      <alignment horizontal="center" readingOrder="0" shrinkToFit="0" vertical="center" wrapText="1"/>
    </xf>
    <xf borderId="0" fillId="9" fontId="35" numFmtId="0" xfId="0" applyAlignment="1" applyFont="1">
      <alignment horizontal="center" readingOrder="0" shrinkToFit="0" vertical="center" wrapText="1"/>
    </xf>
    <xf borderId="0" fillId="4" fontId="36" numFmtId="0" xfId="0" applyAlignment="1" applyFont="1">
      <alignment horizontal="center" shrinkToFit="0" vertical="center" wrapText="1"/>
    </xf>
    <xf borderId="0" fillId="4" fontId="37" numFmtId="0" xfId="0" applyAlignment="1" applyFont="1">
      <alignment horizontal="center" readingOrder="0" shrinkToFit="0" vertical="center" wrapText="1"/>
    </xf>
    <xf borderId="0" fillId="4" fontId="36" numFmtId="0" xfId="0" applyAlignment="1" applyFont="1">
      <alignment horizontal="center" readingOrder="0" shrinkToFit="0" vertical="center" wrapText="1"/>
    </xf>
    <xf borderId="27" fillId="4" fontId="36" numFmtId="0" xfId="0" applyAlignment="1" applyBorder="1" applyFont="1">
      <alignment horizontal="center" shrinkToFit="0" vertical="center" wrapText="1"/>
    </xf>
    <xf borderId="32" fillId="9" fontId="37" numFmtId="0" xfId="0" applyAlignment="1" applyBorder="1" applyFont="1">
      <alignment horizontal="center" readingOrder="0" shrinkToFit="0" vertical="center" wrapText="1"/>
    </xf>
    <xf borderId="33" fillId="0" fontId="2" numFmtId="0" xfId="0" applyBorder="1" applyFont="1"/>
    <xf borderId="34" fillId="0" fontId="2" numFmtId="0" xfId="0" applyBorder="1" applyFont="1"/>
    <xf borderId="33" fillId="9" fontId="37" numFmtId="3" xfId="0" applyAlignment="1" applyBorder="1" applyFont="1" applyNumberFormat="1">
      <alignment horizontal="center" readingOrder="0" shrinkToFit="0" vertical="center" wrapText="1"/>
    </xf>
    <xf borderId="33" fillId="9" fontId="37" numFmtId="0" xfId="0" applyAlignment="1" applyBorder="1" applyFont="1">
      <alignment horizontal="center" readingOrder="0" shrinkToFit="0" vertical="center" wrapText="1"/>
    </xf>
    <xf borderId="32" fillId="4" fontId="36" numFmtId="0" xfId="0" applyAlignment="1" applyBorder="1" applyFont="1">
      <alignment horizontal="center" readingOrder="0" shrinkToFit="0" vertical="center" wrapText="1"/>
    </xf>
    <xf borderId="33" fillId="4" fontId="36" numFmtId="3" xfId="0" applyAlignment="1" applyBorder="1" applyFont="1" applyNumberFormat="1">
      <alignment horizontal="center" readingOrder="0" shrinkToFit="0" vertical="center" wrapText="1"/>
    </xf>
    <xf borderId="33" fillId="4" fontId="36" numFmtId="0" xfId="0" applyAlignment="1" applyBorder="1" applyFont="1">
      <alignment horizontal="center" readingOrder="0" shrinkToFit="0" vertical="center" wrapText="1"/>
    </xf>
    <xf borderId="35" fillId="0" fontId="2" numFmtId="0" xfId="0" applyBorder="1" applyFont="1"/>
    <xf borderId="0" fillId="4" fontId="36" numFmtId="0" xfId="0" applyAlignment="1" applyFont="1">
      <alignment horizontal="center" shrinkToFit="0" vertical="center" wrapText="1"/>
    </xf>
    <xf borderId="27" fillId="4" fontId="36" numFmtId="0" xfId="0" applyAlignment="1" applyBorder="1" applyFont="1">
      <alignment horizontal="center" shrinkToFit="0" vertical="center" wrapText="1"/>
    </xf>
    <xf borderId="28" fillId="4" fontId="36" numFmtId="0" xfId="0" applyAlignment="1" applyBorder="1" applyFont="1">
      <alignment horizontal="center" readingOrder="0" shrinkToFit="0" vertical="center" wrapText="1"/>
    </xf>
    <xf borderId="36" fillId="9" fontId="37" numFmtId="0" xfId="0" applyAlignment="1" applyBorder="1" applyFont="1">
      <alignment horizontal="center" readingOrder="0" shrinkToFit="0" vertical="center" wrapText="1"/>
    </xf>
    <xf borderId="37" fillId="0" fontId="2" numFmtId="0" xfId="0" applyBorder="1" applyFont="1"/>
    <xf borderId="38" fillId="9" fontId="37" numFmtId="0" xfId="0" applyAlignment="1" applyBorder="1" applyFont="1">
      <alignment horizontal="center" readingOrder="0" shrinkToFit="0" vertical="center" wrapText="1"/>
    </xf>
    <xf borderId="39" fillId="0" fontId="2" numFmtId="0" xfId="0" applyBorder="1" applyFont="1"/>
    <xf borderId="36" fillId="4" fontId="36" numFmtId="0" xfId="0" applyAlignment="1" applyBorder="1" applyFont="1">
      <alignment horizontal="center" readingOrder="0" shrinkToFit="0" vertical="center" wrapText="1"/>
    </xf>
    <xf borderId="38" fillId="4" fontId="36" numFmtId="3" xfId="0" applyAlignment="1" applyBorder="1" applyFont="1" applyNumberFormat="1">
      <alignment horizontal="center" readingOrder="0" shrinkToFit="0" vertical="center" wrapText="1"/>
    </xf>
    <xf borderId="38" fillId="4" fontId="36" numFmtId="0" xfId="0" applyAlignment="1" applyBorder="1" applyFont="1">
      <alignment horizontal="center" readingOrder="0" shrinkToFit="0" vertical="center" wrapText="1"/>
    </xf>
    <xf borderId="38" fillId="4" fontId="36" numFmtId="4" xfId="0" applyAlignment="1" applyBorder="1" applyFont="1" applyNumberFormat="1">
      <alignment horizontal="center" readingOrder="0" shrinkToFit="0" vertical="center" wrapText="1"/>
    </xf>
    <xf borderId="40" fillId="0" fontId="2" numFmtId="0" xfId="0" applyBorder="1" applyFont="1"/>
    <xf borderId="29" fillId="4" fontId="36" numFmtId="3" xfId="0" applyAlignment="1" applyBorder="1" applyFont="1" applyNumberFormat="1">
      <alignment horizontal="center" readingOrder="0" shrinkToFit="0" vertical="center" wrapText="1"/>
    </xf>
    <xf borderId="29" fillId="4" fontId="36" numFmtId="0" xfId="0" applyAlignment="1" applyBorder="1" applyFont="1">
      <alignment horizontal="center" readingOrder="0" shrinkToFit="0" vertical="center" wrapText="1"/>
    </xf>
    <xf borderId="29" fillId="4" fontId="36" numFmtId="4" xfId="0" applyAlignment="1" applyBorder="1" applyFont="1" applyNumberFormat="1">
      <alignment horizontal="center" readingOrder="0" shrinkToFit="0" vertical="center" wrapText="1"/>
    </xf>
    <xf borderId="13" fillId="4" fontId="37" numFmtId="0" xfId="0" applyAlignment="1" applyBorder="1" applyFont="1">
      <alignment horizontal="center" readingOrder="0" shrinkToFit="0" vertical="center" wrapText="1"/>
    </xf>
    <xf borderId="13" fillId="4" fontId="37" numFmtId="4" xfId="0" applyAlignment="1" applyBorder="1" applyFont="1" applyNumberFormat="1">
      <alignment horizontal="center" shrinkToFit="0" vertical="center" wrapText="1"/>
    </xf>
    <xf borderId="41" fillId="4" fontId="36" numFmtId="0" xfId="0" applyAlignment="1" applyBorder="1" applyFont="1">
      <alignment horizontal="center" shrinkToFit="0" vertical="center" wrapText="1"/>
    </xf>
    <xf borderId="42" fillId="4" fontId="36" numFmtId="0" xfId="0" applyAlignment="1" applyBorder="1" applyFont="1">
      <alignment horizontal="center" shrinkToFit="0" vertical="center" wrapText="1"/>
    </xf>
    <xf borderId="0" fillId="4" fontId="18" numFmtId="0" xfId="0" applyAlignment="1" applyFont="1">
      <alignment horizontal="center" shrinkToFit="0" vertical="center" wrapText="1"/>
    </xf>
    <xf borderId="27" fillId="4" fontId="18" numFmtId="0" xfId="0" applyAlignment="1" applyBorder="1" applyFont="1">
      <alignment horizontal="center" shrinkToFit="0" vertical="center" wrapText="1"/>
    </xf>
    <xf borderId="22" fillId="4" fontId="17" numFmtId="0" xfId="0" applyAlignment="1" applyBorder="1" applyFont="1">
      <alignment horizontal="center" readingOrder="0" shrinkToFit="0" vertical="center" wrapText="1"/>
    </xf>
    <xf borderId="13" fillId="4" fontId="17" numFmtId="0" xfId="0" applyAlignment="1" applyBorder="1" applyFont="1">
      <alignment horizontal="center" readingOrder="0" shrinkToFit="0" vertical="center" wrapText="1"/>
    </xf>
    <xf borderId="13" fillId="4" fontId="18" numFmtId="0" xfId="0" applyAlignment="1" applyBorder="1" applyFont="1">
      <alignment horizontal="center" readingOrder="0" shrinkToFit="0" vertical="center" wrapText="1"/>
    </xf>
    <xf borderId="0" fillId="4" fontId="18" numFmtId="0" xfId="0" applyAlignment="1" applyFont="1">
      <alignment horizontal="center" readingOrder="0" shrinkToFit="0" vertical="center" wrapText="1"/>
    </xf>
    <xf borderId="0" fillId="9" fontId="38" numFmtId="0" xfId="0" applyAlignment="1" applyFont="1">
      <alignment horizontal="center" readingOrder="0"/>
    </xf>
    <xf borderId="0" fillId="8" fontId="3" numFmtId="0" xfId="0" applyAlignment="1" applyFont="1">
      <alignment horizontal="center" readingOrder="0"/>
    </xf>
    <xf borderId="0" fillId="8" fontId="39" numFmtId="0" xfId="0" applyAlignment="1" applyFont="1">
      <alignment horizontal="center"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Shareholding Pattern Before and After IPO</a:t>
            </a:r>
          </a:p>
        </c:rich>
      </c:tx>
      <c:overlay val="0"/>
    </c:title>
    <c:plotArea>
      <c:layout/>
      <c:barChart>
        <c:barDir val="bar"/>
        <c:grouping val="percentStacked"/>
        <c:ser>
          <c:idx val="0"/>
          <c:order val="0"/>
          <c:tx>
            <c:strRef>
              <c:f>'Part II IPO Analysis'!$B$40</c:f>
            </c:strRef>
          </c:tx>
          <c:spPr>
            <a:solidFill>
              <a:srgbClr val="000000"/>
            </a:solidFill>
            <a:ln cmpd="sng">
              <a:solidFill>
                <a:srgbClr val="000000"/>
              </a:solidFill>
            </a:ln>
          </c:spPr>
          <c:cat>
            <c:strRef>
              <c:f>'Part II IPO Analysis'!$A$41:$A$42</c:f>
            </c:strRef>
          </c:cat>
          <c:val>
            <c:numRef>
              <c:f>'Part II IPO Analysis'!$B$41:$B$42</c:f>
              <c:numCache/>
            </c:numRef>
          </c:val>
        </c:ser>
        <c:ser>
          <c:idx val="1"/>
          <c:order val="1"/>
          <c:tx>
            <c:strRef>
              <c:f>'Part II IPO Analysis'!$C$40</c:f>
            </c:strRef>
          </c:tx>
          <c:spPr>
            <a:solidFill>
              <a:srgbClr val="F6B26B"/>
            </a:solidFill>
            <a:ln cmpd="sng">
              <a:solidFill>
                <a:srgbClr val="000000"/>
              </a:solidFill>
            </a:ln>
          </c:spPr>
          <c:cat>
            <c:strRef>
              <c:f>'Part II IPO Analysis'!$A$41:$A$42</c:f>
            </c:strRef>
          </c:cat>
          <c:val>
            <c:numRef>
              <c:f>'Part II IPO Analysis'!$C$41:$C$42</c:f>
              <c:numCache/>
            </c:numRef>
          </c:val>
        </c:ser>
        <c:ser>
          <c:idx val="2"/>
          <c:order val="2"/>
          <c:tx>
            <c:strRef>
              <c:f>'Part II IPO Analysis'!$D$40</c:f>
            </c:strRef>
          </c:tx>
          <c:cat>
            <c:strRef>
              <c:f>'Part II IPO Analysis'!$A$41:$A$42</c:f>
            </c:strRef>
          </c:cat>
          <c:val>
            <c:numRef>
              <c:f>'Part II IPO Analysis'!$D$41:$D$42</c:f>
              <c:numCache/>
            </c:numRef>
          </c:val>
        </c:ser>
        <c:overlap val="100"/>
        <c:axId val="295322546"/>
        <c:axId val="1624301359"/>
      </c:barChart>
      <c:catAx>
        <c:axId val="295322546"/>
        <c:scaling>
          <c:orientation val="maxMin"/>
        </c:scaling>
        <c:delete val="0"/>
        <c:axPos val="l"/>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a:solidFill>
                  <a:srgbClr val="1A1A1A"/>
                </a:solidFill>
                <a:latin typeface="+mn-lt"/>
              </a:defRPr>
            </a:pPr>
          </a:p>
        </c:txPr>
        <c:crossAx val="1624301359"/>
      </c:catAx>
      <c:valAx>
        <c:axId val="162430135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295322546"/>
        <c:crosses val="max"/>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E06666"/>
              </a:solidFill>
            </c:spPr>
          </c:dPt>
          <c:dPt>
            <c:idx val="1"/>
            <c:spPr>
              <a:solidFill>
                <a:srgbClr val="45818E"/>
              </a:solidFill>
            </c:spPr>
          </c:dPt>
          <c:dPt>
            <c:idx val="2"/>
            <c:spPr>
              <a:solidFill>
                <a:srgbClr val="1F3E78"/>
              </a:solidFill>
            </c:spPr>
          </c:dPt>
          <c:dPt>
            <c:idx val="3"/>
            <c:spPr>
              <a:solidFill>
                <a:srgbClr val="6FA8DC"/>
              </a:solidFill>
            </c:spPr>
          </c:dPt>
          <c:dPt>
            <c:idx val="4"/>
            <c:spPr>
              <a:solidFill>
                <a:srgbClr val="999999"/>
              </a:solidFill>
            </c:spPr>
          </c:dPt>
          <c:dPt>
            <c:idx val="5"/>
            <c:spPr>
              <a:solidFill>
                <a:srgbClr val="DD7E6B"/>
              </a:solidFill>
            </c:spPr>
          </c:dPt>
          <c:dLbls>
            <c:showLegendKey val="0"/>
            <c:showVal val="0"/>
            <c:showCatName val="0"/>
            <c:showSerName val="0"/>
            <c:showPercent val="0"/>
            <c:showBubbleSize val="0"/>
            <c:showLeaderLines val="1"/>
          </c:dLbls>
          <c:cat>
            <c:strRef>
              <c:f>'Part III – Financial Management'!$A$37:$A$42</c:f>
            </c:strRef>
          </c:cat>
          <c:val>
            <c:numRef>
              <c:f>'Part III – Financial Management'!$E$37:$E$42</c:f>
              <c:numCache/>
            </c:numRef>
          </c:val>
        </c:ser>
        <c:dLbls>
          <c:showLegendKey val="0"/>
          <c:showVal val="0"/>
          <c:showCatName val="0"/>
          <c:showSerName val="0"/>
          <c:showPercent val="0"/>
          <c:showBubbleSize val="0"/>
        </c:dLbls>
        <c:holeSize val="50"/>
      </c:doughnutChart>
    </c:plotArea>
    <c:legend>
      <c:legendPos val="r"/>
      <c:layout>
        <c:manualLayout>
          <c:xMode val="edge"/>
          <c:yMode val="edge"/>
          <c:x val="0.0"/>
          <c:y val="-0.0026954177897574125"/>
        </c:manualLayout>
      </c:layout>
      <c:overlay val="0"/>
      <c:txPr>
        <a:bodyPr/>
        <a:lstStyle/>
        <a:p>
          <a:pPr lvl="0">
            <a:defRPr b="0">
              <a:solidFill>
                <a:srgbClr val="31313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FUNDING FOR WC</a:t>
            </a:r>
          </a:p>
        </c:rich>
      </c:tx>
      <c:overlay val="0"/>
    </c:title>
    <c:plotArea>
      <c:layout/>
      <c:barChart>
        <c:barDir val="col"/>
        <c:ser>
          <c:idx val="0"/>
          <c:order val="0"/>
          <c:tx>
            <c:v>2023-2024</c:v>
          </c:tx>
          <c:spPr>
            <a:solidFill>
              <a:srgbClr val="FF9900"/>
            </a:solidFill>
            <a:ln cmpd="sng">
              <a:solidFill>
                <a:srgbClr val="000000"/>
              </a:solidFill>
            </a:ln>
          </c:spPr>
          <c:dPt>
            <c:idx val="0"/>
            <c:spPr>
              <a:solidFill>
                <a:srgbClr val="FF9900"/>
              </a:solidFill>
              <a:ln cmpd="sng">
                <a:solidFill>
                  <a:srgbClr val="000000"/>
                </a:solidFill>
              </a:ln>
            </c:spPr>
          </c:dPt>
          <c:cat>
            <c:strRef>
              <c:f>'Part III – Financial Management'!$A$104:$A$109</c:f>
            </c:strRef>
          </c:cat>
          <c:val>
            <c:numRef>
              <c:f>'Part III – Financial Management'!$D$104:$D$109</c:f>
              <c:numCache/>
            </c:numRef>
          </c:val>
        </c:ser>
        <c:ser>
          <c:idx val="1"/>
          <c:order val="1"/>
          <c:tx>
            <c:v>2024-2025</c:v>
          </c:tx>
          <c:spPr>
            <a:solidFill>
              <a:srgbClr val="000000"/>
            </a:solidFill>
            <a:ln cmpd="sng">
              <a:solidFill>
                <a:srgbClr val="000000"/>
              </a:solidFill>
            </a:ln>
          </c:spPr>
          <c:cat>
            <c:strRef>
              <c:f>'Part III – Financial Management'!$A$104:$A$109</c:f>
            </c:strRef>
          </c:cat>
          <c:val>
            <c:numRef>
              <c:f>'Part III – Financial Management'!$E$104:$E$109</c:f>
              <c:numCache/>
            </c:numRef>
          </c:val>
        </c:ser>
        <c:ser>
          <c:idx val="2"/>
          <c:order val="2"/>
          <c:cat>
            <c:strRef>
              <c:f>'Part III – Financial Management'!$A$104:$A$109</c:f>
            </c:strRef>
          </c:cat>
          <c:val>
            <c:numRef>
              <c:f>'Part III – Financial Management'!$B$104:$B$109</c:f>
              <c:numCache/>
            </c:numRef>
          </c:val>
        </c:ser>
        <c:ser>
          <c:idx val="3"/>
          <c:order val="3"/>
          <c:cat>
            <c:strRef>
              <c:f>'Part III – Financial Management'!$A$104:$A$109</c:f>
            </c:strRef>
          </c:cat>
          <c:val>
            <c:numRef>
              <c:f>'Part III – Financial Management'!$C$104:$C$109</c:f>
              <c:numCache/>
            </c:numRef>
          </c:val>
        </c:ser>
        <c:axId val="1865260152"/>
        <c:axId val="329864410"/>
      </c:barChart>
      <c:catAx>
        <c:axId val="1865260152"/>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a:solidFill>
                  <a:srgbClr val="1A1A1A"/>
                </a:solidFill>
                <a:latin typeface="+mn-lt"/>
              </a:defRPr>
            </a:pPr>
          </a:p>
        </c:txPr>
        <c:crossAx val="329864410"/>
      </c:catAx>
      <c:valAx>
        <c:axId val="3298644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865260152"/>
      </c:valAx>
    </c:plotArea>
    <c:legend>
      <c:legendPos val="r"/>
      <c:layout>
        <c:manualLayout>
          <c:xMode val="edge"/>
          <c:yMode val="edge"/>
          <c:x val="0.38950564971751417"/>
          <c:y val="0.14884297008565064"/>
        </c:manualLayout>
      </c:layout>
      <c:overlay val="0"/>
      <c:txPr>
        <a:bodyPr/>
        <a:lstStyle/>
        <a:p>
          <a:pPr lvl="0">
            <a:defRPr b="0">
              <a:solidFill>
                <a:srgbClr val="313131"/>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CURRENT ASSETS</a:t>
            </a:r>
          </a:p>
        </c:rich>
      </c:tx>
      <c:overlay val="0"/>
    </c:title>
    <c:view3D>
      <c:rotX val="50"/>
      <c:perspective val="0"/>
    </c:view3D>
    <c:plotArea>
      <c:layout/>
      <c:pie3DChart>
        <c:varyColors val="1"/>
        <c:ser>
          <c:idx val="0"/>
          <c:order val="0"/>
          <c:dPt>
            <c:idx val="0"/>
            <c:spPr>
              <a:solidFill>
                <a:srgbClr val="1A9988"/>
              </a:solidFill>
            </c:spPr>
          </c:dPt>
          <c:dPt>
            <c:idx val="1"/>
            <c:spPr>
              <a:solidFill>
                <a:srgbClr val="E06666"/>
              </a:solidFill>
            </c:spPr>
          </c:dPt>
          <c:dPt>
            <c:idx val="2"/>
            <c:spPr>
              <a:solidFill>
                <a:srgbClr val="1F3E78"/>
              </a:solidFill>
            </c:spPr>
          </c:dPt>
          <c:dPt>
            <c:idx val="3"/>
            <c:spPr>
              <a:solidFill>
                <a:srgbClr val="EB5600"/>
              </a:solidFill>
            </c:spPr>
          </c:dPt>
          <c:dPt>
            <c:idx val="4"/>
            <c:spPr>
              <a:solidFill>
                <a:srgbClr val="999999"/>
              </a:solidFill>
            </c:spPr>
          </c:dPt>
          <c:dPt>
            <c:idx val="5"/>
            <c:spPr>
              <a:solidFill>
                <a:srgbClr val="FFD4B8"/>
              </a:solidFill>
            </c:spPr>
          </c:dPt>
          <c:dLbls>
            <c:showLegendKey val="0"/>
            <c:showVal val="0"/>
            <c:showCatName val="0"/>
            <c:showSerName val="0"/>
            <c:showPercent val="0"/>
            <c:showBubbleSize val="0"/>
            <c:showLeaderLines val="1"/>
          </c:dLbls>
          <c:cat>
            <c:strRef>
              <c:f>'Part III – Financial Management'!$A$133:$A$138</c:f>
            </c:strRef>
          </c:cat>
          <c:val>
            <c:numRef>
              <c:f>'Part III – Financial Management'!$B$133:$B$138</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313131"/>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CURRENT LIABILITIES</a:t>
            </a:r>
          </a:p>
        </c:rich>
      </c:tx>
      <c:overlay val="0"/>
    </c:title>
    <c:view3D>
      <c:rotX val="50"/>
      <c:perspective val="0"/>
    </c:view3D>
    <c:plotArea>
      <c:layout/>
      <c:pie3DChart>
        <c:varyColors val="1"/>
        <c:ser>
          <c:idx val="0"/>
          <c:order val="0"/>
          <c:dPt>
            <c:idx val="0"/>
            <c:spPr>
              <a:solidFill>
                <a:srgbClr val="1A9988"/>
              </a:solidFill>
            </c:spPr>
          </c:dPt>
          <c:dPt>
            <c:idx val="1"/>
            <c:spPr>
              <a:solidFill>
                <a:srgbClr val="E06666"/>
              </a:solidFill>
            </c:spPr>
          </c:dPt>
          <c:dPt>
            <c:idx val="2"/>
            <c:spPr>
              <a:solidFill>
                <a:srgbClr val="1F3E78"/>
              </a:solidFill>
            </c:spPr>
          </c:dPt>
          <c:dPt>
            <c:idx val="3"/>
            <c:spPr>
              <a:solidFill>
                <a:srgbClr val="EB5600"/>
              </a:solidFill>
            </c:spPr>
          </c:dPt>
          <c:dPt>
            <c:idx val="4"/>
            <c:spPr>
              <a:solidFill>
                <a:srgbClr val="999999"/>
              </a:solidFill>
            </c:spPr>
          </c:dPt>
          <c:dLbls>
            <c:showLegendKey val="0"/>
            <c:showVal val="0"/>
            <c:showCatName val="0"/>
            <c:showSerName val="0"/>
            <c:showPercent val="0"/>
            <c:showBubbleSize val="0"/>
            <c:showLeaderLines val="1"/>
          </c:dLbls>
          <c:cat>
            <c:strRef>
              <c:f>'Part III – Financial Management'!$A$165:$A$169</c:f>
            </c:strRef>
          </c:cat>
          <c:val>
            <c:numRef>
              <c:f>'Part III – Financial Management'!$B$165:$B$169</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313131"/>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43</xdr:row>
      <xdr:rowOff>28575</xdr:rowOff>
    </xdr:from>
    <xdr:ext cx="14030325" cy="3171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590550</xdr:colOff>
      <xdr:row>44</xdr:row>
      <xdr:rowOff>38100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1276350</xdr:colOff>
      <xdr:row>110</xdr:row>
      <xdr:rowOff>66675</xdr:rowOff>
    </xdr:from>
    <xdr:ext cx="8991600" cy="30384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933450</xdr:colOff>
      <xdr:row>139</xdr:row>
      <xdr:rowOff>76200</xdr:rowOff>
    </xdr:from>
    <xdr:ext cx="5962650" cy="369570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1343025</xdr:colOff>
      <xdr:row>170</xdr:row>
      <xdr:rowOff>85725</xdr:rowOff>
    </xdr:from>
    <xdr:ext cx="5715000" cy="3695700"/>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999999"/>
      </a:lt1>
      <a:dk2>
        <a:srgbClr val="1A1A1A"/>
      </a:dk2>
      <a:lt2>
        <a:srgbClr val="999999"/>
      </a:lt2>
      <a:accent1>
        <a:srgbClr val="1A9988"/>
      </a:accent1>
      <a:accent2>
        <a:srgbClr val="999999"/>
      </a:accent2>
      <a:accent3>
        <a:srgbClr val="1F3E78"/>
      </a:accent3>
      <a:accent4>
        <a:srgbClr val="EB5600"/>
      </a:accent4>
      <a:accent5>
        <a:srgbClr val="999999"/>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vsil.in" TargetMode="External"/><Relationship Id="rId2" Type="http://schemas.openxmlformats.org/officeDocument/2006/relationships/hyperlink" Target="http://www.vsil.in/pdf/annual_report_2024.pdf" TargetMode="External"/><Relationship Id="rId3" Type="http://schemas.openxmlformats.org/officeDocument/2006/relationships/hyperlink" Target="http://www.vsil.in/investorrelations.php" TargetMode="External"/><Relationship Id="rId4" Type="http://schemas.openxmlformats.org/officeDocument/2006/relationships/hyperlink" Target="https://www.screener.in/company/VSIL/" TargetMode="External"/><Relationship Id="rId5" Type="http://schemas.openxmlformats.org/officeDocument/2006/relationships/hyperlink" Target="https://www.chittorgarh.com/ipo/vishwaraj-ipo/101/"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55.44"/>
    <col customWidth="1" min="2" max="2" width="25.33"/>
    <col customWidth="1" min="8" max="8" width="28.33"/>
  </cols>
  <sheetData>
    <row r="1">
      <c r="A1" s="1" t="s">
        <v>0</v>
      </c>
      <c r="B1" s="2"/>
      <c r="C1" s="2"/>
      <c r="D1" s="2"/>
      <c r="E1" s="2"/>
      <c r="F1" s="2"/>
      <c r="G1" s="2"/>
      <c r="H1" s="3"/>
      <c r="I1" s="4"/>
      <c r="J1" s="4"/>
      <c r="K1" s="4"/>
      <c r="L1" s="4"/>
      <c r="M1" s="4"/>
      <c r="N1" s="4"/>
      <c r="O1" s="4"/>
      <c r="P1" s="4"/>
      <c r="Q1" s="4"/>
      <c r="R1" s="4"/>
    </row>
    <row r="2" ht="18.75" customHeight="1">
      <c r="A2" s="5"/>
      <c r="B2" s="6"/>
      <c r="C2" s="6"/>
      <c r="D2" s="6"/>
      <c r="E2" s="6"/>
      <c r="F2" s="6"/>
      <c r="G2" s="6"/>
      <c r="H2" s="7"/>
      <c r="I2" s="4"/>
      <c r="J2" s="4"/>
      <c r="K2" s="4"/>
      <c r="L2" s="4"/>
      <c r="M2" s="4"/>
      <c r="N2" s="4"/>
      <c r="O2" s="4"/>
      <c r="P2" s="4"/>
      <c r="Q2" s="4"/>
      <c r="R2" s="4"/>
    </row>
    <row r="3">
      <c r="A3" s="8" t="s">
        <v>1</v>
      </c>
      <c r="C3" s="9" t="s">
        <v>2</v>
      </c>
      <c r="H3" s="10"/>
      <c r="I3" s="4"/>
      <c r="J3" s="4"/>
      <c r="K3" s="4"/>
      <c r="L3" s="4"/>
      <c r="M3" s="4"/>
      <c r="N3" s="4"/>
      <c r="O3" s="4"/>
      <c r="P3" s="4"/>
      <c r="Q3" s="4"/>
      <c r="R3" s="4"/>
    </row>
    <row r="4" ht="27.75" customHeight="1">
      <c r="A4" s="11"/>
      <c r="H4" s="10"/>
      <c r="I4" s="4"/>
      <c r="J4" s="4"/>
      <c r="K4" s="4"/>
      <c r="L4" s="4"/>
      <c r="M4" s="4"/>
      <c r="N4" s="4"/>
      <c r="O4" s="4"/>
      <c r="P4" s="4"/>
      <c r="Q4" s="4"/>
      <c r="R4" s="4"/>
    </row>
    <row r="5">
      <c r="A5" s="8" t="s">
        <v>3</v>
      </c>
      <c r="C5" s="9" t="s">
        <v>4</v>
      </c>
      <c r="H5" s="10"/>
      <c r="I5" s="4"/>
      <c r="J5" s="4"/>
      <c r="K5" s="4"/>
      <c r="L5" s="4"/>
      <c r="M5" s="4"/>
      <c r="N5" s="4"/>
      <c r="O5" s="4"/>
      <c r="P5" s="4"/>
      <c r="Q5" s="4"/>
      <c r="R5" s="4"/>
    </row>
    <row r="6" ht="20.25" customHeight="1">
      <c r="A6" s="11"/>
      <c r="H6" s="10"/>
      <c r="I6" s="4"/>
      <c r="J6" s="4"/>
      <c r="K6" s="4"/>
      <c r="L6" s="4"/>
      <c r="M6" s="4"/>
      <c r="N6" s="4"/>
      <c r="O6" s="4"/>
      <c r="P6" s="4"/>
      <c r="Q6" s="4"/>
      <c r="R6" s="4"/>
    </row>
    <row r="7">
      <c r="A7" s="8" t="s">
        <v>5</v>
      </c>
      <c r="C7" s="9" t="s">
        <v>6</v>
      </c>
      <c r="H7" s="10"/>
      <c r="I7" s="4"/>
      <c r="J7" s="4"/>
      <c r="K7" s="4"/>
      <c r="L7" s="4"/>
      <c r="M7" s="4"/>
      <c r="N7" s="4"/>
      <c r="O7" s="4"/>
      <c r="P7" s="4"/>
      <c r="Q7" s="4"/>
      <c r="R7" s="4"/>
    </row>
    <row r="8" ht="22.5" customHeight="1">
      <c r="A8" s="11"/>
      <c r="H8" s="10"/>
      <c r="I8" s="4"/>
      <c r="J8" s="4"/>
      <c r="K8" s="4"/>
      <c r="L8" s="4"/>
      <c r="M8" s="4"/>
      <c r="N8" s="4"/>
      <c r="O8" s="4"/>
      <c r="P8" s="4"/>
      <c r="Q8" s="4"/>
      <c r="R8" s="4"/>
    </row>
    <row r="9">
      <c r="A9" s="12"/>
      <c r="H9" s="10"/>
      <c r="I9" s="4"/>
      <c r="J9" s="4"/>
      <c r="K9" s="4"/>
      <c r="L9" s="4"/>
      <c r="M9" s="4"/>
      <c r="N9" s="4"/>
      <c r="O9" s="4"/>
      <c r="P9" s="4"/>
      <c r="Q9" s="4"/>
      <c r="R9" s="4"/>
    </row>
    <row r="10">
      <c r="A10" s="13" t="s">
        <v>7</v>
      </c>
      <c r="C10" s="14" t="s">
        <v>8</v>
      </c>
      <c r="H10" s="10"/>
      <c r="I10" s="4"/>
      <c r="J10" s="4"/>
      <c r="K10" s="4"/>
      <c r="L10" s="4"/>
      <c r="M10" s="4"/>
      <c r="N10" s="4"/>
      <c r="O10" s="4"/>
      <c r="P10" s="4"/>
      <c r="Q10" s="4"/>
      <c r="R10" s="4"/>
    </row>
    <row r="11">
      <c r="A11" s="13" t="s">
        <v>9</v>
      </c>
      <c r="C11" s="14" t="s">
        <v>10</v>
      </c>
      <c r="H11" s="10"/>
      <c r="I11" s="4"/>
      <c r="J11" s="4"/>
      <c r="K11" s="4"/>
      <c r="L11" s="4"/>
      <c r="M11" s="4"/>
      <c r="N11" s="4"/>
      <c r="O11" s="4"/>
      <c r="P11" s="4"/>
      <c r="Q11" s="4"/>
      <c r="R11" s="4"/>
    </row>
    <row r="12">
      <c r="A12" s="15"/>
      <c r="H12" s="10"/>
      <c r="I12" s="4"/>
      <c r="J12" s="4"/>
      <c r="K12" s="4"/>
      <c r="L12" s="4"/>
      <c r="M12" s="4"/>
      <c r="N12" s="4"/>
      <c r="O12" s="4"/>
      <c r="P12" s="4"/>
      <c r="Q12" s="4"/>
      <c r="R12" s="4"/>
    </row>
    <row r="13">
      <c r="A13" s="16" t="s">
        <v>11</v>
      </c>
      <c r="B13" s="17"/>
      <c r="C13" s="17"/>
      <c r="D13" s="17"/>
      <c r="E13" s="17"/>
      <c r="F13" s="17"/>
      <c r="G13" s="17"/>
      <c r="H13" s="18"/>
      <c r="I13" s="4"/>
      <c r="J13" s="4"/>
      <c r="K13" s="4"/>
      <c r="L13" s="4"/>
      <c r="M13" s="4"/>
      <c r="N13" s="4"/>
      <c r="O13" s="4"/>
      <c r="P13" s="4"/>
      <c r="Q13" s="4"/>
      <c r="R13" s="4"/>
    </row>
    <row r="14">
      <c r="A14" s="16" t="s">
        <v>12</v>
      </c>
      <c r="B14" s="19"/>
      <c r="C14" s="20" t="s">
        <v>13</v>
      </c>
      <c r="D14" s="17"/>
      <c r="E14" s="17"/>
      <c r="F14" s="17"/>
      <c r="G14" s="17"/>
      <c r="H14" s="18"/>
      <c r="I14" s="4"/>
      <c r="J14" s="4"/>
      <c r="K14" s="4"/>
      <c r="L14" s="4"/>
      <c r="M14" s="4"/>
      <c r="N14" s="4"/>
      <c r="O14" s="4"/>
      <c r="P14" s="4"/>
      <c r="Q14" s="4"/>
      <c r="R14" s="4"/>
    </row>
    <row r="15">
      <c r="A15" s="21" t="s">
        <v>14</v>
      </c>
      <c r="B15" s="19"/>
      <c r="C15" s="22" t="s">
        <v>15</v>
      </c>
      <c r="D15" s="17"/>
      <c r="E15" s="17"/>
      <c r="F15" s="17"/>
      <c r="G15" s="17"/>
      <c r="H15" s="18"/>
      <c r="I15" s="4"/>
      <c r="J15" s="4"/>
      <c r="K15" s="4"/>
      <c r="L15" s="4"/>
      <c r="M15" s="4"/>
      <c r="N15" s="4"/>
      <c r="O15" s="4"/>
      <c r="P15" s="4"/>
      <c r="Q15" s="4"/>
      <c r="R15" s="4"/>
    </row>
    <row r="16">
      <c r="A16" s="21" t="s">
        <v>16</v>
      </c>
      <c r="B16" s="19"/>
      <c r="C16" s="22" t="s">
        <v>17</v>
      </c>
      <c r="D16" s="17"/>
      <c r="E16" s="17"/>
      <c r="F16" s="17"/>
      <c r="G16" s="17"/>
      <c r="H16" s="18"/>
      <c r="I16" s="4"/>
      <c r="J16" s="4"/>
      <c r="K16" s="4"/>
      <c r="L16" s="4"/>
      <c r="M16" s="4"/>
      <c r="N16" s="4"/>
      <c r="O16" s="4"/>
      <c r="P16" s="4"/>
      <c r="Q16" s="4"/>
      <c r="R16" s="4"/>
    </row>
    <row r="17">
      <c r="A17" s="21" t="s">
        <v>18</v>
      </c>
      <c r="B17" s="19"/>
      <c r="C17" s="22" t="s">
        <v>19</v>
      </c>
      <c r="D17" s="17"/>
      <c r="E17" s="17"/>
      <c r="F17" s="17"/>
      <c r="G17" s="17"/>
      <c r="H17" s="18"/>
      <c r="I17" s="4"/>
      <c r="J17" s="4"/>
      <c r="K17" s="4"/>
      <c r="L17" s="4"/>
      <c r="M17" s="4"/>
      <c r="N17" s="4"/>
      <c r="O17" s="4"/>
      <c r="P17" s="4"/>
      <c r="Q17" s="4"/>
      <c r="R17" s="4"/>
    </row>
    <row r="18">
      <c r="A18" s="21" t="s">
        <v>20</v>
      </c>
      <c r="B18" s="19"/>
      <c r="C18" s="22" t="s">
        <v>21</v>
      </c>
      <c r="D18" s="17"/>
      <c r="E18" s="17"/>
      <c r="F18" s="17"/>
      <c r="G18" s="17"/>
      <c r="H18" s="18"/>
      <c r="I18" s="4"/>
      <c r="J18" s="4"/>
      <c r="K18" s="4"/>
      <c r="L18" s="4"/>
      <c r="M18" s="4"/>
      <c r="N18" s="4"/>
      <c r="O18" s="4"/>
      <c r="P18" s="4"/>
      <c r="Q18" s="4"/>
      <c r="R18" s="4"/>
    </row>
    <row r="19">
      <c r="A19" s="21" t="s">
        <v>22</v>
      </c>
      <c r="B19" s="19"/>
      <c r="C19" s="22" t="s">
        <v>23</v>
      </c>
      <c r="D19" s="17"/>
      <c r="E19" s="17"/>
      <c r="F19" s="17"/>
      <c r="G19" s="17"/>
      <c r="H19" s="18"/>
      <c r="I19" s="4"/>
      <c r="J19" s="4"/>
      <c r="K19" s="4"/>
      <c r="L19" s="4"/>
      <c r="M19" s="4"/>
      <c r="N19" s="4"/>
      <c r="O19" s="4"/>
      <c r="P19" s="4"/>
      <c r="Q19" s="4"/>
      <c r="R19" s="4"/>
    </row>
    <row r="20">
      <c r="A20" s="23"/>
      <c r="C20" s="24"/>
      <c r="H20" s="10"/>
      <c r="I20" s="4"/>
      <c r="J20" s="4"/>
      <c r="K20" s="4"/>
      <c r="L20" s="4"/>
      <c r="M20" s="4"/>
      <c r="N20" s="4"/>
      <c r="O20" s="4"/>
      <c r="P20" s="4"/>
      <c r="Q20" s="4"/>
      <c r="R20" s="4"/>
    </row>
    <row r="21">
      <c r="A21" s="25" t="s">
        <v>24</v>
      </c>
      <c r="C21" s="26" t="s">
        <v>25</v>
      </c>
      <c r="H21" s="10"/>
      <c r="I21" s="4"/>
      <c r="J21" s="4"/>
      <c r="K21" s="4"/>
      <c r="L21" s="4"/>
      <c r="M21" s="4"/>
      <c r="N21" s="4"/>
      <c r="O21" s="4"/>
      <c r="P21" s="4"/>
      <c r="Q21" s="4"/>
      <c r="R21" s="4"/>
    </row>
    <row r="22">
      <c r="A22" s="27" t="s">
        <v>26</v>
      </c>
      <c r="B22" s="28"/>
      <c r="C22" s="29">
        <v>45991.0</v>
      </c>
      <c r="D22" s="28"/>
      <c r="E22" s="28"/>
      <c r="F22" s="28"/>
      <c r="G22" s="28"/>
      <c r="H22" s="30"/>
      <c r="I22" s="4"/>
      <c r="J22" s="4"/>
      <c r="K22" s="4"/>
      <c r="L22" s="4"/>
      <c r="M22" s="4"/>
      <c r="N22" s="4"/>
      <c r="O22" s="4"/>
      <c r="P22" s="4"/>
      <c r="Q22" s="4"/>
      <c r="R22" s="4"/>
    </row>
    <row r="23">
      <c r="A23" s="31"/>
      <c r="B23" s="31"/>
      <c r="C23" s="4"/>
      <c r="D23" s="4"/>
      <c r="E23" s="4"/>
      <c r="F23" s="4"/>
      <c r="G23" s="4"/>
      <c r="H23" s="4"/>
      <c r="I23" s="4"/>
      <c r="J23" s="4"/>
      <c r="K23" s="4"/>
      <c r="L23" s="4"/>
      <c r="M23" s="4"/>
      <c r="N23" s="4"/>
      <c r="O23" s="4"/>
      <c r="P23" s="4"/>
      <c r="Q23" s="4"/>
      <c r="R23" s="4"/>
    </row>
    <row r="24">
      <c r="A24" s="4"/>
      <c r="B24" s="4"/>
      <c r="C24" s="4"/>
      <c r="D24" s="4"/>
      <c r="E24" s="4"/>
      <c r="F24" s="4"/>
      <c r="G24" s="4"/>
      <c r="H24" s="4"/>
      <c r="I24" s="4"/>
      <c r="J24" s="4"/>
      <c r="K24" s="4"/>
      <c r="L24" s="4"/>
      <c r="M24" s="4"/>
      <c r="N24" s="4"/>
      <c r="O24" s="4"/>
      <c r="P24" s="4"/>
      <c r="Q24" s="4"/>
      <c r="R24" s="4"/>
    </row>
    <row r="25">
      <c r="A25" s="4"/>
      <c r="B25" s="4"/>
      <c r="C25" s="4"/>
      <c r="D25" s="4"/>
      <c r="E25" s="4"/>
      <c r="F25" s="4"/>
      <c r="G25" s="4"/>
      <c r="H25" s="4"/>
      <c r="I25" s="4"/>
      <c r="J25" s="4"/>
      <c r="K25" s="4"/>
      <c r="L25" s="4"/>
      <c r="M25" s="4"/>
      <c r="N25" s="4"/>
      <c r="O25" s="4"/>
      <c r="P25" s="4"/>
      <c r="Q25" s="4"/>
      <c r="R25" s="4"/>
    </row>
    <row r="26">
      <c r="A26" s="4"/>
      <c r="B26" s="4"/>
      <c r="C26" s="4"/>
      <c r="D26" s="4"/>
      <c r="E26" s="4"/>
      <c r="F26" s="4"/>
      <c r="G26" s="4"/>
      <c r="H26" s="4"/>
      <c r="I26" s="4"/>
      <c r="J26" s="4"/>
      <c r="K26" s="4"/>
      <c r="L26" s="4"/>
      <c r="M26" s="4"/>
      <c r="N26" s="4"/>
      <c r="O26" s="4"/>
      <c r="P26" s="4"/>
      <c r="Q26" s="4"/>
      <c r="R26" s="4"/>
    </row>
    <row r="27">
      <c r="A27" s="4"/>
      <c r="B27" s="4"/>
      <c r="C27" s="4"/>
      <c r="D27" s="4"/>
      <c r="E27" s="4"/>
      <c r="F27" s="4"/>
      <c r="G27" s="4"/>
      <c r="H27" s="4"/>
      <c r="I27" s="4"/>
      <c r="J27" s="4"/>
      <c r="K27" s="4"/>
      <c r="L27" s="4"/>
      <c r="M27" s="4"/>
      <c r="N27" s="4"/>
      <c r="O27" s="4"/>
      <c r="P27" s="4"/>
      <c r="Q27" s="4"/>
      <c r="R27" s="4"/>
    </row>
    <row r="28">
      <c r="A28" s="4"/>
      <c r="B28" s="4"/>
      <c r="C28" s="4"/>
      <c r="D28" s="4"/>
      <c r="E28" s="4"/>
      <c r="F28" s="4"/>
      <c r="G28" s="4"/>
      <c r="H28" s="4"/>
      <c r="I28" s="4"/>
      <c r="J28" s="4"/>
      <c r="K28" s="4"/>
      <c r="L28" s="4"/>
      <c r="M28" s="4"/>
      <c r="N28" s="4"/>
      <c r="O28" s="4"/>
      <c r="P28" s="4"/>
      <c r="Q28" s="4"/>
      <c r="R28" s="4"/>
    </row>
    <row r="29">
      <c r="A29" s="4"/>
      <c r="B29" s="4"/>
      <c r="C29" s="4"/>
      <c r="D29" s="4"/>
      <c r="E29" s="4"/>
      <c r="F29" s="4"/>
      <c r="G29" s="4"/>
      <c r="H29" s="4"/>
      <c r="I29" s="4"/>
      <c r="J29" s="4"/>
      <c r="K29" s="4"/>
      <c r="L29" s="4"/>
      <c r="M29" s="4"/>
      <c r="N29" s="4"/>
      <c r="O29" s="4"/>
      <c r="P29" s="4"/>
      <c r="Q29" s="4"/>
      <c r="R29" s="4"/>
    </row>
    <row r="30">
      <c r="A30" s="4"/>
      <c r="B30" s="4"/>
      <c r="C30" s="4"/>
      <c r="D30" s="4"/>
      <c r="E30" s="4"/>
      <c r="F30" s="4"/>
      <c r="G30" s="4"/>
      <c r="H30" s="4"/>
      <c r="I30" s="4"/>
      <c r="J30" s="4"/>
      <c r="K30" s="4"/>
      <c r="L30" s="4"/>
      <c r="M30" s="4"/>
      <c r="N30" s="4"/>
      <c r="O30" s="4"/>
      <c r="P30" s="4"/>
      <c r="Q30" s="4"/>
      <c r="R30" s="4"/>
    </row>
    <row r="31">
      <c r="A31" s="4"/>
      <c r="B31" s="4"/>
      <c r="C31" s="4"/>
      <c r="D31" s="4"/>
      <c r="E31" s="4"/>
      <c r="F31" s="4"/>
      <c r="G31" s="4"/>
      <c r="H31" s="4"/>
      <c r="I31" s="4"/>
      <c r="J31" s="4"/>
      <c r="K31" s="4"/>
      <c r="L31" s="4"/>
      <c r="M31" s="4"/>
      <c r="N31" s="4"/>
      <c r="O31" s="4"/>
      <c r="P31" s="4"/>
      <c r="Q31" s="4"/>
      <c r="R31" s="4"/>
    </row>
    <row r="32">
      <c r="A32" s="4"/>
      <c r="B32" s="4"/>
      <c r="C32" s="4"/>
      <c r="D32" s="4"/>
      <c r="E32" s="4"/>
      <c r="F32" s="4"/>
      <c r="G32" s="4"/>
      <c r="H32" s="4"/>
      <c r="I32" s="4"/>
      <c r="J32" s="4"/>
      <c r="K32" s="4"/>
      <c r="L32" s="4"/>
      <c r="M32" s="4"/>
      <c r="N32" s="4"/>
      <c r="O32" s="4"/>
      <c r="P32" s="4"/>
      <c r="Q32" s="4"/>
      <c r="R32" s="4"/>
    </row>
    <row r="33">
      <c r="A33" s="4"/>
      <c r="B33" s="4"/>
      <c r="C33" s="4"/>
      <c r="D33" s="4"/>
      <c r="E33" s="4"/>
      <c r="F33" s="4"/>
      <c r="G33" s="4"/>
      <c r="H33" s="4"/>
      <c r="I33" s="4"/>
      <c r="J33" s="4"/>
      <c r="K33" s="4"/>
      <c r="L33" s="4"/>
      <c r="M33" s="4"/>
      <c r="N33" s="4"/>
      <c r="O33" s="4"/>
      <c r="P33" s="4"/>
      <c r="Q33" s="4"/>
      <c r="R33" s="4"/>
    </row>
    <row r="34">
      <c r="A34" s="4"/>
      <c r="B34" s="4"/>
      <c r="C34" s="4"/>
      <c r="D34" s="4"/>
      <c r="E34" s="4"/>
      <c r="F34" s="4"/>
      <c r="G34" s="4"/>
      <c r="H34" s="4"/>
      <c r="I34" s="4"/>
      <c r="J34" s="4"/>
      <c r="K34" s="4"/>
      <c r="L34" s="4"/>
      <c r="M34" s="4"/>
      <c r="N34" s="4"/>
      <c r="O34" s="4"/>
      <c r="P34" s="4"/>
      <c r="Q34" s="4"/>
      <c r="R34" s="4"/>
    </row>
    <row r="35">
      <c r="A35" s="4"/>
      <c r="B35" s="4"/>
      <c r="C35" s="4"/>
      <c r="D35" s="4"/>
      <c r="E35" s="4"/>
      <c r="F35" s="4"/>
      <c r="G35" s="4"/>
      <c r="H35" s="4"/>
      <c r="I35" s="4"/>
      <c r="J35" s="4"/>
      <c r="K35" s="4"/>
      <c r="L35" s="4"/>
      <c r="M35" s="4"/>
      <c r="N35" s="4"/>
      <c r="O35" s="4"/>
      <c r="P35" s="4"/>
      <c r="Q35" s="4"/>
      <c r="R35" s="4"/>
    </row>
    <row r="36">
      <c r="A36" s="4"/>
      <c r="B36" s="4"/>
      <c r="C36" s="4"/>
      <c r="D36" s="4"/>
      <c r="E36" s="4"/>
      <c r="F36" s="4"/>
      <c r="G36" s="4"/>
      <c r="H36" s="4"/>
      <c r="I36" s="4"/>
      <c r="J36" s="4"/>
      <c r="K36" s="4"/>
      <c r="L36" s="4"/>
      <c r="M36" s="4"/>
      <c r="N36" s="4"/>
      <c r="O36" s="4"/>
      <c r="P36" s="4"/>
      <c r="Q36" s="4"/>
      <c r="R36" s="4"/>
    </row>
    <row r="37">
      <c r="A37" s="4"/>
      <c r="B37" s="4"/>
      <c r="C37" s="4"/>
      <c r="D37" s="4"/>
      <c r="E37" s="4"/>
      <c r="F37" s="4"/>
      <c r="G37" s="4"/>
      <c r="H37" s="4"/>
      <c r="I37" s="4"/>
      <c r="J37" s="4"/>
      <c r="K37" s="4"/>
      <c r="L37" s="4"/>
      <c r="M37" s="4"/>
      <c r="N37" s="4"/>
      <c r="O37" s="4"/>
      <c r="P37" s="4"/>
      <c r="Q37" s="4"/>
      <c r="R37" s="4"/>
    </row>
    <row r="38">
      <c r="A38" s="4"/>
      <c r="B38" s="4"/>
      <c r="C38" s="4"/>
      <c r="D38" s="4"/>
      <c r="E38" s="4"/>
      <c r="F38" s="4"/>
      <c r="G38" s="4"/>
      <c r="H38" s="4"/>
      <c r="I38" s="4"/>
      <c r="J38" s="4"/>
      <c r="K38" s="4"/>
      <c r="L38" s="4"/>
      <c r="M38" s="4"/>
      <c r="N38" s="4"/>
      <c r="O38" s="4"/>
      <c r="P38" s="4"/>
      <c r="Q38" s="4"/>
      <c r="R38" s="4"/>
    </row>
    <row r="39">
      <c r="A39" s="4"/>
      <c r="B39" s="4"/>
      <c r="C39" s="4"/>
      <c r="D39" s="4"/>
      <c r="E39" s="4"/>
      <c r="F39" s="4"/>
      <c r="G39" s="4"/>
      <c r="H39" s="4"/>
      <c r="I39" s="4"/>
      <c r="J39" s="4"/>
      <c r="K39" s="4"/>
      <c r="L39" s="4"/>
      <c r="M39" s="4"/>
      <c r="N39" s="4"/>
      <c r="O39" s="4"/>
      <c r="P39" s="4"/>
      <c r="Q39" s="4"/>
      <c r="R39" s="4"/>
    </row>
    <row r="40">
      <c r="A40" s="4"/>
      <c r="B40" s="4"/>
      <c r="C40" s="4"/>
      <c r="D40" s="4"/>
      <c r="E40" s="4"/>
      <c r="F40" s="4"/>
      <c r="G40" s="4"/>
      <c r="H40" s="4"/>
      <c r="I40" s="4"/>
      <c r="J40" s="4"/>
      <c r="K40" s="4"/>
      <c r="L40" s="4"/>
      <c r="M40" s="4"/>
      <c r="N40" s="4"/>
      <c r="O40" s="4"/>
      <c r="P40" s="4"/>
      <c r="Q40" s="4"/>
      <c r="R40" s="4"/>
    </row>
    <row r="41">
      <c r="A41" s="4"/>
      <c r="B41" s="4"/>
      <c r="C41" s="4"/>
      <c r="D41" s="4"/>
      <c r="E41" s="4"/>
      <c r="F41" s="4"/>
      <c r="G41" s="4"/>
      <c r="H41" s="4"/>
      <c r="I41" s="4"/>
      <c r="J41" s="4"/>
      <c r="K41" s="4"/>
      <c r="L41" s="4"/>
      <c r="M41" s="4"/>
      <c r="N41" s="4"/>
      <c r="O41" s="4"/>
      <c r="P41" s="4"/>
      <c r="Q41" s="4"/>
      <c r="R41" s="4"/>
    </row>
    <row r="42">
      <c r="A42" s="4"/>
      <c r="B42" s="4"/>
      <c r="C42" s="4"/>
      <c r="D42" s="4"/>
      <c r="E42" s="4"/>
      <c r="F42" s="4"/>
      <c r="G42" s="4"/>
      <c r="H42" s="4"/>
      <c r="I42" s="4"/>
      <c r="J42" s="4"/>
      <c r="K42" s="4"/>
      <c r="L42" s="4"/>
      <c r="M42" s="4"/>
      <c r="N42" s="4"/>
      <c r="O42" s="4"/>
      <c r="P42" s="4"/>
      <c r="Q42" s="4"/>
      <c r="R42" s="4"/>
    </row>
    <row r="43">
      <c r="A43" s="4"/>
      <c r="B43" s="4"/>
      <c r="C43" s="4"/>
      <c r="D43" s="4"/>
      <c r="E43" s="4"/>
      <c r="F43" s="4"/>
      <c r="G43" s="4"/>
      <c r="H43" s="4"/>
      <c r="I43" s="4"/>
      <c r="J43" s="4"/>
      <c r="K43" s="4"/>
      <c r="L43" s="4"/>
      <c r="M43" s="4"/>
      <c r="N43" s="4"/>
      <c r="O43" s="4"/>
      <c r="P43" s="4"/>
      <c r="Q43" s="4"/>
      <c r="R43" s="4"/>
    </row>
    <row r="44">
      <c r="A44" s="4"/>
      <c r="B44" s="4"/>
      <c r="C44" s="4"/>
      <c r="D44" s="4"/>
      <c r="E44" s="4"/>
      <c r="F44" s="4"/>
      <c r="G44" s="4"/>
      <c r="H44" s="4"/>
      <c r="I44" s="4"/>
      <c r="J44" s="4"/>
      <c r="K44" s="4"/>
      <c r="L44" s="4"/>
      <c r="M44" s="4"/>
      <c r="N44" s="4"/>
      <c r="O44" s="4"/>
      <c r="P44" s="4"/>
      <c r="Q44" s="4"/>
      <c r="R44" s="4"/>
    </row>
    <row r="45">
      <c r="A45" s="4"/>
      <c r="B45" s="4"/>
      <c r="C45" s="4"/>
      <c r="D45" s="4"/>
      <c r="E45" s="4"/>
      <c r="F45" s="4"/>
      <c r="G45" s="4"/>
      <c r="H45" s="4"/>
      <c r="I45" s="4"/>
      <c r="J45" s="4"/>
      <c r="K45" s="4"/>
      <c r="L45" s="4"/>
      <c r="M45" s="4"/>
      <c r="N45" s="4"/>
      <c r="O45" s="4"/>
      <c r="P45" s="4"/>
      <c r="Q45" s="4"/>
      <c r="R45" s="4"/>
    </row>
    <row r="46">
      <c r="A46" s="4"/>
      <c r="B46" s="4"/>
      <c r="C46" s="4"/>
      <c r="D46" s="4"/>
      <c r="E46" s="4"/>
      <c r="F46" s="4"/>
      <c r="G46" s="4"/>
      <c r="H46" s="4"/>
      <c r="I46" s="4"/>
      <c r="J46" s="4"/>
      <c r="K46" s="4"/>
      <c r="L46" s="4"/>
      <c r="M46" s="4"/>
      <c r="N46" s="4"/>
      <c r="O46" s="4"/>
      <c r="P46" s="4"/>
      <c r="Q46" s="4"/>
      <c r="R46" s="4"/>
    </row>
    <row r="47">
      <c r="A47" s="4"/>
      <c r="B47" s="4"/>
      <c r="C47" s="4"/>
      <c r="D47" s="4"/>
      <c r="E47" s="4"/>
      <c r="F47" s="4"/>
      <c r="G47" s="4"/>
      <c r="H47" s="4"/>
      <c r="I47" s="4"/>
      <c r="J47" s="4"/>
      <c r="K47" s="4"/>
      <c r="L47" s="4"/>
      <c r="M47" s="4"/>
      <c r="N47" s="4"/>
      <c r="O47" s="4"/>
      <c r="P47" s="4"/>
      <c r="Q47" s="4"/>
      <c r="R47" s="4"/>
    </row>
    <row r="48">
      <c r="A48" s="4"/>
      <c r="B48" s="4"/>
      <c r="C48" s="4"/>
      <c r="D48" s="4"/>
      <c r="E48" s="4"/>
      <c r="F48" s="4"/>
      <c r="G48" s="4"/>
      <c r="H48" s="4"/>
      <c r="I48" s="4"/>
      <c r="J48" s="4"/>
      <c r="K48" s="4"/>
      <c r="L48" s="4"/>
      <c r="M48" s="4"/>
      <c r="N48" s="4"/>
      <c r="O48" s="4"/>
      <c r="P48" s="4"/>
      <c r="Q48" s="4"/>
      <c r="R48" s="4"/>
    </row>
    <row r="49">
      <c r="A49" s="4"/>
      <c r="B49" s="4"/>
      <c r="C49" s="4"/>
      <c r="D49" s="4"/>
      <c r="E49" s="4"/>
      <c r="F49" s="4"/>
      <c r="G49" s="4"/>
      <c r="H49" s="4"/>
      <c r="I49" s="4"/>
      <c r="J49" s="4"/>
      <c r="K49" s="4"/>
      <c r="L49" s="4"/>
      <c r="M49" s="4"/>
      <c r="N49" s="4"/>
      <c r="O49" s="4"/>
      <c r="P49" s="4"/>
      <c r="Q49" s="4"/>
      <c r="R49" s="4"/>
    </row>
    <row r="50">
      <c r="A50" s="4"/>
      <c r="B50" s="4"/>
      <c r="C50" s="4"/>
      <c r="D50" s="4"/>
      <c r="E50" s="4"/>
      <c r="F50" s="4"/>
      <c r="G50" s="4"/>
      <c r="H50" s="4"/>
      <c r="I50" s="4"/>
      <c r="J50" s="4"/>
      <c r="K50" s="4"/>
      <c r="L50" s="4"/>
      <c r="M50" s="4"/>
      <c r="N50" s="4"/>
      <c r="O50" s="4"/>
      <c r="P50" s="4"/>
      <c r="Q50" s="4"/>
      <c r="R50" s="4"/>
    </row>
    <row r="51">
      <c r="A51" s="4"/>
      <c r="B51" s="4"/>
      <c r="C51" s="4"/>
      <c r="D51" s="4"/>
      <c r="E51" s="4"/>
      <c r="F51" s="4"/>
      <c r="G51" s="4"/>
      <c r="H51" s="4"/>
      <c r="I51" s="4"/>
      <c r="J51" s="4"/>
      <c r="K51" s="4"/>
      <c r="L51" s="4"/>
      <c r="M51" s="4"/>
      <c r="N51" s="4"/>
      <c r="O51" s="4"/>
      <c r="P51" s="4"/>
      <c r="Q51" s="4"/>
      <c r="R51" s="4"/>
    </row>
    <row r="52">
      <c r="A52" s="4"/>
      <c r="B52" s="4"/>
      <c r="C52" s="4"/>
      <c r="D52" s="4"/>
      <c r="E52" s="4"/>
      <c r="F52" s="4"/>
      <c r="G52" s="4"/>
      <c r="H52" s="4"/>
      <c r="I52" s="4"/>
      <c r="J52" s="4"/>
      <c r="K52" s="4"/>
      <c r="L52" s="4"/>
      <c r="M52" s="4"/>
      <c r="N52" s="4"/>
      <c r="O52" s="4"/>
      <c r="P52" s="4"/>
      <c r="Q52" s="4"/>
      <c r="R52" s="4"/>
    </row>
    <row r="53">
      <c r="A53" s="4"/>
      <c r="B53" s="4"/>
      <c r="C53" s="4"/>
      <c r="D53" s="4"/>
      <c r="E53" s="4"/>
      <c r="F53" s="4"/>
      <c r="G53" s="4"/>
      <c r="H53" s="4"/>
      <c r="I53" s="4"/>
      <c r="J53" s="4"/>
      <c r="K53" s="4"/>
      <c r="L53" s="4"/>
      <c r="M53" s="4"/>
      <c r="N53" s="4"/>
      <c r="O53" s="4"/>
      <c r="P53" s="4"/>
      <c r="Q53" s="4"/>
      <c r="R53" s="4"/>
    </row>
    <row r="54">
      <c r="A54" s="4"/>
      <c r="B54" s="4"/>
      <c r="C54" s="4"/>
      <c r="D54" s="4"/>
      <c r="E54" s="4"/>
      <c r="F54" s="4"/>
      <c r="G54" s="4"/>
      <c r="H54" s="4"/>
      <c r="I54" s="4"/>
      <c r="J54" s="4"/>
      <c r="K54" s="4"/>
      <c r="L54" s="4"/>
      <c r="M54" s="4"/>
      <c r="N54" s="4"/>
      <c r="O54" s="4"/>
      <c r="P54" s="4"/>
      <c r="Q54" s="4"/>
      <c r="R54" s="4"/>
    </row>
    <row r="55">
      <c r="A55" s="4"/>
      <c r="B55" s="4"/>
      <c r="C55" s="4"/>
      <c r="D55" s="4"/>
      <c r="E55" s="4"/>
      <c r="F55" s="4"/>
      <c r="G55" s="4"/>
      <c r="H55" s="4"/>
      <c r="I55" s="4"/>
      <c r="J55" s="4"/>
      <c r="K55" s="4"/>
      <c r="L55" s="4"/>
      <c r="M55" s="4"/>
      <c r="N55" s="4"/>
      <c r="O55" s="4"/>
      <c r="P55" s="4"/>
      <c r="Q55" s="4"/>
      <c r="R55" s="4"/>
    </row>
    <row r="56">
      <c r="A56" s="4"/>
      <c r="B56" s="4"/>
      <c r="C56" s="4"/>
      <c r="D56" s="4"/>
      <c r="E56" s="4"/>
      <c r="F56" s="4"/>
      <c r="G56" s="4"/>
      <c r="H56" s="4"/>
      <c r="I56" s="4"/>
      <c r="J56" s="4"/>
      <c r="K56" s="4"/>
      <c r="L56" s="4"/>
      <c r="M56" s="4"/>
      <c r="N56" s="4"/>
      <c r="O56" s="4"/>
      <c r="P56" s="4"/>
      <c r="Q56" s="4"/>
      <c r="R56" s="4"/>
    </row>
    <row r="57">
      <c r="A57" s="4"/>
      <c r="B57" s="4"/>
      <c r="C57" s="4"/>
      <c r="D57" s="4"/>
      <c r="E57" s="4"/>
      <c r="F57" s="4"/>
      <c r="G57" s="4"/>
      <c r="H57" s="4"/>
      <c r="I57" s="4"/>
      <c r="J57" s="4"/>
      <c r="K57" s="4"/>
      <c r="L57" s="4"/>
      <c r="M57" s="4"/>
      <c r="N57" s="4"/>
      <c r="O57" s="4"/>
      <c r="P57" s="4"/>
      <c r="Q57" s="4"/>
      <c r="R57" s="4"/>
    </row>
    <row r="58">
      <c r="A58" s="4"/>
      <c r="B58" s="4"/>
      <c r="C58" s="4"/>
      <c r="D58" s="4"/>
      <c r="E58" s="4"/>
      <c r="F58" s="4"/>
      <c r="G58" s="4"/>
      <c r="H58" s="4"/>
      <c r="I58" s="4"/>
      <c r="J58" s="4"/>
      <c r="K58" s="4"/>
      <c r="L58" s="4"/>
      <c r="M58" s="4"/>
      <c r="N58" s="4"/>
      <c r="O58" s="4"/>
      <c r="P58" s="4"/>
      <c r="Q58" s="4"/>
      <c r="R58" s="4"/>
    </row>
    <row r="59">
      <c r="A59" s="4"/>
      <c r="B59" s="4"/>
      <c r="C59" s="4"/>
      <c r="D59" s="4"/>
      <c r="E59" s="4"/>
      <c r="F59" s="4"/>
      <c r="G59" s="4"/>
      <c r="H59" s="4"/>
      <c r="I59" s="4"/>
      <c r="J59" s="4"/>
      <c r="K59" s="4"/>
      <c r="L59" s="4"/>
      <c r="M59" s="4"/>
      <c r="N59" s="4"/>
      <c r="O59" s="4"/>
      <c r="P59" s="4"/>
      <c r="Q59" s="4"/>
      <c r="R59" s="4"/>
    </row>
    <row r="60">
      <c r="A60" s="4"/>
      <c r="B60" s="4"/>
      <c r="C60" s="4"/>
      <c r="D60" s="4"/>
      <c r="E60" s="4"/>
      <c r="F60" s="4"/>
      <c r="G60" s="4"/>
      <c r="H60" s="4"/>
      <c r="I60" s="4"/>
      <c r="J60" s="4"/>
      <c r="K60" s="4"/>
      <c r="L60" s="4"/>
      <c r="M60" s="4"/>
      <c r="N60" s="4"/>
      <c r="O60" s="4"/>
      <c r="P60" s="4"/>
      <c r="Q60" s="4"/>
      <c r="R60" s="4"/>
    </row>
    <row r="61">
      <c r="A61" s="4"/>
      <c r="B61" s="4"/>
      <c r="C61" s="4"/>
      <c r="D61" s="4"/>
      <c r="E61" s="4"/>
      <c r="F61" s="4"/>
      <c r="G61" s="4"/>
      <c r="H61" s="4"/>
      <c r="I61" s="4"/>
      <c r="J61" s="4"/>
      <c r="K61" s="4"/>
      <c r="L61" s="4"/>
      <c r="M61" s="4"/>
      <c r="N61" s="4"/>
      <c r="O61" s="4"/>
      <c r="P61" s="4"/>
      <c r="Q61" s="4"/>
      <c r="R61" s="4"/>
    </row>
    <row r="62">
      <c r="A62" s="4"/>
      <c r="B62" s="4"/>
      <c r="C62" s="4"/>
      <c r="D62" s="4"/>
      <c r="E62" s="4"/>
      <c r="F62" s="4"/>
      <c r="G62" s="4"/>
      <c r="H62" s="4"/>
      <c r="I62" s="4"/>
      <c r="J62" s="4"/>
      <c r="K62" s="4"/>
      <c r="L62" s="4"/>
      <c r="M62" s="4"/>
      <c r="N62" s="4"/>
      <c r="O62" s="4"/>
      <c r="P62" s="4"/>
      <c r="Q62" s="4"/>
      <c r="R62" s="4"/>
    </row>
    <row r="63">
      <c r="A63" s="4"/>
      <c r="B63" s="4"/>
      <c r="C63" s="4"/>
      <c r="D63" s="4"/>
      <c r="E63" s="4"/>
      <c r="F63" s="4"/>
      <c r="G63" s="4"/>
      <c r="H63" s="4"/>
      <c r="I63" s="4"/>
      <c r="J63" s="4"/>
      <c r="K63" s="4"/>
      <c r="L63" s="4"/>
      <c r="M63" s="4"/>
      <c r="N63" s="4"/>
      <c r="O63" s="4"/>
      <c r="P63" s="4"/>
      <c r="Q63" s="4"/>
      <c r="R63" s="4"/>
    </row>
    <row r="64">
      <c r="A64" s="4"/>
      <c r="B64" s="4"/>
      <c r="C64" s="4"/>
      <c r="D64" s="4"/>
      <c r="E64" s="4"/>
      <c r="F64" s="4"/>
      <c r="G64" s="4"/>
      <c r="H64" s="4"/>
      <c r="I64" s="4"/>
      <c r="J64" s="4"/>
      <c r="K64" s="4"/>
      <c r="L64" s="4"/>
      <c r="M64" s="4"/>
      <c r="N64" s="4"/>
      <c r="O64" s="4"/>
      <c r="P64" s="4"/>
      <c r="Q64" s="4"/>
      <c r="R64" s="4"/>
    </row>
    <row r="65">
      <c r="A65" s="4"/>
      <c r="B65" s="4"/>
      <c r="C65" s="4"/>
      <c r="D65" s="4"/>
      <c r="E65" s="4"/>
      <c r="F65" s="4"/>
      <c r="G65" s="4"/>
      <c r="H65" s="4"/>
      <c r="I65" s="4"/>
      <c r="J65" s="4"/>
      <c r="K65" s="4"/>
      <c r="L65" s="4"/>
      <c r="M65" s="4"/>
      <c r="N65" s="4"/>
      <c r="O65" s="4"/>
      <c r="P65" s="4"/>
      <c r="Q65" s="4"/>
      <c r="R65" s="4"/>
    </row>
    <row r="66">
      <c r="A66" s="4"/>
      <c r="B66" s="4"/>
      <c r="C66" s="4"/>
      <c r="D66" s="4"/>
      <c r="E66" s="4"/>
      <c r="F66" s="4"/>
      <c r="G66" s="4"/>
      <c r="H66" s="4"/>
      <c r="I66" s="4"/>
      <c r="J66" s="4"/>
      <c r="K66" s="4"/>
      <c r="L66" s="4"/>
      <c r="M66" s="4"/>
      <c r="N66" s="4"/>
      <c r="O66" s="4"/>
      <c r="P66" s="4"/>
      <c r="Q66" s="4"/>
      <c r="R66" s="4"/>
    </row>
    <row r="67">
      <c r="A67" s="4"/>
      <c r="B67" s="4"/>
      <c r="C67" s="4"/>
      <c r="D67" s="4"/>
      <c r="E67" s="4"/>
      <c r="F67" s="4"/>
      <c r="G67" s="4"/>
      <c r="H67" s="4"/>
      <c r="I67" s="4"/>
      <c r="J67" s="4"/>
      <c r="K67" s="4"/>
      <c r="L67" s="4"/>
      <c r="M67" s="4"/>
      <c r="N67" s="4"/>
      <c r="O67" s="4"/>
      <c r="P67" s="4"/>
      <c r="Q67" s="4"/>
      <c r="R67" s="4"/>
    </row>
    <row r="68">
      <c r="A68" s="4"/>
      <c r="B68" s="4"/>
      <c r="C68" s="4"/>
      <c r="D68" s="4"/>
      <c r="E68" s="4"/>
      <c r="F68" s="4"/>
      <c r="G68" s="4"/>
      <c r="H68" s="4"/>
      <c r="I68" s="4"/>
      <c r="J68" s="4"/>
      <c r="K68" s="4"/>
      <c r="L68" s="4"/>
      <c r="M68" s="4"/>
      <c r="N68" s="4"/>
      <c r="O68" s="4"/>
      <c r="P68" s="4"/>
      <c r="Q68" s="4"/>
      <c r="R68" s="4"/>
    </row>
    <row r="69">
      <c r="A69" s="4"/>
      <c r="B69" s="4"/>
      <c r="C69" s="4"/>
      <c r="D69" s="4"/>
      <c r="E69" s="4"/>
      <c r="F69" s="4"/>
      <c r="G69" s="4"/>
      <c r="H69" s="4"/>
      <c r="I69" s="4"/>
      <c r="J69" s="4"/>
      <c r="K69" s="4"/>
      <c r="L69" s="4"/>
      <c r="M69" s="4"/>
      <c r="N69" s="4"/>
      <c r="O69" s="4"/>
      <c r="P69" s="4"/>
      <c r="Q69" s="4"/>
      <c r="R69" s="4"/>
    </row>
    <row r="70">
      <c r="A70" s="4"/>
      <c r="B70" s="4"/>
      <c r="C70" s="4"/>
      <c r="D70" s="4"/>
      <c r="E70" s="4"/>
      <c r="F70" s="4"/>
      <c r="G70" s="4"/>
      <c r="H70" s="4"/>
      <c r="I70" s="4"/>
      <c r="J70" s="4"/>
      <c r="K70" s="4"/>
      <c r="L70" s="4"/>
      <c r="M70" s="4"/>
      <c r="N70" s="4"/>
      <c r="O70" s="4"/>
      <c r="P70" s="4"/>
      <c r="Q70" s="4"/>
      <c r="R70" s="4"/>
    </row>
    <row r="71">
      <c r="A71" s="4"/>
      <c r="B71" s="4"/>
      <c r="C71" s="4"/>
      <c r="D71" s="4"/>
      <c r="E71" s="4"/>
      <c r="F71" s="4"/>
      <c r="G71" s="4"/>
      <c r="H71" s="4"/>
      <c r="I71" s="4"/>
      <c r="J71" s="4"/>
      <c r="K71" s="4"/>
      <c r="L71" s="4"/>
      <c r="M71" s="4"/>
      <c r="N71" s="4"/>
      <c r="O71" s="4"/>
      <c r="P71" s="4"/>
      <c r="Q71" s="4"/>
      <c r="R71" s="4"/>
    </row>
    <row r="72">
      <c r="A72" s="4"/>
      <c r="B72" s="4"/>
      <c r="C72" s="4"/>
      <c r="D72" s="4"/>
      <c r="E72" s="4"/>
      <c r="F72" s="4"/>
      <c r="G72" s="4"/>
      <c r="H72" s="4"/>
      <c r="I72" s="4"/>
      <c r="J72" s="4"/>
      <c r="K72" s="4"/>
      <c r="L72" s="4"/>
      <c r="M72" s="4"/>
      <c r="N72" s="4"/>
      <c r="O72" s="4"/>
      <c r="P72" s="4"/>
      <c r="Q72" s="4"/>
      <c r="R72" s="4"/>
    </row>
    <row r="73">
      <c r="A73" s="4"/>
      <c r="B73" s="4"/>
      <c r="C73" s="4"/>
      <c r="D73" s="4"/>
      <c r="E73" s="4"/>
      <c r="F73" s="4"/>
      <c r="G73" s="4"/>
      <c r="H73" s="4"/>
      <c r="I73" s="4"/>
      <c r="J73" s="4"/>
      <c r="K73" s="4"/>
      <c r="L73" s="4"/>
      <c r="M73" s="4"/>
      <c r="N73" s="4"/>
      <c r="O73" s="4"/>
      <c r="P73" s="4"/>
      <c r="Q73" s="4"/>
      <c r="R73" s="4"/>
    </row>
    <row r="74">
      <c r="A74" s="4"/>
      <c r="B74" s="4"/>
      <c r="C74" s="4"/>
      <c r="D74" s="4"/>
      <c r="E74" s="4"/>
      <c r="F74" s="4"/>
      <c r="G74" s="4"/>
      <c r="H74" s="4"/>
      <c r="I74" s="4"/>
      <c r="J74" s="4"/>
      <c r="K74" s="4"/>
      <c r="L74" s="4"/>
      <c r="M74" s="4"/>
      <c r="N74" s="4"/>
      <c r="O74" s="4"/>
      <c r="P74" s="4"/>
      <c r="Q74" s="4"/>
      <c r="R74" s="4"/>
    </row>
    <row r="75">
      <c r="A75" s="4"/>
      <c r="B75" s="4"/>
      <c r="C75" s="4"/>
      <c r="D75" s="4"/>
      <c r="E75" s="4"/>
      <c r="F75" s="4"/>
      <c r="G75" s="4"/>
      <c r="H75" s="4"/>
      <c r="I75" s="4"/>
      <c r="J75" s="4"/>
      <c r="K75" s="4"/>
      <c r="L75" s="4"/>
      <c r="M75" s="4"/>
      <c r="N75" s="4"/>
      <c r="O75" s="4"/>
      <c r="P75" s="4"/>
      <c r="Q75" s="4"/>
      <c r="R75" s="4"/>
    </row>
    <row r="76">
      <c r="A76" s="4"/>
      <c r="B76" s="4"/>
      <c r="C76" s="4"/>
      <c r="D76" s="4"/>
      <c r="E76" s="4"/>
      <c r="F76" s="4"/>
      <c r="G76" s="4"/>
      <c r="H76" s="4"/>
      <c r="I76" s="4"/>
      <c r="J76" s="4"/>
      <c r="K76" s="4"/>
      <c r="L76" s="4"/>
      <c r="M76" s="4"/>
      <c r="N76" s="4"/>
      <c r="O76" s="4"/>
      <c r="P76" s="4"/>
      <c r="Q76" s="4"/>
      <c r="R76" s="4"/>
    </row>
    <row r="77">
      <c r="A77" s="4"/>
      <c r="B77" s="4"/>
      <c r="C77" s="4"/>
      <c r="D77" s="4"/>
      <c r="E77" s="4"/>
      <c r="F77" s="4"/>
      <c r="G77" s="4"/>
      <c r="H77" s="4"/>
      <c r="I77" s="4"/>
      <c r="J77" s="4"/>
      <c r="K77" s="4"/>
      <c r="L77" s="4"/>
      <c r="M77" s="4"/>
      <c r="N77" s="4"/>
      <c r="O77" s="4"/>
      <c r="P77" s="4"/>
      <c r="Q77" s="4"/>
      <c r="R77" s="4"/>
    </row>
    <row r="78">
      <c r="A78" s="4"/>
      <c r="B78" s="4"/>
      <c r="C78" s="4"/>
      <c r="D78" s="4"/>
      <c r="E78" s="4"/>
      <c r="F78" s="4"/>
      <c r="G78" s="4"/>
      <c r="H78" s="4"/>
      <c r="I78" s="4"/>
      <c r="J78" s="4"/>
      <c r="K78" s="4"/>
      <c r="L78" s="4"/>
      <c r="M78" s="4"/>
      <c r="N78" s="4"/>
      <c r="O78" s="4"/>
      <c r="P78" s="4"/>
      <c r="Q78" s="4"/>
      <c r="R78" s="4"/>
    </row>
    <row r="79">
      <c r="A79" s="4"/>
      <c r="B79" s="4"/>
      <c r="C79" s="4"/>
      <c r="D79" s="4"/>
      <c r="E79" s="4"/>
      <c r="F79" s="4"/>
      <c r="G79" s="4"/>
      <c r="H79" s="4"/>
      <c r="I79" s="4"/>
      <c r="J79" s="4"/>
      <c r="K79" s="4"/>
      <c r="L79" s="4"/>
      <c r="M79" s="4"/>
      <c r="N79" s="4"/>
      <c r="O79" s="4"/>
      <c r="P79" s="4"/>
      <c r="Q79" s="4"/>
      <c r="R79" s="4"/>
    </row>
    <row r="80">
      <c r="A80" s="4"/>
      <c r="B80" s="4"/>
      <c r="C80" s="4"/>
      <c r="D80" s="4"/>
      <c r="E80" s="4"/>
      <c r="F80" s="4"/>
      <c r="G80" s="4"/>
      <c r="H80" s="4"/>
      <c r="I80" s="4"/>
      <c r="J80" s="4"/>
      <c r="K80" s="4"/>
      <c r="L80" s="4"/>
      <c r="M80" s="4"/>
      <c r="N80" s="4"/>
      <c r="O80" s="4"/>
      <c r="P80" s="4"/>
      <c r="Q80" s="4"/>
      <c r="R80" s="4"/>
    </row>
    <row r="81">
      <c r="A81" s="4"/>
      <c r="B81" s="4"/>
      <c r="C81" s="4"/>
      <c r="D81" s="4"/>
      <c r="E81" s="4"/>
      <c r="F81" s="4"/>
      <c r="G81" s="4"/>
      <c r="H81" s="4"/>
      <c r="I81" s="4"/>
      <c r="J81" s="4"/>
      <c r="K81" s="4"/>
      <c r="L81" s="4"/>
      <c r="M81" s="4"/>
      <c r="N81" s="4"/>
      <c r="O81" s="4"/>
      <c r="P81" s="4"/>
      <c r="Q81" s="4"/>
      <c r="R81" s="4"/>
    </row>
    <row r="82">
      <c r="A82" s="4"/>
      <c r="B82" s="4"/>
      <c r="C82" s="4"/>
      <c r="D82" s="4"/>
      <c r="E82" s="4"/>
      <c r="F82" s="4"/>
      <c r="G82" s="4"/>
      <c r="H82" s="4"/>
      <c r="I82" s="4"/>
      <c r="J82" s="4"/>
      <c r="K82" s="4"/>
      <c r="L82" s="4"/>
      <c r="M82" s="4"/>
      <c r="N82" s="4"/>
      <c r="O82" s="4"/>
      <c r="P82" s="4"/>
      <c r="Q82" s="4"/>
      <c r="R82" s="4"/>
    </row>
    <row r="83">
      <c r="A83" s="4"/>
      <c r="B83" s="4"/>
      <c r="C83" s="4"/>
      <c r="D83" s="4"/>
      <c r="E83" s="4"/>
      <c r="F83" s="4"/>
      <c r="G83" s="4"/>
      <c r="H83" s="4"/>
      <c r="I83" s="4"/>
      <c r="J83" s="4"/>
      <c r="K83" s="4"/>
      <c r="L83" s="4"/>
      <c r="M83" s="4"/>
      <c r="N83" s="4"/>
      <c r="O83" s="4"/>
      <c r="P83" s="4"/>
      <c r="Q83" s="4"/>
      <c r="R83" s="4"/>
    </row>
    <row r="84">
      <c r="A84" s="4"/>
      <c r="B84" s="4"/>
      <c r="C84" s="4"/>
      <c r="D84" s="4"/>
      <c r="E84" s="4"/>
      <c r="F84" s="4"/>
      <c r="G84" s="4"/>
      <c r="H84" s="4"/>
      <c r="I84" s="4"/>
      <c r="J84" s="4"/>
      <c r="K84" s="4"/>
      <c r="L84" s="4"/>
      <c r="M84" s="4"/>
      <c r="N84" s="4"/>
      <c r="O84" s="4"/>
      <c r="P84" s="4"/>
      <c r="Q84" s="4"/>
      <c r="R84" s="4"/>
    </row>
    <row r="85">
      <c r="A85" s="4"/>
      <c r="B85" s="4"/>
      <c r="C85" s="4"/>
      <c r="D85" s="4"/>
      <c r="E85" s="4"/>
      <c r="F85" s="4"/>
      <c r="G85" s="4"/>
      <c r="H85" s="4"/>
      <c r="I85" s="4"/>
      <c r="J85" s="4"/>
      <c r="K85" s="4"/>
      <c r="L85" s="4"/>
      <c r="M85" s="4"/>
      <c r="N85" s="4"/>
      <c r="O85" s="4"/>
      <c r="P85" s="4"/>
      <c r="Q85" s="4"/>
      <c r="R85" s="4"/>
    </row>
    <row r="86">
      <c r="A86" s="4"/>
      <c r="B86" s="4"/>
      <c r="C86" s="4"/>
      <c r="D86" s="4"/>
      <c r="E86" s="4"/>
      <c r="F86" s="4"/>
      <c r="G86" s="4"/>
      <c r="H86" s="4"/>
      <c r="I86" s="4"/>
      <c r="J86" s="4"/>
      <c r="K86" s="4"/>
      <c r="L86" s="4"/>
      <c r="M86" s="4"/>
      <c r="N86" s="4"/>
      <c r="O86" s="4"/>
      <c r="P86" s="4"/>
      <c r="Q86" s="4"/>
      <c r="R86" s="4"/>
    </row>
  </sheetData>
  <mergeCells count="32">
    <mergeCell ref="A1:H2"/>
    <mergeCell ref="A3:B4"/>
    <mergeCell ref="C3:H4"/>
    <mergeCell ref="A5:B6"/>
    <mergeCell ref="C5:H6"/>
    <mergeCell ref="C7:H8"/>
    <mergeCell ref="A9:H9"/>
    <mergeCell ref="C17:H17"/>
    <mergeCell ref="C18:H18"/>
    <mergeCell ref="C19:H19"/>
    <mergeCell ref="C20:H20"/>
    <mergeCell ref="C21:H21"/>
    <mergeCell ref="C22:H22"/>
    <mergeCell ref="C10:H10"/>
    <mergeCell ref="C11:H11"/>
    <mergeCell ref="A12:H12"/>
    <mergeCell ref="A13:H13"/>
    <mergeCell ref="C14:H14"/>
    <mergeCell ref="C15:H15"/>
    <mergeCell ref="C16:H16"/>
    <mergeCell ref="A18:B18"/>
    <mergeCell ref="A19:B19"/>
    <mergeCell ref="A20:B20"/>
    <mergeCell ref="A21:B21"/>
    <mergeCell ref="A22:B22"/>
    <mergeCell ref="A7:B8"/>
    <mergeCell ref="A10:B10"/>
    <mergeCell ref="A11:B11"/>
    <mergeCell ref="A14:B14"/>
    <mergeCell ref="A15:B15"/>
    <mergeCell ref="A16:B16"/>
    <mergeCell ref="A17:B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0.33"/>
    <col customWidth="1" min="2" max="2" width="27.89"/>
    <col customWidth="1" min="3" max="3" width="32.56"/>
    <col customWidth="1" min="4" max="4" width="34.56"/>
    <col customWidth="1" min="5" max="5" width="48.67"/>
    <col customWidth="1" min="6" max="6" width="30.11"/>
  </cols>
  <sheetData>
    <row r="1">
      <c r="A1" s="32" t="s">
        <v>27</v>
      </c>
      <c r="B1" s="33"/>
      <c r="C1" s="33"/>
      <c r="D1" s="33"/>
      <c r="E1" s="34"/>
      <c r="F1" s="35"/>
      <c r="G1" s="36"/>
      <c r="H1" s="36"/>
      <c r="I1" s="4"/>
      <c r="J1" s="4"/>
      <c r="K1" s="4"/>
      <c r="L1" s="4"/>
    </row>
    <row r="2">
      <c r="A2" s="37" t="s">
        <v>28</v>
      </c>
      <c r="B2" s="38"/>
      <c r="C2" s="38"/>
      <c r="D2" s="38"/>
      <c r="E2" s="39"/>
      <c r="F2" s="40"/>
      <c r="G2" s="41"/>
      <c r="H2" s="41"/>
      <c r="I2" s="4"/>
      <c r="J2" s="4"/>
      <c r="K2" s="4"/>
      <c r="L2" s="4"/>
    </row>
    <row r="3">
      <c r="A3" s="42"/>
      <c r="F3" s="43"/>
      <c r="G3" s="44"/>
      <c r="H3" s="44"/>
      <c r="I3" s="4"/>
      <c r="J3" s="4"/>
      <c r="K3" s="4"/>
      <c r="L3" s="4"/>
    </row>
    <row r="4">
      <c r="A4" s="45" t="s">
        <v>29</v>
      </c>
      <c r="B4" s="38"/>
      <c r="C4" s="38"/>
      <c r="D4" s="38"/>
      <c r="E4" s="39"/>
      <c r="F4" s="43"/>
      <c r="G4" s="44"/>
      <c r="H4" s="44"/>
      <c r="I4" s="4"/>
      <c r="J4" s="4"/>
      <c r="K4" s="4"/>
      <c r="L4" s="4"/>
    </row>
    <row r="5">
      <c r="A5" s="46" t="s">
        <v>30</v>
      </c>
      <c r="B5" s="47"/>
      <c r="C5" s="47"/>
      <c r="D5" s="47"/>
      <c r="E5" s="48"/>
      <c r="F5" s="43"/>
      <c r="G5" s="44"/>
      <c r="H5" s="44"/>
      <c r="I5" s="4"/>
      <c r="J5" s="4"/>
      <c r="K5" s="4"/>
      <c r="L5" s="4"/>
    </row>
    <row r="6">
      <c r="A6" s="42"/>
      <c r="F6" s="43"/>
      <c r="G6" s="44"/>
      <c r="H6" s="44"/>
      <c r="I6" s="4"/>
      <c r="J6" s="4"/>
      <c r="K6" s="4"/>
      <c r="L6" s="4"/>
    </row>
    <row r="7">
      <c r="A7" s="45" t="s">
        <v>31</v>
      </c>
      <c r="B7" s="47"/>
      <c r="C7" s="47"/>
      <c r="D7" s="47"/>
      <c r="E7" s="48"/>
      <c r="F7" s="43"/>
      <c r="G7" s="44"/>
      <c r="H7" s="44"/>
      <c r="I7" s="4"/>
      <c r="J7" s="4"/>
      <c r="K7" s="4"/>
      <c r="L7" s="4"/>
    </row>
    <row r="8">
      <c r="A8" s="49" t="s">
        <v>32</v>
      </c>
      <c r="B8" s="38"/>
      <c r="C8" s="38"/>
      <c r="D8" s="38"/>
      <c r="E8" s="39"/>
      <c r="F8" s="50"/>
      <c r="G8" s="51"/>
      <c r="H8" s="51"/>
      <c r="I8" s="4"/>
      <c r="J8" s="4"/>
      <c r="K8" s="4"/>
      <c r="L8" s="4"/>
    </row>
    <row r="9">
      <c r="A9" s="42"/>
      <c r="B9" s="42"/>
      <c r="C9" s="42"/>
      <c r="D9" s="42"/>
      <c r="E9" s="42"/>
      <c r="F9" s="43"/>
      <c r="G9" s="44"/>
      <c r="H9" s="44"/>
      <c r="I9" s="4"/>
      <c r="J9" s="4"/>
      <c r="K9" s="4"/>
      <c r="L9" s="4"/>
    </row>
    <row r="10">
      <c r="A10" s="45" t="s">
        <v>33</v>
      </c>
      <c r="B10" s="38"/>
      <c r="C10" s="38"/>
      <c r="D10" s="38"/>
      <c r="E10" s="39"/>
      <c r="F10" s="43"/>
      <c r="G10" s="44"/>
      <c r="H10" s="44"/>
      <c r="I10" s="4"/>
      <c r="J10" s="4"/>
      <c r="K10" s="4"/>
      <c r="L10" s="4"/>
    </row>
    <row r="11">
      <c r="A11" s="49" t="s">
        <v>34</v>
      </c>
      <c r="B11" s="47"/>
      <c r="C11" s="47"/>
      <c r="D11" s="47"/>
      <c r="E11" s="48"/>
      <c r="F11" s="50"/>
      <c r="G11" s="51"/>
      <c r="H11" s="51"/>
      <c r="I11" s="4"/>
      <c r="J11" s="4"/>
      <c r="K11" s="4"/>
      <c r="L11" s="4"/>
    </row>
    <row r="12">
      <c r="A12" s="42"/>
      <c r="B12" s="42"/>
      <c r="C12" s="42"/>
      <c r="D12" s="42"/>
      <c r="E12" s="42"/>
      <c r="F12" s="43"/>
      <c r="G12" s="44"/>
      <c r="H12" s="44"/>
      <c r="I12" s="4"/>
      <c r="J12" s="4"/>
      <c r="K12" s="4"/>
      <c r="L12" s="4"/>
    </row>
    <row r="13">
      <c r="A13" s="52" t="s">
        <v>35</v>
      </c>
      <c r="B13" s="47"/>
      <c r="C13" s="48"/>
      <c r="D13" s="52" t="s">
        <v>36</v>
      </c>
      <c r="E13" s="48"/>
      <c r="F13" s="35"/>
      <c r="G13" s="36"/>
      <c r="H13" s="36"/>
      <c r="I13" s="4"/>
      <c r="J13" s="4"/>
      <c r="K13" s="4"/>
      <c r="L13" s="4"/>
    </row>
    <row r="14">
      <c r="A14" s="49" t="s">
        <v>37</v>
      </c>
      <c r="B14" s="38"/>
      <c r="C14" s="39"/>
      <c r="D14" s="49" t="s">
        <v>38</v>
      </c>
      <c r="E14" s="39"/>
      <c r="F14" s="50"/>
      <c r="G14" s="51"/>
      <c r="H14" s="51"/>
      <c r="I14" s="4"/>
      <c r="J14" s="4"/>
      <c r="K14" s="4"/>
      <c r="L14" s="4"/>
    </row>
    <row r="15">
      <c r="A15" s="49" t="s">
        <v>39</v>
      </c>
      <c r="B15" s="47"/>
      <c r="C15" s="48"/>
      <c r="D15" s="49" t="s">
        <v>40</v>
      </c>
      <c r="E15" s="48"/>
      <c r="F15" s="50"/>
      <c r="G15" s="51"/>
      <c r="H15" s="51"/>
      <c r="I15" s="4"/>
      <c r="J15" s="4"/>
      <c r="K15" s="4"/>
      <c r="L15" s="4"/>
    </row>
    <row r="16">
      <c r="A16" s="49" t="s">
        <v>41</v>
      </c>
      <c r="B16" s="38"/>
      <c r="C16" s="39"/>
      <c r="D16" s="49" t="s">
        <v>42</v>
      </c>
      <c r="E16" s="39"/>
      <c r="F16" s="50"/>
      <c r="G16" s="51"/>
      <c r="H16" s="51"/>
      <c r="I16" s="4"/>
      <c r="J16" s="4"/>
      <c r="K16" s="4"/>
      <c r="L16" s="4"/>
    </row>
    <row r="17">
      <c r="A17" s="49" t="s">
        <v>43</v>
      </c>
      <c r="B17" s="47"/>
      <c r="C17" s="48"/>
      <c r="D17" s="49" t="s">
        <v>44</v>
      </c>
      <c r="E17" s="48"/>
      <c r="F17" s="50"/>
      <c r="G17" s="51"/>
      <c r="H17" s="51"/>
      <c r="I17" s="4"/>
      <c r="J17" s="4"/>
      <c r="K17" s="4"/>
      <c r="L17" s="4"/>
    </row>
    <row r="18">
      <c r="A18" s="49" t="s">
        <v>45</v>
      </c>
      <c r="B18" s="38"/>
      <c r="C18" s="39"/>
      <c r="D18" s="49" t="s">
        <v>46</v>
      </c>
      <c r="E18" s="39"/>
      <c r="F18" s="50"/>
      <c r="G18" s="51"/>
      <c r="H18" s="51"/>
      <c r="I18" s="4"/>
      <c r="J18" s="4"/>
      <c r="K18" s="4"/>
      <c r="L18" s="4"/>
    </row>
    <row r="19">
      <c r="A19" s="49" t="s">
        <v>47</v>
      </c>
      <c r="B19" s="47"/>
      <c r="C19" s="48"/>
      <c r="D19" s="49" t="s">
        <v>48</v>
      </c>
      <c r="E19" s="48"/>
      <c r="F19" s="50"/>
      <c r="G19" s="51"/>
      <c r="H19" s="51"/>
      <c r="I19" s="4"/>
      <c r="J19" s="4"/>
      <c r="K19" s="4"/>
      <c r="L19" s="4"/>
    </row>
    <row r="20">
      <c r="A20" s="49" t="s">
        <v>49</v>
      </c>
      <c r="B20" s="38"/>
      <c r="C20" s="39"/>
      <c r="D20" s="49" t="s">
        <v>50</v>
      </c>
      <c r="E20" s="39"/>
      <c r="F20" s="50"/>
      <c r="G20" s="51"/>
      <c r="H20" s="51"/>
      <c r="I20" s="4"/>
      <c r="J20" s="4"/>
      <c r="K20" s="4"/>
      <c r="L20" s="4"/>
    </row>
    <row r="21">
      <c r="A21" s="53" t="s">
        <v>51</v>
      </c>
      <c r="B21" s="54"/>
      <c r="C21" s="55"/>
      <c r="D21" s="53" t="s">
        <v>52</v>
      </c>
      <c r="E21" s="55"/>
      <c r="F21" s="50"/>
      <c r="G21" s="51"/>
      <c r="H21" s="51"/>
      <c r="I21" s="4"/>
      <c r="J21" s="4"/>
      <c r="K21" s="4"/>
      <c r="L21" s="4"/>
    </row>
    <row r="22">
      <c r="A22" s="56"/>
      <c r="B22" s="57"/>
      <c r="C22" s="57"/>
      <c r="D22" s="57"/>
      <c r="E22" s="57"/>
      <c r="F22" s="58"/>
      <c r="G22" s="59"/>
      <c r="H22" s="59"/>
      <c r="I22" s="4"/>
      <c r="J22" s="4"/>
      <c r="K22" s="4"/>
      <c r="L22" s="4"/>
    </row>
    <row r="23">
      <c r="A23" s="45" t="s">
        <v>53</v>
      </c>
      <c r="B23" s="47"/>
      <c r="C23" s="47"/>
      <c r="D23" s="47"/>
      <c r="E23" s="48"/>
      <c r="F23" s="43"/>
      <c r="G23" s="44"/>
      <c r="H23" s="44"/>
      <c r="I23" s="4"/>
      <c r="J23" s="4"/>
      <c r="K23" s="4"/>
      <c r="L23" s="4"/>
    </row>
    <row r="24">
      <c r="A24" s="49" t="s">
        <v>54</v>
      </c>
      <c r="B24" s="38"/>
      <c r="C24" s="39"/>
      <c r="D24" s="49" t="s">
        <v>55</v>
      </c>
      <c r="E24" s="39"/>
      <c r="F24" s="60"/>
      <c r="G24" s="61"/>
      <c r="H24" s="61"/>
      <c r="I24" s="4"/>
      <c r="J24" s="4"/>
      <c r="K24" s="4"/>
      <c r="L24" s="4"/>
    </row>
    <row r="25">
      <c r="A25" s="62"/>
      <c r="F25" s="58"/>
      <c r="G25" s="59"/>
      <c r="H25" s="59"/>
      <c r="I25" s="4"/>
      <c r="J25" s="4"/>
      <c r="K25" s="4"/>
      <c r="L25" s="4"/>
    </row>
    <row r="26">
      <c r="A26" s="45" t="s">
        <v>56</v>
      </c>
      <c r="B26" s="38"/>
      <c r="C26" s="38"/>
      <c r="D26" s="38"/>
      <c r="E26" s="39"/>
      <c r="F26" s="43"/>
      <c r="G26" s="44"/>
      <c r="H26" s="44"/>
      <c r="I26" s="4"/>
      <c r="J26" s="4"/>
      <c r="K26" s="4"/>
      <c r="L26" s="4"/>
    </row>
    <row r="27">
      <c r="A27" s="49" t="s">
        <v>57</v>
      </c>
      <c r="B27" s="47"/>
      <c r="C27" s="47"/>
      <c r="D27" s="47"/>
      <c r="E27" s="48"/>
      <c r="F27" s="50"/>
      <c r="G27" s="51"/>
      <c r="H27" s="51"/>
      <c r="I27" s="4"/>
      <c r="J27" s="4"/>
      <c r="K27" s="4"/>
      <c r="L27" s="4"/>
    </row>
    <row r="28">
      <c r="A28" s="49" t="s">
        <v>58</v>
      </c>
      <c r="B28" s="38"/>
      <c r="C28" s="38"/>
      <c r="D28" s="38"/>
      <c r="E28" s="39"/>
      <c r="F28" s="50"/>
      <c r="G28" s="51"/>
      <c r="H28" s="51"/>
      <c r="I28" s="4"/>
      <c r="J28" s="4"/>
      <c r="K28" s="4"/>
      <c r="L28" s="4"/>
    </row>
    <row r="29">
      <c r="A29" s="62"/>
      <c r="F29" s="58"/>
      <c r="G29" s="59"/>
      <c r="H29" s="59"/>
      <c r="I29" s="4"/>
      <c r="J29" s="4"/>
      <c r="K29" s="4"/>
      <c r="L29" s="4"/>
    </row>
    <row r="30">
      <c r="A30" s="63" t="s">
        <v>12</v>
      </c>
      <c r="B30" s="63" t="s">
        <v>59</v>
      </c>
      <c r="C30" s="63" t="s">
        <v>60</v>
      </c>
      <c r="D30" s="63" t="s">
        <v>61</v>
      </c>
      <c r="E30" s="63" t="s">
        <v>62</v>
      </c>
      <c r="F30" s="64"/>
      <c r="G30" s="65"/>
      <c r="H30" s="66"/>
      <c r="I30" s="4"/>
      <c r="J30" s="4"/>
      <c r="K30" s="4"/>
      <c r="L30" s="4"/>
    </row>
    <row r="31">
      <c r="A31" s="67" t="s">
        <v>63</v>
      </c>
      <c r="B31" s="67" t="s">
        <v>64</v>
      </c>
      <c r="C31" s="67">
        <v>37.0</v>
      </c>
      <c r="D31" s="68" t="s">
        <v>65</v>
      </c>
      <c r="E31" s="69" t="s">
        <v>66</v>
      </c>
      <c r="F31" s="70"/>
      <c r="G31" s="71"/>
      <c r="H31" s="72"/>
      <c r="I31" s="4"/>
      <c r="J31" s="4"/>
      <c r="K31" s="4"/>
      <c r="L31" s="4"/>
    </row>
    <row r="32">
      <c r="A32" s="67" t="s">
        <v>67</v>
      </c>
      <c r="B32" s="67" t="s">
        <v>68</v>
      </c>
      <c r="C32" s="67">
        <v>34.0</v>
      </c>
      <c r="D32" s="68" t="s">
        <v>69</v>
      </c>
      <c r="E32" s="69" t="s">
        <v>70</v>
      </c>
      <c r="F32" s="70"/>
      <c r="G32" s="71"/>
      <c r="H32" s="72"/>
      <c r="I32" s="4"/>
      <c r="J32" s="4"/>
      <c r="K32" s="4"/>
      <c r="L32" s="4"/>
    </row>
    <row r="33">
      <c r="A33" s="67" t="s">
        <v>71</v>
      </c>
      <c r="B33" s="67" t="s">
        <v>72</v>
      </c>
      <c r="C33" s="67">
        <v>37.0</v>
      </c>
      <c r="D33" s="68" t="s">
        <v>73</v>
      </c>
      <c r="E33" s="69" t="s">
        <v>74</v>
      </c>
      <c r="F33" s="70"/>
      <c r="G33" s="71"/>
      <c r="H33" s="72"/>
      <c r="I33" s="4"/>
      <c r="J33" s="4"/>
      <c r="K33" s="4"/>
      <c r="L33" s="4"/>
    </row>
    <row r="34">
      <c r="A34" s="67" t="s">
        <v>75</v>
      </c>
      <c r="B34" s="67" t="s">
        <v>76</v>
      </c>
      <c r="C34" s="67">
        <v>58.0</v>
      </c>
      <c r="D34" s="68" t="s">
        <v>77</v>
      </c>
      <c r="E34" s="69" t="s">
        <v>78</v>
      </c>
      <c r="F34" s="70"/>
      <c r="G34" s="71"/>
      <c r="H34" s="72"/>
      <c r="I34" s="4"/>
      <c r="J34" s="4"/>
      <c r="K34" s="4"/>
      <c r="L34" s="4"/>
    </row>
    <row r="35">
      <c r="A35" s="67" t="s">
        <v>79</v>
      </c>
      <c r="B35" s="67" t="s">
        <v>80</v>
      </c>
      <c r="C35" s="67">
        <v>62.0</v>
      </c>
      <c r="D35" s="68" t="s">
        <v>81</v>
      </c>
      <c r="E35" s="69" t="s">
        <v>82</v>
      </c>
      <c r="F35" s="70"/>
      <c r="G35" s="71"/>
      <c r="H35" s="72"/>
      <c r="I35" s="4"/>
      <c r="J35" s="4"/>
      <c r="K35" s="4"/>
      <c r="L35" s="4"/>
    </row>
    <row r="36">
      <c r="A36" s="67" t="s">
        <v>83</v>
      </c>
      <c r="B36" s="67" t="s">
        <v>80</v>
      </c>
      <c r="C36" s="67">
        <v>65.0</v>
      </c>
      <c r="D36" s="68" t="s">
        <v>84</v>
      </c>
      <c r="E36" s="69" t="s">
        <v>85</v>
      </c>
      <c r="F36" s="70"/>
      <c r="G36" s="71"/>
      <c r="H36" s="72"/>
      <c r="I36" s="4"/>
      <c r="J36" s="4"/>
      <c r="K36" s="4"/>
      <c r="L36" s="4"/>
    </row>
    <row r="37">
      <c r="A37" s="67" t="s">
        <v>86</v>
      </c>
      <c r="B37" s="67" t="s">
        <v>80</v>
      </c>
      <c r="C37" s="67">
        <v>70.0</v>
      </c>
      <c r="D37" s="68" t="s">
        <v>84</v>
      </c>
      <c r="E37" s="69" t="s">
        <v>87</v>
      </c>
      <c r="F37" s="70"/>
      <c r="G37" s="71"/>
      <c r="H37" s="72"/>
      <c r="I37" s="4"/>
      <c r="J37" s="4"/>
      <c r="K37" s="4"/>
      <c r="L37" s="4"/>
    </row>
    <row r="38">
      <c r="A38" s="67" t="s">
        <v>88</v>
      </c>
      <c r="B38" s="67" t="s">
        <v>80</v>
      </c>
      <c r="C38" s="67">
        <v>35.0</v>
      </c>
      <c r="D38" s="68" t="s">
        <v>89</v>
      </c>
      <c r="E38" s="69" t="s">
        <v>90</v>
      </c>
      <c r="F38" s="70"/>
      <c r="G38" s="71"/>
      <c r="H38" s="72"/>
      <c r="I38" s="4"/>
      <c r="J38" s="4"/>
      <c r="K38" s="4"/>
      <c r="L38" s="4"/>
    </row>
    <row r="39">
      <c r="A39" s="62"/>
      <c r="B39" s="62"/>
      <c r="C39" s="62"/>
      <c r="D39" s="62"/>
      <c r="E39" s="62"/>
      <c r="F39" s="58"/>
      <c r="G39" s="59"/>
      <c r="H39" s="59"/>
      <c r="I39" s="4"/>
      <c r="J39" s="4"/>
      <c r="K39" s="4"/>
      <c r="L39" s="4"/>
    </row>
    <row r="40">
      <c r="A40" s="73" t="s">
        <v>91</v>
      </c>
      <c r="B40" s="74"/>
      <c r="C40" s="74"/>
      <c r="D40" s="74"/>
      <c r="E40" s="75"/>
      <c r="F40" s="59"/>
      <c r="G40" s="76"/>
      <c r="H40" s="76"/>
      <c r="I40" s="4"/>
      <c r="J40" s="4"/>
      <c r="K40" s="4"/>
      <c r="L40" s="4"/>
    </row>
    <row r="41" ht="87.75" customHeight="1">
      <c r="A41" s="77" t="s">
        <v>92</v>
      </c>
      <c r="B41" s="78"/>
      <c r="C41" s="79"/>
      <c r="D41" s="80" t="s">
        <v>93</v>
      </c>
      <c r="E41" s="79"/>
      <c r="F41" s="59"/>
      <c r="G41" s="81"/>
      <c r="H41" s="81"/>
      <c r="I41" s="4"/>
      <c r="J41" s="4"/>
      <c r="K41" s="4"/>
      <c r="L41" s="4"/>
    </row>
    <row r="42" ht="87.75" customHeight="1">
      <c r="A42" s="82" t="s">
        <v>94</v>
      </c>
      <c r="B42" s="74"/>
      <c r="C42" s="75"/>
      <c r="D42" s="80" t="s">
        <v>95</v>
      </c>
      <c r="E42" s="75"/>
      <c r="F42" s="59"/>
      <c r="G42" s="76"/>
      <c r="H42" s="76"/>
      <c r="I42" s="4"/>
      <c r="J42" s="4"/>
      <c r="K42" s="4"/>
      <c r="L42" s="4"/>
    </row>
    <row r="43" ht="87.75" customHeight="1">
      <c r="A43" s="83" t="s">
        <v>96</v>
      </c>
      <c r="B43" s="78"/>
      <c r="C43" s="79"/>
      <c r="D43" s="80" t="s">
        <v>97</v>
      </c>
      <c r="E43" s="79"/>
      <c r="F43" s="59"/>
      <c r="G43" s="81"/>
      <c r="H43" s="81"/>
      <c r="I43" s="4"/>
      <c r="J43" s="4"/>
      <c r="K43" s="4"/>
      <c r="L43" s="4"/>
    </row>
    <row r="44">
      <c r="A44" s="84" t="s">
        <v>98</v>
      </c>
      <c r="B44" s="33"/>
      <c r="C44" s="33"/>
      <c r="D44" s="33"/>
      <c r="E44" s="34"/>
      <c r="F44" s="85"/>
      <c r="G44" s="4"/>
      <c r="H44" s="4"/>
      <c r="I44" s="4"/>
      <c r="J44" s="4"/>
      <c r="K44" s="4"/>
      <c r="L44" s="4"/>
    </row>
    <row r="45">
      <c r="A45" s="49" t="s">
        <v>99</v>
      </c>
      <c r="B45" s="38"/>
      <c r="C45" s="39"/>
      <c r="D45" s="49" t="s">
        <v>100</v>
      </c>
      <c r="E45" s="39"/>
      <c r="F45" s="85"/>
      <c r="G45" s="4"/>
      <c r="H45" s="4"/>
      <c r="I45" s="4"/>
      <c r="J45" s="4"/>
      <c r="K45" s="4"/>
      <c r="L45" s="4"/>
    </row>
    <row r="46">
      <c r="A46" s="86"/>
      <c r="B46" s="86"/>
      <c r="C46" s="87"/>
      <c r="D46" s="87"/>
      <c r="E46" s="87"/>
      <c r="F46" s="85"/>
      <c r="G46" s="4"/>
      <c r="H46" s="4"/>
      <c r="I46" s="4"/>
      <c r="J46" s="4"/>
      <c r="K46" s="4"/>
      <c r="L46" s="4"/>
    </row>
    <row r="47">
      <c r="A47" s="88" t="s">
        <v>101</v>
      </c>
      <c r="B47" s="38"/>
      <c r="C47" s="38"/>
      <c r="D47" s="38"/>
      <c r="E47" s="39"/>
      <c r="F47" s="85"/>
      <c r="G47" s="4"/>
      <c r="H47" s="4"/>
      <c r="I47" s="4"/>
      <c r="J47" s="4"/>
      <c r="K47" s="4"/>
      <c r="L47" s="4"/>
    </row>
    <row r="48">
      <c r="A48" s="89" t="s">
        <v>102</v>
      </c>
      <c r="B48" s="47"/>
      <c r="C48" s="48"/>
      <c r="D48" s="89" t="s">
        <v>103</v>
      </c>
      <c r="E48" s="48"/>
      <c r="F48" s="85"/>
      <c r="G48" s="4"/>
      <c r="H48" s="4"/>
      <c r="I48" s="4"/>
      <c r="J48" s="4"/>
      <c r="K48" s="4"/>
      <c r="L48" s="4"/>
    </row>
    <row r="49">
      <c r="A49" s="90"/>
      <c r="B49" s="90"/>
      <c r="C49" s="90"/>
      <c r="D49" s="90"/>
      <c r="E49" s="90"/>
      <c r="F49" s="4"/>
      <c r="G49" s="4"/>
      <c r="H49" s="4"/>
      <c r="I49" s="4"/>
      <c r="J49" s="4"/>
      <c r="K49" s="4"/>
      <c r="L49" s="4"/>
    </row>
    <row r="50">
      <c r="A50" s="4"/>
      <c r="B50" s="4"/>
      <c r="C50" s="4"/>
      <c r="D50" s="4"/>
      <c r="E50" s="4"/>
      <c r="F50" s="4"/>
      <c r="G50" s="4"/>
      <c r="H50" s="4"/>
      <c r="I50" s="4"/>
      <c r="J50" s="4"/>
      <c r="K50" s="4"/>
      <c r="L50" s="4"/>
    </row>
    <row r="51">
      <c r="A51" s="4"/>
      <c r="B51" s="4"/>
      <c r="C51" s="4"/>
      <c r="D51" s="4"/>
      <c r="E51" s="4"/>
      <c r="F51" s="4"/>
      <c r="G51" s="4"/>
      <c r="H51" s="4"/>
      <c r="I51" s="4"/>
      <c r="J51" s="4"/>
      <c r="K51" s="4"/>
      <c r="L51" s="4"/>
    </row>
    <row r="52">
      <c r="A52" s="4"/>
      <c r="B52" s="4"/>
      <c r="C52" s="4"/>
      <c r="D52" s="4"/>
      <c r="E52" s="4"/>
      <c r="F52" s="4"/>
      <c r="G52" s="4"/>
      <c r="H52" s="4"/>
      <c r="I52" s="4"/>
      <c r="J52" s="4"/>
      <c r="K52" s="4"/>
      <c r="L52" s="4"/>
    </row>
    <row r="53">
      <c r="A53" s="4"/>
      <c r="B53" s="4"/>
      <c r="C53" s="4"/>
      <c r="D53" s="4"/>
      <c r="E53" s="4"/>
      <c r="F53" s="4"/>
      <c r="G53" s="4"/>
      <c r="H53" s="4"/>
      <c r="I53" s="4"/>
      <c r="J53" s="4"/>
      <c r="K53" s="4"/>
      <c r="L53" s="4"/>
    </row>
    <row r="54">
      <c r="A54" s="4"/>
      <c r="B54" s="4"/>
      <c r="C54" s="4"/>
      <c r="D54" s="4"/>
      <c r="E54" s="4"/>
      <c r="F54" s="4"/>
      <c r="G54" s="4"/>
      <c r="H54" s="4"/>
      <c r="I54" s="4"/>
      <c r="J54" s="4"/>
      <c r="K54" s="4"/>
      <c r="L54" s="4"/>
    </row>
    <row r="55">
      <c r="A55" s="4"/>
      <c r="B55" s="4"/>
      <c r="C55" s="4"/>
      <c r="D55" s="4"/>
      <c r="E55" s="4"/>
      <c r="F55" s="4"/>
      <c r="G55" s="4"/>
      <c r="H55" s="4"/>
      <c r="I55" s="4"/>
      <c r="J55" s="4"/>
      <c r="K55" s="4"/>
      <c r="L55" s="4"/>
    </row>
    <row r="56">
      <c r="A56" s="4"/>
      <c r="B56" s="4"/>
      <c r="C56" s="4"/>
      <c r="D56" s="4"/>
      <c r="E56" s="4"/>
      <c r="F56" s="4"/>
      <c r="G56" s="4"/>
      <c r="H56" s="4"/>
      <c r="I56" s="4"/>
      <c r="J56" s="4"/>
      <c r="K56" s="4"/>
      <c r="L56" s="4"/>
    </row>
    <row r="57">
      <c r="A57" s="4"/>
      <c r="B57" s="4"/>
      <c r="C57" s="4"/>
      <c r="D57" s="4"/>
      <c r="E57" s="4"/>
      <c r="F57" s="4"/>
      <c r="G57" s="4"/>
      <c r="H57" s="4"/>
      <c r="I57" s="4"/>
      <c r="J57" s="4"/>
      <c r="K57" s="4"/>
      <c r="L57" s="4"/>
    </row>
    <row r="58">
      <c r="A58" s="4"/>
      <c r="B58" s="4"/>
      <c r="C58" s="4"/>
      <c r="D58" s="4"/>
      <c r="E58" s="4"/>
      <c r="F58" s="4"/>
      <c r="G58" s="4"/>
      <c r="H58" s="4"/>
      <c r="I58" s="4"/>
      <c r="J58" s="4"/>
      <c r="K58" s="4"/>
      <c r="L58" s="4"/>
    </row>
    <row r="59">
      <c r="A59" s="4"/>
      <c r="B59" s="4"/>
      <c r="C59" s="4"/>
      <c r="D59" s="4"/>
      <c r="E59" s="4"/>
      <c r="F59" s="4"/>
      <c r="G59" s="4"/>
      <c r="H59" s="4"/>
      <c r="I59" s="4"/>
      <c r="J59" s="4"/>
      <c r="K59" s="4"/>
      <c r="L59" s="4"/>
    </row>
    <row r="60">
      <c r="A60" s="4"/>
      <c r="B60" s="4"/>
      <c r="C60" s="4"/>
      <c r="D60" s="4"/>
      <c r="E60" s="4"/>
      <c r="F60" s="4"/>
      <c r="G60" s="4"/>
      <c r="H60" s="4"/>
      <c r="I60" s="4"/>
      <c r="J60" s="4"/>
      <c r="K60" s="4"/>
      <c r="L60" s="4"/>
    </row>
    <row r="61">
      <c r="A61" s="4"/>
      <c r="B61" s="4"/>
      <c r="C61" s="4"/>
      <c r="D61" s="4"/>
      <c r="E61" s="4"/>
      <c r="F61" s="4"/>
      <c r="G61" s="4"/>
      <c r="H61" s="4"/>
      <c r="I61" s="4"/>
      <c r="J61" s="4"/>
      <c r="K61" s="4"/>
      <c r="L61" s="4"/>
    </row>
    <row r="62">
      <c r="A62" s="4"/>
      <c r="B62" s="4"/>
      <c r="C62" s="4"/>
      <c r="D62" s="4"/>
      <c r="E62" s="4"/>
      <c r="F62" s="4"/>
      <c r="G62" s="4"/>
      <c r="H62" s="4"/>
      <c r="I62" s="4"/>
      <c r="J62" s="4"/>
      <c r="K62" s="4"/>
      <c r="L62" s="4"/>
    </row>
    <row r="63">
      <c r="A63" s="4"/>
      <c r="B63" s="4"/>
      <c r="C63" s="4"/>
      <c r="D63" s="4"/>
      <c r="E63" s="4"/>
      <c r="F63" s="4"/>
      <c r="G63" s="4"/>
      <c r="H63" s="4"/>
      <c r="I63" s="4"/>
      <c r="J63" s="4"/>
      <c r="K63" s="4"/>
      <c r="L63" s="4"/>
    </row>
    <row r="64">
      <c r="A64" s="4"/>
      <c r="B64" s="4"/>
      <c r="C64" s="4"/>
      <c r="D64" s="4"/>
      <c r="E64" s="4"/>
      <c r="F64" s="4"/>
      <c r="G64" s="4"/>
      <c r="H64" s="4"/>
      <c r="I64" s="4"/>
      <c r="J64" s="4"/>
      <c r="K64" s="4"/>
      <c r="L64" s="4"/>
    </row>
    <row r="65">
      <c r="A65" s="4"/>
      <c r="B65" s="4"/>
      <c r="C65" s="4"/>
      <c r="D65" s="4"/>
      <c r="E65" s="4"/>
      <c r="F65" s="4"/>
      <c r="G65" s="4"/>
      <c r="H65" s="4"/>
      <c r="I65" s="4"/>
      <c r="J65" s="4"/>
      <c r="K65" s="4"/>
      <c r="L65" s="4"/>
    </row>
    <row r="66">
      <c r="A66" s="4"/>
      <c r="B66" s="4"/>
      <c r="C66" s="4"/>
      <c r="D66" s="4"/>
      <c r="E66" s="4"/>
      <c r="F66" s="4"/>
      <c r="G66" s="4"/>
      <c r="H66" s="4"/>
      <c r="I66" s="4"/>
      <c r="J66" s="4"/>
      <c r="K66" s="4"/>
      <c r="L66" s="4"/>
    </row>
    <row r="67">
      <c r="A67" s="4"/>
      <c r="B67" s="4"/>
      <c r="C67" s="4"/>
      <c r="D67" s="4"/>
      <c r="E67" s="4"/>
      <c r="F67" s="4"/>
      <c r="G67" s="4"/>
      <c r="H67" s="4"/>
      <c r="I67" s="4"/>
      <c r="J67" s="4"/>
      <c r="K67" s="4"/>
      <c r="L67" s="4"/>
    </row>
    <row r="68">
      <c r="A68" s="4"/>
      <c r="B68" s="4"/>
      <c r="C68" s="4"/>
      <c r="D68" s="4"/>
      <c r="E68" s="4"/>
      <c r="F68" s="4"/>
      <c r="G68" s="4"/>
      <c r="H68" s="4"/>
      <c r="I68" s="4"/>
      <c r="J68" s="4"/>
      <c r="K68" s="4"/>
      <c r="L68" s="4"/>
    </row>
    <row r="69">
      <c r="A69" s="4"/>
      <c r="B69" s="4"/>
      <c r="C69" s="4"/>
      <c r="D69" s="4"/>
      <c r="E69" s="4"/>
      <c r="F69" s="4"/>
      <c r="G69" s="4"/>
      <c r="H69" s="4"/>
      <c r="I69" s="4"/>
      <c r="J69" s="4"/>
      <c r="K69" s="4"/>
      <c r="L69" s="4"/>
    </row>
    <row r="70">
      <c r="A70" s="4"/>
      <c r="B70" s="4"/>
      <c r="C70" s="4"/>
      <c r="D70" s="4"/>
      <c r="E70" s="4"/>
      <c r="F70" s="4"/>
      <c r="G70" s="4"/>
      <c r="H70" s="4"/>
      <c r="I70" s="4"/>
      <c r="J70" s="4"/>
      <c r="K70" s="4"/>
      <c r="L70" s="4"/>
    </row>
    <row r="71">
      <c r="A71" s="4"/>
      <c r="B71" s="4"/>
      <c r="C71" s="4"/>
      <c r="D71" s="4"/>
      <c r="E71" s="4"/>
      <c r="F71" s="4"/>
      <c r="G71" s="4"/>
      <c r="H71" s="4"/>
      <c r="I71" s="4"/>
      <c r="J71" s="4"/>
      <c r="K71" s="4"/>
      <c r="L71" s="4"/>
    </row>
    <row r="72">
      <c r="A72" s="4"/>
      <c r="B72" s="4"/>
      <c r="C72" s="4"/>
      <c r="D72" s="4"/>
      <c r="E72" s="4"/>
      <c r="F72" s="4"/>
      <c r="G72" s="4"/>
      <c r="H72" s="4"/>
      <c r="I72" s="4"/>
      <c r="J72" s="4"/>
      <c r="K72" s="4"/>
      <c r="L72" s="4"/>
    </row>
    <row r="73">
      <c r="A73" s="4"/>
      <c r="B73" s="4"/>
      <c r="C73" s="4"/>
      <c r="D73" s="4"/>
      <c r="E73" s="4"/>
      <c r="F73" s="4"/>
      <c r="G73" s="4"/>
      <c r="H73" s="4"/>
      <c r="I73" s="4"/>
      <c r="J73" s="4"/>
      <c r="K73" s="4"/>
      <c r="L73" s="4"/>
    </row>
    <row r="74">
      <c r="A74" s="4"/>
      <c r="B74" s="4"/>
      <c r="C74" s="4"/>
      <c r="D74" s="4"/>
      <c r="E74" s="4"/>
      <c r="F74" s="4"/>
      <c r="G74" s="4"/>
      <c r="H74" s="4"/>
      <c r="I74" s="4"/>
      <c r="J74" s="4"/>
      <c r="K74" s="4"/>
      <c r="L74" s="4"/>
    </row>
    <row r="75">
      <c r="A75" s="4"/>
      <c r="B75" s="4"/>
      <c r="C75" s="4"/>
      <c r="D75" s="4"/>
      <c r="E75" s="4"/>
      <c r="F75" s="4"/>
      <c r="G75" s="4"/>
      <c r="H75" s="4"/>
      <c r="I75" s="4"/>
      <c r="J75" s="4"/>
      <c r="K75" s="4"/>
      <c r="L75" s="4"/>
    </row>
    <row r="76">
      <c r="A76" s="4"/>
      <c r="B76" s="4"/>
      <c r="C76" s="4"/>
      <c r="D76" s="4"/>
      <c r="E76" s="4"/>
      <c r="F76" s="4"/>
      <c r="G76" s="4"/>
      <c r="H76" s="4"/>
      <c r="I76" s="4"/>
      <c r="J76" s="4"/>
      <c r="K76" s="4"/>
      <c r="L76" s="4"/>
    </row>
    <row r="77">
      <c r="A77" s="4"/>
      <c r="B77" s="4"/>
      <c r="C77" s="4"/>
      <c r="D77" s="4"/>
      <c r="E77" s="4"/>
      <c r="F77" s="4"/>
      <c r="G77" s="4"/>
      <c r="H77" s="4"/>
      <c r="I77" s="4"/>
      <c r="J77" s="4"/>
      <c r="K77" s="4"/>
      <c r="L77" s="4"/>
    </row>
    <row r="78">
      <c r="A78" s="4"/>
      <c r="B78" s="4"/>
      <c r="C78" s="4"/>
      <c r="D78" s="4"/>
      <c r="E78" s="4"/>
      <c r="F78" s="4"/>
      <c r="G78" s="4"/>
      <c r="H78" s="4"/>
      <c r="I78" s="4"/>
      <c r="J78" s="4"/>
      <c r="K78" s="4"/>
      <c r="L78" s="4"/>
    </row>
    <row r="79">
      <c r="A79" s="4"/>
      <c r="B79" s="4"/>
      <c r="C79" s="4"/>
      <c r="D79" s="4"/>
      <c r="E79" s="4"/>
      <c r="F79" s="4"/>
      <c r="G79" s="4"/>
      <c r="H79" s="4"/>
      <c r="I79" s="4"/>
      <c r="J79" s="4"/>
      <c r="K79" s="4"/>
      <c r="L79" s="4"/>
    </row>
    <row r="80">
      <c r="A80" s="4"/>
      <c r="B80" s="4"/>
      <c r="C80" s="4"/>
      <c r="D80" s="4"/>
      <c r="E80" s="4"/>
      <c r="F80" s="4"/>
      <c r="G80" s="4"/>
      <c r="H80" s="4"/>
      <c r="I80" s="4"/>
      <c r="J80" s="4"/>
      <c r="K80" s="4"/>
      <c r="L80" s="4"/>
    </row>
    <row r="81">
      <c r="A81" s="4"/>
      <c r="B81" s="4"/>
      <c r="C81" s="4"/>
      <c r="D81" s="4"/>
      <c r="E81" s="4"/>
      <c r="F81" s="4"/>
      <c r="G81" s="4"/>
      <c r="H81" s="4"/>
      <c r="I81" s="4"/>
      <c r="J81" s="4"/>
      <c r="K81" s="4"/>
      <c r="L81" s="4"/>
    </row>
    <row r="82">
      <c r="A82" s="4"/>
      <c r="B82" s="4"/>
      <c r="C82" s="4"/>
      <c r="D82" s="4"/>
      <c r="E82" s="4"/>
      <c r="F82" s="4"/>
      <c r="G82" s="4"/>
      <c r="H82" s="4"/>
      <c r="I82" s="4"/>
      <c r="J82" s="4"/>
      <c r="K82" s="4"/>
      <c r="L82" s="4"/>
    </row>
    <row r="83">
      <c r="A83" s="4"/>
      <c r="B83" s="4"/>
      <c r="C83" s="4"/>
      <c r="D83" s="4"/>
      <c r="E83" s="4"/>
      <c r="F83" s="4"/>
      <c r="G83" s="4"/>
      <c r="H83" s="4"/>
      <c r="I83" s="4"/>
      <c r="J83" s="4"/>
      <c r="K83" s="4"/>
      <c r="L83" s="4"/>
    </row>
    <row r="84">
      <c r="A84" s="4"/>
      <c r="B84" s="4"/>
      <c r="C84" s="4"/>
      <c r="D84" s="4"/>
      <c r="E84" s="4"/>
      <c r="F84" s="4"/>
      <c r="G84" s="4"/>
      <c r="H84" s="4"/>
      <c r="I84" s="4"/>
      <c r="J84" s="4"/>
      <c r="K84" s="4"/>
      <c r="L84" s="4"/>
    </row>
    <row r="85">
      <c r="A85" s="4"/>
      <c r="B85" s="4"/>
      <c r="C85" s="4"/>
      <c r="D85" s="4"/>
      <c r="E85" s="4"/>
      <c r="F85" s="4"/>
      <c r="G85" s="4"/>
      <c r="H85" s="4"/>
      <c r="I85" s="4"/>
      <c r="J85" s="4"/>
      <c r="K85" s="4"/>
      <c r="L85" s="4"/>
    </row>
    <row r="86">
      <c r="A86" s="4"/>
      <c r="B86" s="4"/>
      <c r="C86" s="4"/>
      <c r="D86" s="4"/>
      <c r="E86" s="4"/>
      <c r="F86" s="4"/>
      <c r="G86" s="4"/>
      <c r="H86" s="4"/>
      <c r="I86" s="4"/>
      <c r="J86" s="4"/>
      <c r="K86" s="4"/>
      <c r="L86" s="4"/>
    </row>
    <row r="87">
      <c r="A87" s="4"/>
      <c r="B87" s="4"/>
      <c r="C87" s="4"/>
      <c r="D87" s="4"/>
      <c r="E87" s="4"/>
      <c r="F87" s="4"/>
      <c r="G87" s="4"/>
      <c r="H87" s="4"/>
      <c r="I87" s="4"/>
      <c r="J87" s="4"/>
      <c r="K87" s="4"/>
      <c r="L87" s="4"/>
    </row>
    <row r="88">
      <c r="A88" s="4"/>
      <c r="B88" s="4"/>
      <c r="C88" s="4"/>
      <c r="D88" s="4"/>
      <c r="E88" s="4"/>
      <c r="F88" s="4"/>
      <c r="G88" s="4"/>
      <c r="H88" s="4"/>
      <c r="I88" s="4"/>
      <c r="J88" s="4"/>
      <c r="K88" s="4"/>
      <c r="L88" s="4"/>
    </row>
    <row r="89">
      <c r="A89" s="4"/>
      <c r="B89" s="4"/>
      <c r="C89" s="4"/>
      <c r="D89" s="4"/>
      <c r="E89" s="4"/>
      <c r="F89" s="4"/>
      <c r="G89" s="4"/>
      <c r="H89" s="4"/>
      <c r="I89" s="4"/>
      <c r="J89" s="4"/>
      <c r="K89" s="4"/>
      <c r="L89" s="4"/>
    </row>
    <row r="90">
      <c r="A90" s="4"/>
      <c r="B90" s="4"/>
      <c r="C90" s="4"/>
      <c r="D90" s="4"/>
      <c r="E90" s="4"/>
      <c r="F90" s="4"/>
      <c r="G90" s="4"/>
      <c r="H90" s="4"/>
      <c r="I90" s="4"/>
      <c r="J90" s="4"/>
      <c r="K90" s="4"/>
      <c r="L90" s="4"/>
    </row>
    <row r="91">
      <c r="A91" s="4"/>
      <c r="B91" s="4"/>
      <c r="C91" s="4"/>
      <c r="D91" s="4"/>
      <c r="E91" s="4"/>
      <c r="F91" s="4"/>
      <c r="G91" s="4"/>
      <c r="H91" s="4"/>
      <c r="I91" s="4"/>
      <c r="J91" s="4"/>
      <c r="K91" s="4"/>
      <c r="L91" s="4"/>
    </row>
    <row r="92">
      <c r="A92" s="4"/>
      <c r="B92" s="4"/>
      <c r="C92" s="4"/>
      <c r="D92" s="4"/>
      <c r="E92" s="4"/>
      <c r="F92" s="4"/>
      <c r="G92" s="4"/>
      <c r="H92" s="4"/>
      <c r="I92" s="4"/>
      <c r="J92" s="4"/>
      <c r="K92" s="4"/>
      <c r="L92" s="4"/>
    </row>
    <row r="93">
      <c r="A93" s="4"/>
      <c r="B93" s="4"/>
      <c r="C93" s="4"/>
      <c r="D93" s="4"/>
      <c r="E93" s="4"/>
      <c r="F93" s="4"/>
      <c r="G93" s="4"/>
      <c r="H93" s="4"/>
      <c r="I93" s="4"/>
      <c r="J93" s="4"/>
      <c r="K93" s="4"/>
      <c r="L93" s="4"/>
    </row>
    <row r="94">
      <c r="A94" s="4"/>
      <c r="B94" s="4"/>
      <c r="C94" s="4"/>
      <c r="D94" s="4"/>
      <c r="E94" s="4"/>
      <c r="F94" s="4"/>
      <c r="G94" s="4"/>
      <c r="H94" s="4"/>
      <c r="I94" s="4"/>
      <c r="J94" s="4"/>
      <c r="K94" s="4"/>
      <c r="L94" s="4"/>
    </row>
    <row r="95">
      <c r="A95" s="4"/>
      <c r="B95" s="4"/>
      <c r="C95" s="4"/>
      <c r="D95" s="4"/>
      <c r="E95" s="4"/>
      <c r="F95" s="4"/>
      <c r="G95" s="4"/>
      <c r="H95" s="4"/>
      <c r="I95" s="4"/>
      <c r="J95" s="4"/>
      <c r="K95" s="4"/>
      <c r="L95" s="4"/>
    </row>
    <row r="96">
      <c r="A96" s="4"/>
      <c r="B96" s="4"/>
      <c r="C96" s="4"/>
      <c r="D96" s="4"/>
      <c r="E96" s="4"/>
      <c r="F96" s="4"/>
      <c r="G96" s="4"/>
      <c r="H96" s="4"/>
      <c r="I96" s="4"/>
      <c r="J96" s="4"/>
      <c r="K96" s="4"/>
      <c r="L96" s="4"/>
    </row>
    <row r="97">
      <c r="A97" s="4"/>
      <c r="B97" s="4"/>
      <c r="C97" s="4"/>
      <c r="D97" s="4"/>
      <c r="E97" s="4"/>
      <c r="F97" s="4"/>
      <c r="G97" s="4"/>
      <c r="H97" s="4"/>
      <c r="I97" s="4"/>
      <c r="J97" s="4"/>
      <c r="K97" s="4"/>
      <c r="L97" s="4"/>
    </row>
    <row r="98">
      <c r="A98" s="4"/>
      <c r="B98" s="4"/>
      <c r="C98" s="4"/>
      <c r="D98" s="4"/>
      <c r="E98" s="4"/>
      <c r="F98" s="4"/>
      <c r="G98" s="4"/>
      <c r="H98" s="4"/>
      <c r="I98" s="4"/>
      <c r="J98" s="4"/>
      <c r="K98" s="4"/>
      <c r="L98" s="4"/>
    </row>
    <row r="99">
      <c r="A99" s="4"/>
      <c r="B99" s="4"/>
      <c r="C99" s="4"/>
      <c r="D99" s="4"/>
      <c r="E99" s="4"/>
      <c r="F99" s="4"/>
      <c r="G99" s="4"/>
      <c r="H99" s="4"/>
      <c r="I99" s="4"/>
      <c r="J99" s="4"/>
      <c r="K99" s="4"/>
      <c r="L99" s="4"/>
    </row>
    <row r="100">
      <c r="A100" s="4"/>
      <c r="B100" s="4"/>
      <c r="C100" s="4"/>
      <c r="D100" s="4"/>
      <c r="E100" s="4"/>
      <c r="F100" s="4"/>
      <c r="G100" s="4"/>
      <c r="H100" s="4"/>
      <c r="I100" s="4"/>
      <c r="J100" s="4"/>
      <c r="K100" s="4"/>
      <c r="L100" s="4"/>
    </row>
    <row r="101">
      <c r="A101" s="4"/>
      <c r="B101" s="4"/>
      <c r="C101" s="4"/>
      <c r="D101" s="4"/>
      <c r="E101" s="4"/>
      <c r="F101" s="4"/>
      <c r="G101" s="4"/>
      <c r="H101" s="4"/>
      <c r="I101" s="4"/>
      <c r="J101" s="4"/>
      <c r="K101" s="4"/>
      <c r="L101" s="4"/>
    </row>
    <row r="102">
      <c r="A102" s="4"/>
      <c r="B102" s="4"/>
      <c r="C102" s="4"/>
      <c r="D102" s="4"/>
      <c r="E102" s="4"/>
      <c r="F102" s="4"/>
      <c r="G102" s="4"/>
      <c r="H102" s="4"/>
      <c r="I102" s="4"/>
      <c r="J102" s="4"/>
      <c r="K102" s="4"/>
      <c r="L102" s="4"/>
    </row>
    <row r="103">
      <c r="A103" s="4"/>
      <c r="B103" s="4"/>
      <c r="C103" s="4"/>
      <c r="D103" s="4"/>
      <c r="E103" s="4"/>
      <c r="F103" s="4"/>
      <c r="G103" s="4"/>
      <c r="H103" s="4"/>
      <c r="I103" s="4"/>
      <c r="J103" s="4"/>
      <c r="K103" s="4"/>
      <c r="L103" s="4"/>
    </row>
    <row r="104">
      <c r="A104" s="4"/>
      <c r="B104" s="4"/>
      <c r="C104" s="4"/>
      <c r="D104" s="4"/>
      <c r="E104" s="4"/>
      <c r="F104" s="4"/>
      <c r="G104" s="4"/>
      <c r="H104" s="4"/>
      <c r="I104" s="4"/>
      <c r="J104" s="4"/>
      <c r="K104" s="4"/>
      <c r="L104" s="4"/>
    </row>
    <row r="105">
      <c r="A105" s="4"/>
      <c r="B105" s="4"/>
      <c r="C105" s="4"/>
      <c r="D105" s="4"/>
      <c r="E105" s="4"/>
      <c r="F105" s="4"/>
      <c r="G105" s="4"/>
      <c r="H105" s="4"/>
      <c r="I105" s="4"/>
      <c r="J105" s="4"/>
      <c r="K105" s="4"/>
      <c r="L105" s="4"/>
    </row>
    <row r="106">
      <c r="A106" s="4"/>
      <c r="B106" s="4"/>
      <c r="C106" s="4"/>
      <c r="D106" s="4"/>
      <c r="E106" s="4"/>
      <c r="F106" s="4"/>
      <c r="G106" s="4"/>
      <c r="H106" s="4"/>
      <c r="I106" s="4"/>
      <c r="J106" s="4"/>
      <c r="K106" s="4"/>
      <c r="L106" s="4"/>
    </row>
    <row r="107">
      <c r="A107" s="4"/>
      <c r="B107" s="4"/>
      <c r="C107" s="4"/>
      <c r="D107" s="4"/>
      <c r="E107" s="4"/>
      <c r="F107" s="4"/>
      <c r="G107" s="4"/>
      <c r="H107" s="4"/>
      <c r="I107" s="4"/>
      <c r="J107" s="4"/>
      <c r="K107" s="4"/>
      <c r="L107" s="4"/>
    </row>
    <row r="108">
      <c r="A108" s="4"/>
      <c r="B108" s="4"/>
      <c r="C108" s="4"/>
      <c r="D108" s="4"/>
      <c r="E108" s="4"/>
      <c r="F108" s="4"/>
      <c r="G108" s="4"/>
      <c r="H108" s="4"/>
      <c r="I108" s="4"/>
      <c r="J108" s="4"/>
      <c r="K108" s="4"/>
      <c r="L108" s="4"/>
    </row>
    <row r="109">
      <c r="A109" s="4"/>
      <c r="B109" s="4"/>
      <c r="C109" s="4"/>
      <c r="D109" s="4"/>
      <c r="E109" s="4"/>
      <c r="F109" s="4"/>
      <c r="G109" s="4"/>
      <c r="H109" s="4"/>
      <c r="I109" s="4"/>
      <c r="J109" s="4"/>
      <c r="K109" s="4"/>
      <c r="L109" s="4"/>
    </row>
    <row r="110">
      <c r="A110" s="4"/>
      <c r="B110" s="4"/>
      <c r="C110" s="4"/>
      <c r="D110" s="4"/>
      <c r="E110" s="4"/>
      <c r="F110" s="4"/>
      <c r="G110" s="4"/>
      <c r="H110" s="4"/>
      <c r="I110" s="4"/>
      <c r="J110" s="4"/>
      <c r="K110" s="4"/>
      <c r="L110" s="4"/>
    </row>
    <row r="111">
      <c r="A111" s="4"/>
      <c r="B111" s="4"/>
      <c r="C111" s="4"/>
      <c r="D111" s="4"/>
      <c r="E111" s="4"/>
      <c r="F111" s="4"/>
      <c r="G111" s="4"/>
      <c r="H111" s="4"/>
      <c r="I111" s="4"/>
      <c r="J111" s="4"/>
      <c r="K111" s="4"/>
      <c r="L111" s="4"/>
    </row>
    <row r="112">
      <c r="A112" s="4"/>
      <c r="B112" s="4"/>
      <c r="C112" s="4"/>
      <c r="D112" s="4"/>
      <c r="E112" s="4"/>
      <c r="F112" s="4"/>
      <c r="G112" s="4"/>
      <c r="H112" s="4"/>
      <c r="I112" s="4"/>
      <c r="J112" s="4"/>
      <c r="K112" s="4"/>
      <c r="L112" s="4"/>
    </row>
    <row r="113">
      <c r="A113" s="4"/>
      <c r="B113" s="4"/>
      <c r="C113" s="4"/>
      <c r="D113" s="4"/>
      <c r="E113" s="4"/>
      <c r="F113" s="4"/>
      <c r="G113" s="4"/>
      <c r="H113" s="4"/>
      <c r="I113" s="4"/>
      <c r="J113" s="4"/>
      <c r="K113" s="4"/>
      <c r="L113" s="4"/>
    </row>
    <row r="114">
      <c r="A114" s="4"/>
      <c r="B114" s="4"/>
      <c r="C114" s="4"/>
      <c r="D114" s="4"/>
      <c r="E114" s="4"/>
      <c r="F114" s="4"/>
      <c r="G114" s="4"/>
      <c r="H114" s="4"/>
      <c r="I114" s="4"/>
      <c r="J114" s="4"/>
      <c r="K114" s="4"/>
      <c r="L114" s="4"/>
    </row>
    <row r="115">
      <c r="A115" s="4"/>
      <c r="B115" s="4"/>
      <c r="C115" s="4"/>
      <c r="D115" s="4"/>
      <c r="E115" s="4"/>
      <c r="F115" s="4"/>
      <c r="G115" s="4"/>
      <c r="H115" s="4"/>
      <c r="I115" s="4"/>
      <c r="J115" s="4"/>
      <c r="K115" s="4"/>
      <c r="L115" s="4"/>
    </row>
    <row r="116">
      <c r="A116" s="4"/>
      <c r="B116" s="4"/>
      <c r="C116" s="4"/>
      <c r="D116" s="4"/>
      <c r="E116" s="4"/>
      <c r="F116" s="4"/>
      <c r="G116" s="4"/>
      <c r="H116" s="4"/>
      <c r="I116" s="4"/>
      <c r="J116" s="4"/>
      <c r="K116" s="4"/>
      <c r="L116" s="4"/>
    </row>
    <row r="117">
      <c r="A117" s="4"/>
      <c r="B117" s="4"/>
      <c r="C117" s="4"/>
      <c r="D117" s="4"/>
      <c r="E117" s="4"/>
      <c r="F117" s="4"/>
      <c r="G117" s="4"/>
      <c r="H117" s="4"/>
      <c r="I117" s="4"/>
      <c r="J117" s="4"/>
      <c r="K117" s="4"/>
      <c r="L117" s="4"/>
    </row>
    <row r="118">
      <c r="A118" s="4"/>
      <c r="B118" s="4"/>
      <c r="C118" s="4"/>
      <c r="D118" s="4"/>
      <c r="E118" s="4"/>
      <c r="F118" s="4"/>
      <c r="G118" s="4"/>
      <c r="H118" s="4"/>
      <c r="I118" s="4"/>
      <c r="J118" s="4"/>
      <c r="K118" s="4"/>
      <c r="L118" s="4"/>
    </row>
    <row r="119">
      <c r="A119" s="4"/>
      <c r="B119" s="4"/>
      <c r="C119" s="4"/>
      <c r="D119" s="4"/>
      <c r="E119" s="4"/>
      <c r="F119" s="4"/>
      <c r="G119" s="4"/>
      <c r="H119" s="4"/>
      <c r="I119" s="4"/>
      <c r="J119" s="4"/>
      <c r="K119" s="4"/>
      <c r="L119" s="4"/>
    </row>
    <row r="120">
      <c r="A120" s="4"/>
      <c r="B120" s="4"/>
      <c r="C120" s="4"/>
      <c r="D120" s="4"/>
      <c r="E120" s="4"/>
      <c r="F120" s="4"/>
      <c r="G120" s="4"/>
      <c r="H120" s="4"/>
      <c r="I120" s="4"/>
      <c r="J120" s="4"/>
      <c r="K120" s="4"/>
      <c r="L120" s="4"/>
    </row>
    <row r="121">
      <c r="A121" s="4"/>
      <c r="B121" s="4"/>
      <c r="C121" s="4"/>
      <c r="D121" s="4"/>
      <c r="E121" s="4"/>
      <c r="F121" s="4"/>
      <c r="G121" s="4"/>
      <c r="H121" s="4"/>
      <c r="I121" s="4"/>
      <c r="J121" s="4"/>
      <c r="K121" s="4"/>
      <c r="L121" s="4"/>
    </row>
    <row r="122">
      <c r="A122" s="4"/>
      <c r="B122" s="4"/>
      <c r="C122" s="4"/>
      <c r="D122" s="4"/>
      <c r="E122" s="4"/>
      <c r="F122" s="4"/>
      <c r="G122" s="4"/>
      <c r="H122" s="4"/>
      <c r="I122" s="4"/>
      <c r="J122" s="4"/>
      <c r="K122" s="4"/>
      <c r="L122" s="4"/>
    </row>
    <row r="123">
      <c r="A123" s="4"/>
      <c r="B123" s="4"/>
      <c r="C123" s="4"/>
      <c r="D123" s="4"/>
      <c r="E123" s="4"/>
      <c r="F123" s="4"/>
      <c r="G123" s="4"/>
      <c r="H123" s="4"/>
      <c r="I123" s="4"/>
      <c r="J123" s="4"/>
      <c r="K123" s="4"/>
      <c r="L123" s="4"/>
    </row>
    <row r="124">
      <c r="A124" s="4"/>
      <c r="B124" s="4"/>
      <c r="C124" s="4"/>
      <c r="D124" s="4"/>
      <c r="E124" s="4"/>
      <c r="F124" s="4"/>
      <c r="G124" s="4"/>
      <c r="H124" s="4"/>
      <c r="I124" s="4"/>
      <c r="J124" s="4"/>
      <c r="K124" s="4"/>
      <c r="L124" s="4"/>
    </row>
    <row r="125">
      <c r="A125" s="4"/>
      <c r="B125" s="4"/>
      <c r="C125" s="4"/>
      <c r="D125" s="4"/>
      <c r="E125" s="4"/>
      <c r="F125" s="4"/>
      <c r="G125" s="4"/>
      <c r="H125" s="4"/>
      <c r="I125" s="4"/>
      <c r="J125" s="4"/>
      <c r="K125" s="4"/>
      <c r="L125" s="4"/>
    </row>
    <row r="126">
      <c r="A126" s="4"/>
      <c r="B126" s="4"/>
      <c r="C126" s="4"/>
      <c r="D126" s="4"/>
      <c r="E126" s="4"/>
      <c r="F126" s="4"/>
      <c r="G126" s="4"/>
      <c r="H126" s="4"/>
      <c r="I126" s="4"/>
      <c r="J126" s="4"/>
      <c r="K126" s="4"/>
      <c r="L126" s="4"/>
    </row>
    <row r="127">
      <c r="A127" s="4"/>
      <c r="B127" s="4"/>
      <c r="C127" s="4"/>
      <c r="D127" s="4"/>
      <c r="E127" s="4"/>
      <c r="F127" s="4"/>
      <c r="G127" s="4"/>
      <c r="H127" s="4"/>
      <c r="I127" s="4"/>
      <c r="J127" s="4"/>
      <c r="K127" s="4"/>
      <c r="L127" s="4"/>
    </row>
    <row r="128">
      <c r="A128" s="4"/>
      <c r="B128" s="4"/>
      <c r="C128" s="4"/>
      <c r="D128" s="4"/>
      <c r="E128" s="4"/>
      <c r="F128" s="4"/>
      <c r="G128" s="4"/>
      <c r="H128" s="4"/>
      <c r="I128" s="4"/>
      <c r="J128" s="4"/>
      <c r="K128" s="4"/>
      <c r="L128" s="4"/>
    </row>
    <row r="129">
      <c r="A129" s="4"/>
      <c r="B129" s="4"/>
      <c r="C129" s="4"/>
      <c r="D129" s="4"/>
      <c r="E129" s="4"/>
      <c r="F129" s="4"/>
      <c r="G129" s="4"/>
      <c r="H129" s="4"/>
      <c r="I129" s="4"/>
      <c r="J129" s="4"/>
      <c r="K129" s="4"/>
      <c r="L129" s="4"/>
    </row>
    <row r="130">
      <c r="A130" s="4"/>
      <c r="B130" s="4"/>
      <c r="C130" s="4"/>
      <c r="D130" s="4"/>
      <c r="E130" s="4"/>
      <c r="F130" s="4"/>
      <c r="G130" s="4"/>
      <c r="H130" s="4"/>
      <c r="I130" s="4"/>
      <c r="J130" s="4"/>
      <c r="K130" s="4"/>
      <c r="L130" s="4"/>
    </row>
    <row r="131">
      <c r="A131" s="4"/>
      <c r="B131" s="4"/>
      <c r="C131" s="4"/>
      <c r="D131" s="4"/>
      <c r="E131" s="4"/>
      <c r="F131" s="4"/>
      <c r="G131" s="4"/>
      <c r="H131" s="4"/>
      <c r="I131" s="4"/>
      <c r="J131" s="4"/>
      <c r="K131" s="4"/>
      <c r="L131" s="4"/>
    </row>
    <row r="132">
      <c r="A132" s="4"/>
      <c r="B132" s="4"/>
      <c r="C132" s="4"/>
      <c r="D132" s="4"/>
      <c r="E132" s="4"/>
      <c r="F132" s="4"/>
      <c r="G132" s="4"/>
      <c r="H132" s="4"/>
      <c r="I132" s="4"/>
      <c r="J132" s="4"/>
      <c r="K132" s="4"/>
      <c r="L132" s="4"/>
    </row>
    <row r="133">
      <c r="A133" s="4"/>
      <c r="B133" s="4"/>
      <c r="C133" s="4"/>
      <c r="D133" s="4"/>
      <c r="E133" s="4"/>
      <c r="F133" s="4"/>
      <c r="G133" s="4"/>
      <c r="H133" s="4"/>
      <c r="I133" s="4"/>
      <c r="J133" s="4"/>
      <c r="K133" s="4"/>
      <c r="L133" s="4"/>
    </row>
    <row r="134">
      <c r="A134" s="4"/>
      <c r="B134" s="4"/>
      <c r="C134" s="4"/>
      <c r="D134" s="4"/>
      <c r="E134" s="4"/>
      <c r="F134" s="4"/>
      <c r="G134" s="4"/>
      <c r="H134" s="4"/>
      <c r="I134" s="4"/>
      <c r="J134" s="4"/>
      <c r="K134" s="4"/>
      <c r="L134" s="4"/>
    </row>
    <row r="135">
      <c r="A135" s="4"/>
      <c r="B135" s="4"/>
      <c r="C135" s="4"/>
      <c r="D135" s="4"/>
      <c r="E135" s="4"/>
      <c r="F135" s="4"/>
      <c r="G135" s="4"/>
      <c r="H135" s="4"/>
      <c r="I135" s="4"/>
      <c r="J135" s="4"/>
      <c r="K135" s="4"/>
      <c r="L135" s="4"/>
    </row>
    <row r="136">
      <c r="A136" s="4"/>
      <c r="B136" s="4"/>
      <c r="C136" s="4"/>
      <c r="D136" s="4"/>
      <c r="E136" s="4"/>
      <c r="F136" s="4"/>
      <c r="G136" s="4"/>
      <c r="H136" s="4"/>
      <c r="I136" s="4"/>
      <c r="J136" s="4"/>
      <c r="K136" s="4"/>
      <c r="L136" s="4"/>
    </row>
    <row r="137">
      <c r="A137" s="4"/>
      <c r="B137" s="4"/>
      <c r="C137" s="4"/>
      <c r="D137" s="4"/>
      <c r="E137" s="4"/>
      <c r="F137" s="4"/>
      <c r="G137" s="4"/>
      <c r="H137" s="4"/>
      <c r="I137" s="4"/>
      <c r="J137" s="4"/>
      <c r="K137" s="4"/>
      <c r="L137" s="4"/>
    </row>
    <row r="138">
      <c r="A138" s="4"/>
      <c r="B138" s="4"/>
      <c r="C138" s="4"/>
      <c r="D138" s="4"/>
      <c r="E138" s="4"/>
      <c r="F138" s="4"/>
      <c r="G138" s="4"/>
      <c r="H138" s="4"/>
      <c r="I138" s="4"/>
      <c r="J138" s="4"/>
      <c r="K138" s="4"/>
      <c r="L138" s="4"/>
    </row>
    <row r="139">
      <c r="A139" s="4"/>
      <c r="B139" s="4"/>
      <c r="C139" s="4"/>
      <c r="D139" s="4"/>
      <c r="E139" s="4"/>
      <c r="F139" s="4"/>
      <c r="G139" s="4"/>
      <c r="H139" s="4"/>
      <c r="I139" s="4"/>
      <c r="J139" s="4"/>
      <c r="K139" s="4"/>
      <c r="L139" s="4"/>
    </row>
    <row r="140">
      <c r="A140" s="4"/>
      <c r="B140" s="4"/>
      <c r="C140" s="4"/>
      <c r="D140" s="4"/>
      <c r="E140" s="4"/>
      <c r="F140" s="4"/>
      <c r="G140" s="4"/>
      <c r="H140" s="4"/>
      <c r="I140" s="4"/>
      <c r="J140" s="4"/>
      <c r="K140" s="4"/>
      <c r="L140" s="4"/>
    </row>
  </sheetData>
  <mergeCells count="50">
    <mergeCell ref="A1:E1"/>
    <mergeCell ref="A2:E2"/>
    <mergeCell ref="A3:E3"/>
    <mergeCell ref="A4:E4"/>
    <mergeCell ref="A5:E5"/>
    <mergeCell ref="A6:E6"/>
    <mergeCell ref="A7:E7"/>
    <mergeCell ref="A8:E8"/>
    <mergeCell ref="A10:E10"/>
    <mergeCell ref="A11:E11"/>
    <mergeCell ref="A13:C13"/>
    <mergeCell ref="D13:E13"/>
    <mergeCell ref="A14:C14"/>
    <mergeCell ref="D14:E14"/>
    <mergeCell ref="A15:C15"/>
    <mergeCell ref="D15:E15"/>
    <mergeCell ref="A16:C16"/>
    <mergeCell ref="D16:E16"/>
    <mergeCell ref="A17:C17"/>
    <mergeCell ref="D17:E17"/>
    <mergeCell ref="D18:E18"/>
    <mergeCell ref="A18:C18"/>
    <mergeCell ref="A19:C19"/>
    <mergeCell ref="D19:E19"/>
    <mergeCell ref="A20:C20"/>
    <mergeCell ref="D20:E20"/>
    <mergeCell ref="A21:C21"/>
    <mergeCell ref="D21:E21"/>
    <mergeCell ref="A22:E22"/>
    <mergeCell ref="A23:E23"/>
    <mergeCell ref="A24:C24"/>
    <mergeCell ref="D24:E24"/>
    <mergeCell ref="A25:E25"/>
    <mergeCell ref="A26:E26"/>
    <mergeCell ref="A27:E27"/>
    <mergeCell ref="A43:C43"/>
    <mergeCell ref="D43:E43"/>
    <mergeCell ref="A44:E44"/>
    <mergeCell ref="A45:C45"/>
    <mergeCell ref="D45:E45"/>
    <mergeCell ref="A47:E47"/>
    <mergeCell ref="A48:C48"/>
    <mergeCell ref="D48:E48"/>
    <mergeCell ref="A28:E28"/>
    <mergeCell ref="A29:E29"/>
    <mergeCell ref="A40:E40"/>
    <mergeCell ref="A41:C41"/>
    <mergeCell ref="D41:E41"/>
    <mergeCell ref="A42:C42"/>
    <mergeCell ref="D42:E4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50.22"/>
    <col customWidth="1" min="2" max="2" width="30.56"/>
    <col customWidth="1" min="3" max="3" width="40.89"/>
    <col customWidth="1" min="4" max="4" width="42.22"/>
  </cols>
  <sheetData>
    <row r="1" ht="23.25" customHeight="1">
      <c r="A1" s="91" t="s">
        <v>27</v>
      </c>
      <c r="B1" s="92"/>
      <c r="C1" s="92"/>
      <c r="D1" s="93"/>
      <c r="E1" s="94"/>
      <c r="F1" s="4"/>
      <c r="G1" s="4"/>
      <c r="H1" s="4"/>
      <c r="I1" s="4"/>
      <c r="J1" s="4"/>
    </row>
    <row r="2">
      <c r="A2" s="91" t="s">
        <v>104</v>
      </c>
      <c r="B2" s="38"/>
      <c r="C2" s="38"/>
      <c r="D2" s="39"/>
      <c r="E2" s="95"/>
      <c r="F2" s="4"/>
      <c r="G2" s="4"/>
      <c r="H2" s="4"/>
      <c r="I2" s="4"/>
      <c r="J2" s="4"/>
    </row>
    <row r="3">
      <c r="A3" s="96"/>
      <c r="B3" s="6"/>
      <c r="C3" s="6"/>
      <c r="D3" s="6"/>
      <c r="E3" s="85"/>
      <c r="F3" s="4"/>
      <c r="G3" s="4"/>
      <c r="H3" s="4"/>
      <c r="I3" s="4"/>
      <c r="J3" s="4"/>
    </row>
    <row r="4">
      <c r="A4" s="97" t="s">
        <v>105</v>
      </c>
      <c r="B4" s="17"/>
      <c r="C4" s="17"/>
      <c r="D4" s="19"/>
      <c r="E4" s="85"/>
      <c r="F4" s="4"/>
      <c r="G4" s="4"/>
      <c r="H4" s="4"/>
      <c r="I4" s="4"/>
      <c r="J4" s="4"/>
    </row>
    <row r="5">
      <c r="A5" s="98" t="s">
        <v>106</v>
      </c>
      <c r="B5" s="19"/>
      <c r="C5" s="99">
        <v>43738.0</v>
      </c>
      <c r="D5" s="19"/>
      <c r="E5" s="85"/>
      <c r="F5" s="4"/>
      <c r="G5" s="4"/>
      <c r="H5" s="4"/>
      <c r="I5" s="4"/>
      <c r="J5" s="4"/>
    </row>
    <row r="6">
      <c r="A6" s="98" t="s">
        <v>107</v>
      </c>
      <c r="B6" s="19"/>
      <c r="C6" s="100">
        <v>43742.0</v>
      </c>
      <c r="D6" s="19"/>
      <c r="E6" s="85"/>
      <c r="F6" s="4"/>
      <c r="G6" s="4"/>
      <c r="H6" s="4"/>
      <c r="I6" s="4"/>
      <c r="J6" s="4"/>
    </row>
    <row r="7">
      <c r="A7" s="98" t="s">
        <v>108</v>
      </c>
      <c r="B7" s="19"/>
      <c r="C7" s="99">
        <v>43749.0</v>
      </c>
      <c r="D7" s="19"/>
      <c r="E7" s="85"/>
      <c r="F7" s="4"/>
      <c r="G7" s="4"/>
      <c r="H7" s="4"/>
      <c r="I7" s="4"/>
      <c r="J7" s="4"/>
    </row>
    <row r="8">
      <c r="A8" s="98" t="s">
        <v>109</v>
      </c>
      <c r="B8" s="19"/>
      <c r="C8" s="99">
        <v>43753.0</v>
      </c>
      <c r="D8" s="19"/>
      <c r="E8" s="85"/>
      <c r="F8" s="4"/>
      <c r="G8" s="4"/>
      <c r="H8" s="4"/>
      <c r="I8" s="4"/>
      <c r="J8" s="4"/>
    </row>
    <row r="9">
      <c r="A9" s="101"/>
      <c r="E9" s="85"/>
      <c r="F9" s="4"/>
      <c r="G9" s="4"/>
      <c r="H9" s="4"/>
      <c r="I9" s="4"/>
      <c r="J9" s="4"/>
    </row>
    <row r="10" ht="22.5" customHeight="1">
      <c r="A10" s="97" t="s">
        <v>110</v>
      </c>
      <c r="B10" s="17"/>
      <c r="C10" s="17"/>
      <c r="D10" s="19"/>
      <c r="E10" s="85"/>
      <c r="F10" s="4"/>
      <c r="G10" s="4"/>
      <c r="H10" s="4"/>
      <c r="I10" s="4"/>
      <c r="J10" s="4"/>
    </row>
    <row r="11">
      <c r="A11" s="98" t="s">
        <v>111</v>
      </c>
      <c r="B11" s="19"/>
      <c r="C11" s="98">
        <v>60.0</v>
      </c>
      <c r="D11" s="19"/>
      <c r="E11" s="85"/>
      <c r="F11" s="4"/>
      <c r="G11" s="4"/>
      <c r="H11" s="4"/>
      <c r="I11" s="4"/>
      <c r="J11" s="4"/>
    </row>
    <row r="12">
      <c r="A12" s="98" t="s">
        <v>112</v>
      </c>
      <c r="B12" s="19"/>
      <c r="C12" s="98" t="s">
        <v>113</v>
      </c>
      <c r="D12" s="19"/>
      <c r="E12" s="85"/>
      <c r="F12" s="4"/>
      <c r="G12" s="4"/>
      <c r="H12" s="4"/>
      <c r="I12" s="4"/>
      <c r="J12" s="4"/>
    </row>
    <row r="13">
      <c r="A13" s="98" t="s">
        <v>114</v>
      </c>
      <c r="B13" s="19"/>
      <c r="C13" s="98">
        <v>60.35</v>
      </c>
      <c r="D13" s="19"/>
      <c r="E13" s="85"/>
      <c r="F13" s="4"/>
      <c r="G13" s="4"/>
      <c r="H13" s="4"/>
      <c r="I13" s="4"/>
      <c r="J13" s="4"/>
    </row>
    <row r="14">
      <c r="A14" s="98" t="s">
        <v>115</v>
      </c>
      <c r="B14" s="19"/>
      <c r="C14" s="102">
        <f>ROUND((C13 - C11)/C11*100,4)</f>
        <v>0.5833</v>
      </c>
      <c r="D14" s="19"/>
      <c r="E14" s="85"/>
      <c r="F14" s="4"/>
      <c r="G14" s="4"/>
      <c r="H14" s="4"/>
      <c r="I14" s="4"/>
      <c r="J14" s="4"/>
    </row>
    <row r="15">
      <c r="A15" s="103" t="s">
        <v>116</v>
      </c>
      <c r="B15" s="17"/>
      <c r="C15" s="17"/>
      <c r="D15" s="19"/>
      <c r="E15" s="85"/>
      <c r="F15" s="4"/>
      <c r="G15" s="4"/>
      <c r="H15" s="4"/>
      <c r="I15" s="4"/>
      <c r="J15" s="4"/>
    </row>
    <row r="16">
      <c r="A16" s="101"/>
      <c r="B16" s="101"/>
      <c r="C16" s="101"/>
      <c r="D16" s="101"/>
      <c r="E16" s="85"/>
      <c r="F16" s="4"/>
      <c r="G16" s="4"/>
      <c r="H16" s="4"/>
      <c r="I16" s="4"/>
      <c r="J16" s="4"/>
    </row>
    <row r="17">
      <c r="A17" s="97" t="s">
        <v>117</v>
      </c>
      <c r="B17" s="17"/>
      <c r="C17" s="17"/>
      <c r="D17" s="19"/>
      <c r="E17" s="85"/>
      <c r="F17" s="4"/>
      <c r="G17" s="4"/>
      <c r="H17" s="4"/>
      <c r="I17" s="4"/>
      <c r="J17" s="4"/>
    </row>
    <row r="18">
      <c r="A18" s="104" t="s">
        <v>118</v>
      </c>
      <c r="B18" s="105"/>
      <c r="C18" s="105"/>
      <c r="D18" s="106"/>
      <c r="E18" s="85"/>
      <c r="F18" s="4"/>
      <c r="G18" s="4"/>
      <c r="H18" s="4"/>
      <c r="I18" s="4"/>
      <c r="J18" s="4"/>
    </row>
    <row r="19">
      <c r="A19" s="103" t="s">
        <v>119</v>
      </c>
      <c r="B19" s="17"/>
      <c r="C19" s="17"/>
      <c r="D19" s="19"/>
      <c r="E19" s="4"/>
      <c r="F19" s="4"/>
      <c r="G19" s="4"/>
      <c r="H19" s="4"/>
      <c r="I19" s="4"/>
      <c r="J19" s="4"/>
    </row>
    <row r="20">
      <c r="A20" s="107"/>
      <c r="B20" s="107"/>
      <c r="C20" s="107"/>
      <c r="D20" s="107"/>
      <c r="E20" s="85"/>
      <c r="F20" s="4"/>
      <c r="G20" s="4"/>
      <c r="H20" s="4"/>
      <c r="I20" s="4"/>
      <c r="J20" s="4"/>
    </row>
    <row r="21" ht="22.5" customHeight="1">
      <c r="A21" s="97" t="s">
        <v>120</v>
      </c>
      <c r="B21" s="17"/>
      <c r="C21" s="17"/>
      <c r="D21" s="19"/>
      <c r="E21" s="85"/>
      <c r="F21" s="4"/>
      <c r="G21" s="4"/>
      <c r="H21" s="4"/>
      <c r="I21" s="4"/>
      <c r="J21" s="4"/>
    </row>
    <row r="22">
      <c r="A22" s="108"/>
      <c r="B22" s="108" t="s">
        <v>121</v>
      </c>
      <c r="C22" s="108" t="s">
        <v>122</v>
      </c>
      <c r="D22" s="108" t="s">
        <v>123</v>
      </c>
      <c r="E22" s="85"/>
      <c r="F22" s="4"/>
      <c r="G22" s="4"/>
      <c r="H22" s="4"/>
      <c r="I22" s="4"/>
      <c r="J22" s="4"/>
    </row>
    <row r="23">
      <c r="A23" s="108" t="s">
        <v>124</v>
      </c>
      <c r="B23" s="108">
        <v>1.0E7</v>
      </c>
      <c r="C23" s="108">
        <v>60.0</v>
      </c>
      <c r="D23" s="109">
        <f t="shared" ref="D23:D25" si="1">B23*C23</f>
        <v>600000000</v>
      </c>
      <c r="E23" s="85"/>
      <c r="F23" s="4"/>
      <c r="G23" s="4"/>
      <c r="H23" s="4"/>
      <c r="I23" s="4"/>
      <c r="J23" s="4"/>
    </row>
    <row r="24">
      <c r="A24" s="108" t="s">
        <v>125</v>
      </c>
      <c r="B24" s="108">
        <v>3000000.0</v>
      </c>
      <c r="C24" s="108">
        <v>60.0</v>
      </c>
      <c r="D24" s="109">
        <f t="shared" si="1"/>
        <v>180000000</v>
      </c>
      <c r="E24" s="85"/>
      <c r="F24" s="4"/>
      <c r="G24" s="4"/>
      <c r="H24" s="4"/>
      <c r="I24" s="4"/>
      <c r="J24" s="4"/>
    </row>
    <row r="25">
      <c r="A25" s="108" t="s">
        <v>126</v>
      </c>
      <c r="B25" s="108">
        <v>7000000.0</v>
      </c>
      <c r="C25" s="108">
        <v>60.0</v>
      </c>
      <c r="D25" s="109">
        <f t="shared" si="1"/>
        <v>420000000</v>
      </c>
      <c r="E25" s="85"/>
      <c r="F25" s="4"/>
      <c r="G25" s="4"/>
      <c r="H25" s="4"/>
      <c r="I25" s="4"/>
      <c r="J25" s="4"/>
    </row>
    <row r="26">
      <c r="A26" s="108"/>
      <c r="B26" s="108" t="s">
        <v>127</v>
      </c>
      <c r="C26" s="98" t="s">
        <v>128</v>
      </c>
      <c r="D26" s="19"/>
      <c r="E26" s="85"/>
      <c r="F26" s="4"/>
      <c r="G26" s="4"/>
      <c r="H26" s="4"/>
      <c r="I26" s="4"/>
      <c r="J26" s="4"/>
    </row>
    <row r="27">
      <c r="A27" s="101"/>
      <c r="E27" s="85"/>
      <c r="F27" s="4"/>
      <c r="G27" s="4"/>
      <c r="H27" s="4"/>
      <c r="I27" s="4"/>
      <c r="J27" s="4"/>
    </row>
    <row r="28">
      <c r="A28" s="97" t="s">
        <v>129</v>
      </c>
      <c r="B28" s="17"/>
      <c r="C28" s="17"/>
      <c r="D28" s="19"/>
      <c r="E28" s="85"/>
      <c r="F28" s="4"/>
      <c r="G28" s="4"/>
      <c r="H28" s="4"/>
      <c r="I28" s="4"/>
      <c r="J28" s="4"/>
    </row>
    <row r="29">
      <c r="A29" s="103">
        <v>1.12</v>
      </c>
      <c r="B29" s="19"/>
      <c r="C29" s="103" t="s">
        <v>130</v>
      </c>
      <c r="D29" s="19"/>
      <c r="E29" s="85"/>
      <c r="F29" s="4"/>
      <c r="G29" s="4"/>
      <c r="H29" s="4"/>
      <c r="I29" s="4"/>
      <c r="J29" s="4"/>
    </row>
    <row r="30">
      <c r="A30" s="110" t="s">
        <v>131</v>
      </c>
      <c r="B30" s="110" t="s">
        <v>132</v>
      </c>
      <c r="C30" s="110" t="s">
        <v>133</v>
      </c>
      <c r="D30" s="110" t="s">
        <v>134</v>
      </c>
      <c r="E30" s="111"/>
      <c r="F30" s="4"/>
      <c r="G30" s="4"/>
      <c r="H30" s="4"/>
      <c r="I30" s="4"/>
      <c r="J30" s="4"/>
    </row>
    <row r="31">
      <c r="A31" s="112" t="s">
        <v>135</v>
      </c>
      <c r="B31" s="112">
        <f t="shared" ref="B31:B34" si="2">D31/C31</f>
        <v>1.00008</v>
      </c>
      <c r="C31" s="112">
        <v>1000000.0</v>
      </c>
      <c r="D31" s="112">
        <v>1000080.0</v>
      </c>
      <c r="F31" s="4"/>
      <c r="G31" s="4"/>
      <c r="H31" s="4"/>
      <c r="I31" s="4"/>
      <c r="J31" s="4"/>
    </row>
    <row r="32">
      <c r="A32" s="112" t="s">
        <v>136</v>
      </c>
      <c r="B32" s="112">
        <f t="shared" si="2"/>
        <v>1.75644</v>
      </c>
      <c r="C32" s="112">
        <v>4000000.0</v>
      </c>
      <c r="D32" s="112">
        <v>7025760.0</v>
      </c>
      <c r="F32" s="4"/>
      <c r="G32" s="4"/>
      <c r="H32" s="4"/>
      <c r="I32" s="4"/>
      <c r="J32" s="4"/>
    </row>
    <row r="33">
      <c r="A33" s="112" t="s">
        <v>137</v>
      </c>
      <c r="B33" s="112">
        <f t="shared" si="2"/>
        <v>0.63576</v>
      </c>
      <c r="C33" s="112">
        <v>5000000.0</v>
      </c>
      <c r="D33" s="112">
        <v>3178800.0</v>
      </c>
      <c r="F33" s="4"/>
      <c r="G33" s="4"/>
      <c r="H33" s="4"/>
      <c r="I33" s="4"/>
      <c r="J33" s="4"/>
    </row>
    <row r="34">
      <c r="A34" s="112" t="s">
        <v>138</v>
      </c>
      <c r="B34" s="112">
        <f t="shared" si="2"/>
        <v>1.120464</v>
      </c>
      <c r="C34" s="112">
        <v>1.0E7</v>
      </c>
      <c r="D34" s="112">
        <v>1.120464E7</v>
      </c>
      <c r="F34" s="4"/>
      <c r="G34" s="4"/>
      <c r="H34" s="4"/>
      <c r="I34" s="4"/>
      <c r="J34" s="4"/>
    </row>
    <row r="35">
      <c r="A35" s="113"/>
      <c r="B35" s="113"/>
      <c r="C35" s="113"/>
      <c r="D35" s="113"/>
      <c r="E35" s="4"/>
      <c r="F35" s="4"/>
      <c r="G35" s="4"/>
      <c r="H35" s="4"/>
      <c r="I35" s="4"/>
      <c r="J35" s="4"/>
    </row>
    <row r="36">
      <c r="A36" s="97" t="s">
        <v>139</v>
      </c>
      <c r="B36" s="17"/>
      <c r="C36" s="17"/>
      <c r="D36" s="19"/>
      <c r="E36" s="85"/>
      <c r="F36" s="4"/>
      <c r="G36" s="4"/>
      <c r="H36" s="4"/>
      <c r="I36" s="4"/>
      <c r="J36" s="4"/>
    </row>
    <row r="37">
      <c r="A37" s="98" t="s">
        <v>140</v>
      </c>
      <c r="B37" s="19"/>
      <c r="C37" s="98" t="s">
        <v>141</v>
      </c>
      <c r="D37" s="19"/>
      <c r="E37" s="85"/>
      <c r="F37" s="4"/>
      <c r="G37" s="4"/>
      <c r="H37" s="4"/>
      <c r="I37" s="4"/>
      <c r="J37" s="4"/>
    </row>
    <row r="38">
      <c r="A38" s="101"/>
      <c r="E38" s="85"/>
      <c r="F38" s="4"/>
      <c r="G38" s="4"/>
      <c r="H38" s="4"/>
      <c r="I38" s="4"/>
      <c r="J38" s="4"/>
    </row>
    <row r="39">
      <c r="A39" s="97" t="s">
        <v>142</v>
      </c>
      <c r="B39" s="17"/>
      <c r="C39" s="17"/>
      <c r="D39" s="19"/>
      <c r="E39" s="85"/>
      <c r="F39" s="4"/>
      <c r="G39" s="4"/>
      <c r="H39" s="4"/>
      <c r="I39" s="4"/>
      <c r="J39" s="4"/>
    </row>
    <row r="40">
      <c r="A40" s="98"/>
      <c r="B40" s="19"/>
      <c r="C40" s="108" t="s">
        <v>143</v>
      </c>
      <c r="D40" s="108" t="s">
        <v>144</v>
      </c>
      <c r="E40" s="85"/>
      <c r="F40" s="4"/>
      <c r="G40" s="4"/>
      <c r="H40" s="4"/>
      <c r="I40" s="4"/>
      <c r="J40" s="4"/>
    </row>
    <row r="41" ht="32.25" customHeight="1">
      <c r="A41" s="98" t="s">
        <v>145</v>
      </c>
      <c r="B41" s="19"/>
      <c r="C41" s="114">
        <v>0.5422</v>
      </c>
      <c r="D41" s="114">
        <v>0.4578</v>
      </c>
      <c r="E41" s="85"/>
      <c r="F41" s="4"/>
      <c r="G41" s="4"/>
      <c r="H41" s="4"/>
      <c r="I41" s="4"/>
      <c r="J41" s="4"/>
    </row>
    <row r="42" ht="33.0" customHeight="1">
      <c r="A42" s="98" t="s">
        <v>146</v>
      </c>
      <c r="B42" s="19"/>
      <c r="C42" s="114">
        <v>0.3283</v>
      </c>
      <c r="D42" s="114">
        <v>0.6717</v>
      </c>
      <c r="E42" s="85"/>
      <c r="F42" s="4"/>
      <c r="G42" s="4"/>
      <c r="H42" s="4"/>
      <c r="I42" s="4"/>
      <c r="J42" s="4"/>
    </row>
    <row r="43">
      <c r="A43" s="107"/>
      <c r="E43" s="85"/>
      <c r="F43" s="4"/>
      <c r="G43" s="4"/>
      <c r="H43" s="4"/>
      <c r="I43" s="4"/>
      <c r="J43" s="4"/>
    </row>
    <row r="44">
      <c r="A44" s="107"/>
      <c r="E44" s="85"/>
      <c r="F44" s="4"/>
      <c r="G44" s="4"/>
      <c r="H44" s="4"/>
      <c r="I44" s="4"/>
      <c r="J44" s="4"/>
    </row>
    <row r="45">
      <c r="E45" s="85"/>
      <c r="F45" s="4"/>
      <c r="G45" s="4"/>
      <c r="H45" s="4"/>
      <c r="I45" s="4"/>
      <c r="J45" s="4"/>
    </row>
    <row r="46">
      <c r="E46" s="85"/>
      <c r="F46" s="4"/>
      <c r="G46" s="4"/>
      <c r="H46" s="4"/>
      <c r="I46" s="4"/>
      <c r="J46" s="4"/>
    </row>
    <row r="47">
      <c r="E47" s="85"/>
      <c r="F47" s="4"/>
      <c r="G47" s="4"/>
      <c r="H47" s="4"/>
      <c r="I47" s="4"/>
      <c r="J47" s="4"/>
    </row>
    <row r="48">
      <c r="E48" s="85"/>
      <c r="F48" s="4"/>
      <c r="G48" s="4"/>
      <c r="H48" s="4"/>
      <c r="I48" s="4"/>
      <c r="J48" s="4"/>
    </row>
    <row r="49">
      <c r="E49" s="85"/>
      <c r="F49" s="4"/>
      <c r="G49" s="4"/>
      <c r="H49" s="4"/>
      <c r="I49" s="4"/>
      <c r="J49" s="4"/>
    </row>
    <row r="50">
      <c r="E50" s="85"/>
      <c r="F50" s="4"/>
      <c r="G50" s="4"/>
      <c r="H50" s="4"/>
      <c r="I50" s="4"/>
      <c r="J50" s="4"/>
    </row>
    <row r="51">
      <c r="E51" s="85"/>
      <c r="F51" s="4"/>
      <c r="G51" s="4"/>
      <c r="H51" s="4"/>
      <c r="I51" s="4"/>
      <c r="J51" s="4"/>
    </row>
    <row r="52">
      <c r="E52" s="85"/>
      <c r="F52" s="4"/>
      <c r="G52" s="4"/>
      <c r="H52" s="4"/>
      <c r="I52" s="4"/>
      <c r="J52" s="4"/>
    </row>
    <row r="53">
      <c r="E53" s="85"/>
      <c r="F53" s="4"/>
      <c r="G53" s="4"/>
      <c r="H53" s="4"/>
      <c r="I53" s="4"/>
      <c r="J53" s="4"/>
    </row>
    <row r="54">
      <c r="E54" s="85"/>
      <c r="F54" s="4"/>
      <c r="G54" s="4"/>
      <c r="H54" s="4"/>
      <c r="I54" s="4"/>
      <c r="J54" s="4"/>
    </row>
    <row r="55">
      <c r="E55" s="85"/>
      <c r="F55" s="4"/>
      <c r="G55" s="4"/>
      <c r="H55" s="4"/>
      <c r="I55" s="4"/>
      <c r="J55" s="4"/>
    </row>
    <row r="56">
      <c r="E56" s="85"/>
      <c r="F56" s="4"/>
      <c r="G56" s="4"/>
      <c r="H56" s="4"/>
      <c r="I56" s="4"/>
      <c r="J56" s="4"/>
    </row>
    <row r="57">
      <c r="E57" s="85"/>
      <c r="F57" s="4"/>
      <c r="G57" s="4"/>
      <c r="H57" s="4"/>
      <c r="I57" s="4"/>
      <c r="J57" s="4"/>
    </row>
    <row r="58">
      <c r="E58" s="85"/>
      <c r="F58" s="4"/>
      <c r="G58" s="4"/>
      <c r="H58" s="4"/>
      <c r="I58" s="4"/>
      <c r="J58" s="4"/>
    </row>
    <row r="59">
      <c r="E59" s="85"/>
      <c r="F59" s="4"/>
      <c r="G59" s="4"/>
      <c r="H59" s="4"/>
      <c r="I59" s="4"/>
      <c r="J59" s="4"/>
    </row>
    <row r="60">
      <c r="A60" s="113"/>
      <c r="B60" s="113"/>
      <c r="C60" s="113"/>
      <c r="D60" s="113"/>
      <c r="E60" s="85"/>
      <c r="F60" s="4"/>
      <c r="G60" s="4"/>
      <c r="H60" s="4"/>
      <c r="I60" s="4"/>
      <c r="J60" s="4"/>
    </row>
    <row r="61">
      <c r="A61" s="97" t="s">
        <v>147</v>
      </c>
      <c r="B61" s="17"/>
      <c r="C61" s="17"/>
      <c r="D61" s="19"/>
      <c r="E61" s="85"/>
      <c r="F61" s="4"/>
      <c r="G61" s="4"/>
      <c r="H61" s="4"/>
      <c r="I61" s="4"/>
      <c r="J61" s="4"/>
    </row>
    <row r="62">
      <c r="A62" s="98" t="s">
        <v>148</v>
      </c>
      <c r="B62" s="17"/>
      <c r="C62" s="17"/>
      <c r="D62" s="19"/>
      <c r="E62" s="85"/>
      <c r="F62" s="4"/>
      <c r="G62" s="4"/>
      <c r="H62" s="4"/>
      <c r="I62" s="4"/>
      <c r="J62" s="4"/>
    </row>
    <row r="63">
      <c r="A63" s="107"/>
      <c r="E63" s="85"/>
      <c r="F63" s="4"/>
      <c r="G63" s="4"/>
      <c r="H63" s="4"/>
      <c r="I63" s="4"/>
      <c r="J63" s="4"/>
    </row>
    <row r="64" ht="22.5" customHeight="1">
      <c r="A64" s="97" t="s">
        <v>149</v>
      </c>
      <c r="B64" s="17"/>
      <c r="C64" s="17"/>
      <c r="D64" s="19"/>
      <c r="E64" s="85"/>
      <c r="F64" s="4"/>
      <c r="G64" s="4"/>
      <c r="H64" s="4"/>
      <c r="I64" s="4"/>
      <c r="J64" s="4"/>
    </row>
    <row r="65">
      <c r="A65" s="98" t="s">
        <v>150</v>
      </c>
      <c r="B65" s="17"/>
      <c r="C65" s="17"/>
      <c r="D65" s="19"/>
      <c r="E65" s="85"/>
      <c r="F65" s="4"/>
      <c r="G65" s="4"/>
      <c r="H65" s="4"/>
      <c r="I65" s="4"/>
      <c r="J65" s="4"/>
    </row>
    <row r="66">
      <c r="A66" s="98" t="s">
        <v>125</v>
      </c>
      <c r="B66" s="19"/>
      <c r="C66" s="98" t="s">
        <v>151</v>
      </c>
      <c r="D66" s="19"/>
      <c r="E66" s="85"/>
      <c r="F66" s="4"/>
      <c r="G66" s="4"/>
      <c r="H66" s="4"/>
      <c r="I66" s="4"/>
      <c r="J66" s="4"/>
    </row>
    <row r="67">
      <c r="A67" s="115" t="s">
        <v>152</v>
      </c>
      <c r="B67" s="115" t="s">
        <v>153</v>
      </c>
      <c r="C67" s="103" t="s">
        <v>154</v>
      </c>
      <c r="D67" s="19"/>
      <c r="E67" s="85"/>
      <c r="F67" s="4"/>
      <c r="G67" s="4"/>
      <c r="H67" s="4"/>
      <c r="I67" s="4"/>
      <c r="J67" s="4"/>
    </row>
    <row r="68">
      <c r="A68" s="108" t="s">
        <v>155</v>
      </c>
      <c r="B68" s="108" t="s">
        <v>156</v>
      </c>
      <c r="C68" s="98" t="s">
        <v>157</v>
      </c>
      <c r="D68" s="19"/>
      <c r="E68" s="85"/>
      <c r="F68" s="4"/>
      <c r="G68" s="4"/>
      <c r="H68" s="4"/>
      <c r="I68" s="4"/>
      <c r="J68" s="4"/>
    </row>
    <row r="69">
      <c r="A69" s="108" t="s">
        <v>158</v>
      </c>
      <c r="B69" s="108" t="s">
        <v>159</v>
      </c>
      <c r="C69" s="98" t="s">
        <v>160</v>
      </c>
      <c r="D69" s="19"/>
      <c r="E69" s="85"/>
      <c r="F69" s="4"/>
      <c r="G69" s="4"/>
      <c r="H69" s="4"/>
      <c r="I69" s="4"/>
      <c r="J69" s="4"/>
    </row>
    <row r="70">
      <c r="A70" s="101"/>
      <c r="E70" s="85"/>
      <c r="F70" s="4"/>
      <c r="G70" s="4"/>
      <c r="H70" s="4"/>
      <c r="I70" s="4"/>
      <c r="J70" s="4"/>
    </row>
    <row r="71">
      <c r="A71" s="97" t="s">
        <v>161</v>
      </c>
      <c r="B71" s="17"/>
      <c r="C71" s="17"/>
      <c r="D71" s="19"/>
      <c r="E71" s="85"/>
      <c r="F71" s="4"/>
      <c r="G71" s="4"/>
      <c r="H71" s="4"/>
      <c r="I71" s="4"/>
      <c r="J71" s="4"/>
    </row>
    <row r="72">
      <c r="A72" s="98" t="s">
        <v>162</v>
      </c>
      <c r="B72" s="19"/>
      <c r="C72" s="98" t="s">
        <v>163</v>
      </c>
      <c r="D72" s="19"/>
      <c r="E72" s="85"/>
      <c r="F72" s="4"/>
      <c r="G72" s="4"/>
      <c r="H72" s="4"/>
      <c r="I72" s="4"/>
      <c r="J72" s="4"/>
    </row>
    <row r="73">
      <c r="A73" s="101"/>
      <c r="B73" s="101"/>
      <c r="C73" s="101"/>
      <c r="D73" s="101"/>
      <c r="E73" s="85"/>
      <c r="F73" s="4"/>
      <c r="G73" s="4"/>
      <c r="H73" s="4"/>
      <c r="I73" s="4"/>
      <c r="J73" s="4"/>
    </row>
    <row r="74">
      <c r="A74" s="97" t="s">
        <v>164</v>
      </c>
      <c r="B74" s="17"/>
      <c r="C74" s="17"/>
      <c r="D74" s="19"/>
      <c r="E74" s="85"/>
      <c r="F74" s="4"/>
      <c r="G74" s="4"/>
      <c r="H74" s="4"/>
      <c r="I74" s="4"/>
      <c r="J74" s="4"/>
    </row>
    <row r="75">
      <c r="A75" s="97" t="s">
        <v>165</v>
      </c>
      <c r="B75" s="19"/>
      <c r="C75" s="97" t="s">
        <v>166</v>
      </c>
      <c r="D75" s="19"/>
      <c r="E75" s="85"/>
      <c r="F75" s="4"/>
      <c r="G75" s="4"/>
      <c r="H75" s="4"/>
      <c r="I75" s="4"/>
      <c r="J75" s="4"/>
    </row>
    <row r="76">
      <c r="A76" s="98" t="s">
        <v>167</v>
      </c>
      <c r="B76" s="19"/>
      <c r="C76" s="98" t="s">
        <v>168</v>
      </c>
      <c r="D76" s="19"/>
      <c r="E76" s="85"/>
      <c r="F76" s="4"/>
      <c r="G76" s="4"/>
      <c r="H76" s="4"/>
      <c r="I76" s="4"/>
      <c r="J76" s="4"/>
    </row>
    <row r="77">
      <c r="A77" s="98" t="s">
        <v>169</v>
      </c>
      <c r="B77" s="19"/>
      <c r="C77" s="98" t="s">
        <v>168</v>
      </c>
      <c r="D77" s="19"/>
      <c r="E77" s="85"/>
      <c r="F77" s="4"/>
      <c r="G77" s="4"/>
      <c r="H77" s="4"/>
      <c r="I77" s="4"/>
      <c r="J77" s="4"/>
    </row>
    <row r="78">
      <c r="A78" s="98" t="s">
        <v>170</v>
      </c>
      <c r="B78" s="19"/>
      <c r="C78" s="98" t="s">
        <v>168</v>
      </c>
      <c r="D78" s="19"/>
      <c r="E78" s="85"/>
      <c r="F78" s="4"/>
      <c r="G78" s="4"/>
      <c r="H78" s="4"/>
      <c r="I78" s="4"/>
      <c r="J78" s="4"/>
    </row>
    <row r="79">
      <c r="A79" s="98" t="s">
        <v>171</v>
      </c>
      <c r="B79" s="19"/>
      <c r="C79" s="98" t="s">
        <v>172</v>
      </c>
      <c r="D79" s="17"/>
      <c r="E79" s="85"/>
      <c r="F79" s="4"/>
      <c r="G79" s="4"/>
      <c r="H79" s="4"/>
      <c r="I79" s="4"/>
      <c r="J79" s="4"/>
    </row>
    <row r="80">
      <c r="A80" s="116"/>
      <c r="B80" s="6"/>
      <c r="C80" s="6"/>
      <c r="D80" s="6"/>
      <c r="E80" s="85"/>
      <c r="F80" s="4"/>
      <c r="G80" s="4"/>
      <c r="H80" s="4"/>
      <c r="I80" s="4"/>
      <c r="J80" s="4"/>
    </row>
    <row r="81">
      <c r="A81" s="117"/>
      <c r="E81" s="4"/>
      <c r="F81" s="4"/>
      <c r="G81" s="4"/>
      <c r="H81" s="4"/>
      <c r="I81" s="4"/>
      <c r="J81" s="4"/>
    </row>
    <row r="82">
      <c r="A82" s="118" t="s">
        <v>173</v>
      </c>
      <c r="B82" s="105"/>
      <c r="C82" s="105"/>
      <c r="D82" s="106"/>
      <c r="E82" s="4"/>
      <c r="F82" s="4"/>
      <c r="G82" s="4"/>
      <c r="H82" s="4"/>
      <c r="I82" s="4"/>
      <c r="J82" s="4"/>
    </row>
    <row r="83">
      <c r="A83" s="119"/>
      <c r="B83" s="6"/>
      <c r="C83" s="6"/>
      <c r="D83" s="120"/>
      <c r="E83" s="4"/>
      <c r="F83" s="4"/>
      <c r="G83" s="4"/>
      <c r="H83" s="4"/>
      <c r="I83" s="4"/>
      <c r="J83" s="4"/>
    </row>
    <row r="84">
      <c r="A84" s="121" t="s">
        <v>174</v>
      </c>
      <c r="B84" s="98" t="s">
        <v>175</v>
      </c>
      <c r="C84" s="17"/>
      <c r="D84" s="19"/>
      <c r="E84" s="4"/>
      <c r="F84" s="4"/>
      <c r="G84" s="4"/>
      <c r="H84" s="4"/>
      <c r="I84" s="4"/>
      <c r="J84" s="4"/>
    </row>
    <row r="85">
      <c r="A85" s="117"/>
      <c r="E85" s="4"/>
      <c r="F85" s="4"/>
      <c r="G85" s="4"/>
      <c r="H85" s="4"/>
      <c r="I85" s="4"/>
      <c r="J85" s="4"/>
    </row>
    <row r="86">
      <c r="A86" s="121" t="s">
        <v>176</v>
      </c>
      <c r="B86" s="98" t="s">
        <v>177</v>
      </c>
      <c r="C86" s="17"/>
      <c r="D86" s="19"/>
      <c r="E86" s="4"/>
      <c r="F86" s="4"/>
      <c r="G86" s="4"/>
      <c r="H86" s="4"/>
      <c r="I86" s="4"/>
      <c r="J86" s="4"/>
    </row>
    <row r="87">
      <c r="A87" s="117"/>
      <c r="E87" s="4"/>
      <c r="F87" s="4"/>
      <c r="G87" s="4"/>
      <c r="H87" s="4"/>
      <c r="I87" s="4"/>
      <c r="J87" s="4"/>
    </row>
    <row r="88">
      <c r="A88" s="121" t="s">
        <v>178</v>
      </c>
      <c r="B88" s="98" t="s">
        <v>179</v>
      </c>
      <c r="C88" s="17"/>
      <c r="D88" s="19"/>
      <c r="E88" s="4"/>
      <c r="F88" s="4"/>
      <c r="G88" s="4"/>
      <c r="H88" s="4"/>
      <c r="I88" s="4"/>
      <c r="J88" s="4"/>
    </row>
    <row r="89">
      <c r="A89" s="4"/>
      <c r="B89" s="4"/>
      <c r="C89" s="4"/>
      <c r="D89" s="4"/>
      <c r="E89" s="4"/>
      <c r="F89" s="4"/>
      <c r="G89" s="4"/>
      <c r="H89" s="4"/>
      <c r="I89" s="4"/>
      <c r="J89" s="4"/>
    </row>
    <row r="90">
      <c r="A90" s="4"/>
      <c r="B90" s="4"/>
      <c r="C90" s="4"/>
      <c r="D90" s="4"/>
      <c r="E90" s="4"/>
      <c r="F90" s="4"/>
      <c r="G90" s="4"/>
      <c r="H90" s="4"/>
      <c r="I90" s="4"/>
      <c r="J90" s="4"/>
    </row>
    <row r="91">
      <c r="A91" s="4"/>
      <c r="B91" s="4"/>
      <c r="C91" s="4"/>
      <c r="D91" s="4"/>
      <c r="E91" s="4"/>
      <c r="F91" s="4"/>
      <c r="G91" s="4"/>
      <c r="H91" s="4"/>
      <c r="I91" s="4"/>
      <c r="J91" s="4"/>
    </row>
    <row r="92">
      <c r="A92" s="4"/>
      <c r="B92" s="4"/>
      <c r="C92" s="4"/>
      <c r="D92" s="4"/>
      <c r="E92" s="4"/>
      <c r="F92" s="4"/>
      <c r="G92" s="4"/>
      <c r="H92" s="4"/>
      <c r="I92" s="4"/>
      <c r="J92" s="4"/>
    </row>
    <row r="93">
      <c r="A93" s="4"/>
      <c r="B93" s="4"/>
      <c r="C93" s="4"/>
      <c r="D93" s="4"/>
      <c r="E93" s="4"/>
      <c r="F93" s="4"/>
      <c r="G93" s="4"/>
      <c r="H93" s="4"/>
      <c r="I93" s="4"/>
      <c r="J93" s="4"/>
    </row>
    <row r="94">
      <c r="A94" s="4"/>
      <c r="B94" s="4"/>
      <c r="C94" s="4"/>
      <c r="D94" s="4"/>
      <c r="E94" s="4"/>
      <c r="F94" s="4"/>
      <c r="G94" s="4"/>
      <c r="H94" s="4"/>
      <c r="I94" s="4"/>
      <c r="J94" s="4"/>
    </row>
    <row r="95">
      <c r="A95" s="4"/>
      <c r="B95" s="4"/>
      <c r="C95" s="4"/>
      <c r="D95" s="4"/>
      <c r="E95" s="4"/>
      <c r="F95" s="4"/>
      <c r="G95" s="4"/>
      <c r="H95" s="4"/>
      <c r="I95" s="4"/>
      <c r="J95" s="4"/>
    </row>
    <row r="96">
      <c r="A96" s="4"/>
      <c r="B96" s="4"/>
      <c r="C96" s="4"/>
      <c r="D96" s="4"/>
      <c r="E96" s="4"/>
      <c r="F96" s="4"/>
      <c r="G96" s="4"/>
      <c r="H96" s="4"/>
      <c r="I96" s="4"/>
      <c r="J96" s="4"/>
    </row>
    <row r="97">
      <c r="A97" s="4"/>
      <c r="B97" s="4"/>
      <c r="C97" s="4"/>
      <c r="D97" s="4"/>
      <c r="E97" s="4"/>
      <c r="F97" s="4"/>
      <c r="G97" s="4"/>
      <c r="H97" s="4"/>
      <c r="I97" s="4"/>
      <c r="J97" s="4"/>
    </row>
    <row r="98">
      <c r="A98" s="4"/>
      <c r="B98" s="4"/>
      <c r="C98" s="4"/>
      <c r="D98" s="4"/>
      <c r="E98" s="4"/>
      <c r="F98" s="4"/>
      <c r="G98" s="4"/>
      <c r="H98" s="4"/>
      <c r="I98" s="4"/>
      <c r="J98" s="4"/>
    </row>
    <row r="99">
      <c r="A99" s="4"/>
      <c r="B99" s="4"/>
      <c r="C99" s="4"/>
      <c r="D99" s="4"/>
      <c r="E99" s="4"/>
      <c r="F99" s="4"/>
      <c r="G99" s="4"/>
      <c r="H99" s="4"/>
      <c r="I99" s="4"/>
      <c r="J99" s="4"/>
    </row>
    <row r="100">
      <c r="A100" s="4"/>
      <c r="B100" s="4"/>
      <c r="C100" s="4"/>
      <c r="D100" s="4"/>
      <c r="E100" s="4"/>
      <c r="F100" s="4"/>
      <c r="G100" s="4"/>
      <c r="H100" s="4"/>
      <c r="I100" s="4"/>
      <c r="J100" s="4"/>
    </row>
    <row r="101">
      <c r="A101" s="4"/>
      <c r="B101" s="4"/>
      <c r="C101" s="4"/>
      <c r="D101" s="4"/>
      <c r="E101" s="4"/>
      <c r="F101" s="4"/>
      <c r="G101" s="4"/>
      <c r="H101" s="4"/>
      <c r="I101" s="4"/>
      <c r="J101" s="4"/>
    </row>
    <row r="102">
      <c r="A102" s="4"/>
      <c r="B102" s="4"/>
      <c r="C102" s="4"/>
      <c r="D102" s="4"/>
      <c r="E102" s="4"/>
      <c r="F102" s="4"/>
      <c r="G102" s="4"/>
      <c r="H102" s="4"/>
      <c r="I102" s="4"/>
      <c r="J102" s="4"/>
    </row>
    <row r="103">
      <c r="A103" s="4"/>
      <c r="B103" s="4"/>
      <c r="C103" s="4"/>
      <c r="D103" s="4"/>
      <c r="E103" s="4"/>
      <c r="F103" s="4"/>
      <c r="G103" s="4"/>
      <c r="H103" s="4"/>
      <c r="I103" s="4"/>
      <c r="J103" s="4"/>
    </row>
    <row r="104">
      <c r="A104" s="4"/>
      <c r="B104" s="4"/>
      <c r="C104" s="4"/>
      <c r="D104" s="4"/>
      <c r="E104" s="4"/>
      <c r="F104" s="4"/>
      <c r="G104" s="4"/>
      <c r="H104" s="4"/>
      <c r="I104" s="4"/>
      <c r="J104" s="4"/>
    </row>
    <row r="105">
      <c r="A105" s="4"/>
      <c r="B105" s="4"/>
      <c r="C105" s="4"/>
      <c r="D105" s="4"/>
      <c r="E105" s="4"/>
      <c r="F105" s="4"/>
      <c r="G105" s="4"/>
      <c r="H105" s="4"/>
      <c r="I105" s="4"/>
      <c r="J105" s="4"/>
    </row>
    <row r="106">
      <c r="A106" s="4"/>
      <c r="B106" s="4"/>
      <c r="C106" s="4"/>
      <c r="D106" s="4"/>
      <c r="E106" s="4"/>
      <c r="F106" s="4"/>
      <c r="G106" s="4"/>
      <c r="H106" s="4"/>
      <c r="I106" s="4"/>
      <c r="J106" s="4"/>
    </row>
    <row r="107">
      <c r="A107" s="4"/>
      <c r="B107" s="4"/>
      <c r="C107" s="4"/>
      <c r="D107" s="4"/>
      <c r="E107" s="4"/>
      <c r="F107" s="4"/>
      <c r="G107" s="4"/>
      <c r="H107" s="4"/>
      <c r="I107" s="4"/>
      <c r="J107" s="4"/>
    </row>
    <row r="108">
      <c r="A108" s="4"/>
      <c r="B108" s="4"/>
      <c r="C108" s="4"/>
      <c r="D108" s="4"/>
      <c r="E108" s="4"/>
      <c r="F108" s="4"/>
      <c r="G108" s="4"/>
      <c r="H108" s="4"/>
      <c r="I108" s="4"/>
      <c r="J108" s="4"/>
    </row>
    <row r="109">
      <c r="A109" s="4"/>
      <c r="B109" s="4"/>
      <c r="C109" s="4"/>
      <c r="D109" s="4"/>
      <c r="E109" s="4"/>
      <c r="F109" s="4"/>
      <c r="G109" s="4"/>
      <c r="H109" s="4"/>
      <c r="I109" s="4"/>
      <c r="J109" s="4"/>
    </row>
    <row r="110">
      <c r="A110" s="4"/>
      <c r="B110" s="4"/>
      <c r="C110" s="4"/>
      <c r="D110" s="4"/>
      <c r="E110" s="4"/>
      <c r="F110" s="4"/>
      <c r="G110" s="4"/>
      <c r="H110" s="4"/>
      <c r="I110" s="4"/>
      <c r="J110" s="4"/>
    </row>
    <row r="111">
      <c r="A111" s="4"/>
      <c r="B111" s="4"/>
      <c r="C111" s="4"/>
      <c r="D111" s="4"/>
      <c r="E111" s="4"/>
      <c r="F111" s="4"/>
      <c r="G111" s="4"/>
      <c r="H111" s="4"/>
      <c r="I111" s="4"/>
      <c r="J111" s="4"/>
    </row>
    <row r="112">
      <c r="A112" s="4"/>
      <c r="B112" s="4"/>
      <c r="C112" s="4"/>
      <c r="D112" s="4"/>
      <c r="E112" s="4"/>
      <c r="F112" s="4"/>
      <c r="G112" s="4"/>
      <c r="H112" s="4"/>
      <c r="I112" s="4"/>
      <c r="J112" s="4"/>
    </row>
    <row r="113">
      <c r="A113" s="4"/>
      <c r="B113" s="4"/>
      <c r="C113" s="4"/>
      <c r="D113" s="4"/>
      <c r="E113" s="4"/>
      <c r="F113" s="4"/>
      <c r="G113" s="4"/>
      <c r="H113" s="4"/>
      <c r="I113" s="4"/>
      <c r="J113" s="4"/>
    </row>
    <row r="114">
      <c r="A114" s="4"/>
      <c r="B114" s="4"/>
      <c r="C114" s="4"/>
      <c r="D114" s="4"/>
      <c r="E114" s="4"/>
      <c r="F114" s="4"/>
      <c r="G114" s="4"/>
      <c r="H114" s="4"/>
      <c r="I114" s="4"/>
      <c r="J114" s="4"/>
    </row>
    <row r="115">
      <c r="A115" s="4"/>
      <c r="B115" s="4"/>
      <c r="C115" s="4"/>
      <c r="D115" s="4"/>
      <c r="E115" s="4"/>
      <c r="F115" s="4"/>
      <c r="G115" s="4"/>
      <c r="H115" s="4"/>
      <c r="I115" s="4"/>
      <c r="J115" s="4"/>
    </row>
    <row r="116">
      <c r="A116" s="4"/>
      <c r="B116" s="4"/>
      <c r="C116" s="4"/>
      <c r="D116" s="4"/>
      <c r="E116" s="4"/>
      <c r="F116" s="4"/>
      <c r="G116" s="4"/>
      <c r="H116" s="4"/>
      <c r="I116" s="4"/>
      <c r="J116" s="4"/>
    </row>
    <row r="117">
      <c r="A117" s="4"/>
      <c r="B117" s="4"/>
      <c r="C117" s="4"/>
      <c r="D117" s="4"/>
      <c r="E117" s="4"/>
      <c r="F117" s="4"/>
      <c r="G117" s="4"/>
      <c r="H117" s="4"/>
      <c r="I117" s="4"/>
      <c r="J117" s="4"/>
    </row>
    <row r="118">
      <c r="A118" s="4"/>
      <c r="B118" s="4"/>
      <c r="C118" s="4"/>
      <c r="D118" s="4"/>
      <c r="E118" s="4"/>
      <c r="F118" s="4"/>
      <c r="G118" s="4"/>
      <c r="H118" s="4"/>
      <c r="I118" s="4"/>
      <c r="J118" s="4"/>
    </row>
    <row r="119">
      <c r="A119" s="4"/>
      <c r="B119" s="4"/>
      <c r="C119" s="4"/>
      <c r="D119" s="4"/>
      <c r="E119" s="4"/>
      <c r="F119" s="4"/>
      <c r="G119" s="4"/>
      <c r="H119" s="4"/>
      <c r="I119" s="4"/>
      <c r="J119" s="4"/>
    </row>
    <row r="120">
      <c r="A120" s="4"/>
      <c r="B120" s="4"/>
      <c r="C120" s="4"/>
      <c r="D120" s="4"/>
      <c r="E120" s="4"/>
      <c r="F120" s="4"/>
      <c r="G120" s="4"/>
      <c r="H120" s="4"/>
      <c r="I120" s="4"/>
      <c r="J120" s="4"/>
    </row>
    <row r="121">
      <c r="A121" s="4"/>
      <c r="B121" s="4"/>
      <c r="C121" s="4"/>
      <c r="D121" s="4"/>
      <c r="E121" s="4"/>
      <c r="F121" s="4"/>
      <c r="G121" s="4"/>
      <c r="H121" s="4"/>
      <c r="I121" s="4"/>
      <c r="J121" s="4"/>
    </row>
    <row r="122">
      <c r="A122" s="4"/>
      <c r="B122" s="4"/>
      <c r="C122" s="4"/>
      <c r="D122" s="4"/>
      <c r="E122" s="4"/>
      <c r="F122" s="4"/>
      <c r="G122" s="4"/>
      <c r="H122" s="4"/>
      <c r="I122" s="4"/>
      <c r="J122" s="4"/>
    </row>
    <row r="123">
      <c r="A123" s="4"/>
      <c r="B123" s="4"/>
      <c r="C123" s="4"/>
      <c r="D123" s="4"/>
      <c r="E123" s="4"/>
      <c r="F123" s="4"/>
      <c r="G123" s="4"/>
      <c r="H123" s="4"/>
      <c r="I123" s="4"/>
      <c r="J123" s="4"/>
    </row>
    <row r="124">
      <c r="A124" s="4"/>
      <c r="B124" s="4"/>
      <c r="C124" s="4"/>
      <c r="D124" s="4"/>
      <c r="E124" s="4"/>
      <c r="F124" s="4"/>
      <c r="G124" s="4"/>
      <c r="H124" s="4"/>
      <c r="I124" s="4"/>
      <c r="J124" s="4"/>
    </row>
    <row r="125">
      <c r="A125" s="4"/>
      <c r="B125" s="4"/>
      <c r="C125" s="4"/>
      <c r="D125" s="4"/>
      <c r="E125" s="4"/>
      <c r="F125" s="4"/>
      <c r="G125" s="4"/>
      <c r="H125" s="4"/>
      <c r="I125" s="4"/>
      <c r="J125" s="4"/>
    </row>
    <row r="126">
      <c r="A126" s="4"/>
      <c r="B126" s="4"/>
      <c r="C126" s="4"/>
      <c r="D126" s="4"/>
      <c r="E126" s="4"/>
      <c r="F126" s="4"/>
      <c r="G126" s="4"/>
      <c r="H126" s="4"/>
      <c r="I126" s="4"/>
      <c r="J126" s="4"/>
    </row>
    <row r="127">
      <c r="A127" s="4"/>
      <c r="B127" s="4"/>
      <c r="C127" s="4"/>
      <c r="D127" s="4"/>
      <c r="E127" s="4"/>
      <c r="F127" s="4"/>
      <c r="G127" s="4"/>
      <c r="H127" s="4"/>
      <c r="I127" s="4"/>
      <c r="J127" s="4"/>
    </row>
    <row r="128">
      <c r="A128" s="4"/>
      <c r="B128" s="4"/>
      <c r="C128" s="4"/>
      <c r="D128" s="4"/>
      <c r="E128" s="4"/>
      <c r="F128" s="4"/>
      <c r="G128" s="4"/>
      <c r="H128" s="4"/>
      <c r="I128" s="4"/>
      <c r="J128" s="4"/>
    </row>
    <row r="129">
      <c r="A129" s="4"/>
      <c r="B129" s="4"/>
      <c r="C129" s="4"/>
      <c r="D129" s="4"/>
      <c r="E129" s="4"/>
      <c r="F129" s="4"/>
      <c r="G129" s="4"/>
      <c r="H129" s="4"/>
      <c r="I129" s="4"/>
      <c r="J129" s="4"/>
    </row>
    <row r="130">
      <c r="A130" s="4"/>
      <c r="B130" s="4"/>
      <c r="C130" s="4"/>
      <c r="D130" s="4"/>
      <c r="E130" s="4"/>
      <c r="F130" s="4"/>
      <c r="G130" s="4"/>
      <c r="H130" s="4"/>
      <c r="I130" s="4"/>
      <c r="J130" s="4"/>
    </row>
    <row r="131">
      <c r="A131" s="4"/>
      <c r="B131" s="4"/>
      <c r="C131" s="4"/>
      <c r="D131" s="4"/>
      <c r="E131" s="4"/>
      <c r="F131" s="4"/>
      <c r="G131" s="4"/>
      <c r="H131" s="4"/>
      <c r="I131" s="4"/>
      <c r="J131" s="4"/>
    </row>
    <row r="132">
      <c r="A132" s="4"/>
      <c r="B132" s="4"/>
      <c r="C132" s="4"/>
      <c r="D132" s="4"/>
      <c r="E132" s="4"/>
      <c r="F132" s="4"/>
      <c r="G132" s="4"/>
      <c r="H132" s="4"/>
      <c r="I132" s="4"/>
      <c r="J132" s="4"/>
    </row>
    <row r="133">
      <c r="A133" s="4"/>
      <c r="B133" s="4"/>
      <c r="C133" s="4"/>
      <c r="D133" s="4"/>
      <c r="E133" s="4"/>
      <c r="F133" s="4"/>
      <c r="G133" s="4"/>
      <c r="H133" s="4"/>
      <c r="I133" s="4"/>
      <c r="J133" s="4"/>
    </row>
  </sheetData>
  <mergeCells count="75">
    <mergeCell ref="A44:D59"/>
    <mergeCell ref="A61:D61"/>
    <mergeCell ref="A62:D62"/>
    <mergeCell ref="A63:D63"/>
    <mergeCell ref="A64:D64"/>
    <mergeCell ref="A65:D65"/>
    <mergeCell ref="A66:B66"/>
    <mergeCell ref="C66:D66"/>
    <mergeCell ref="C67:D67"/>
    <mergeCell ref="C68:D68"/>
    <mergeCell ref="C69:D69"/>
    <mergeCell ref="A70:D70"/>
    <mergeCell ref="A71:D71"/>
    <mergeCell ref="A72:B72"/>
    <mergeCell ref="A77:B77"/>
    <mergeCell ref="A78:B78"/>
    <mergeCell ref="A79:B79"/>
    <mergeCell ref="C72:D72"/>
    <mergeCell ref="A74:D74"/>
    <mergeCell ref="A75:B75"/>
    <mergeCell ref="C75:D75"/>
    <mergeCell ref="A76:B76"/>
    <mergeCell ref="C76:D76"/>
    <mergeCell ref="C77:D77"/>
    <mergeCell ref="B86:D86"/>
    <mergeCell ref="A87:D87"/>
    <mergeCell ref="B88:D88"/>
    <mergeCell ref="C78:D78"/>
    <mergeCell ref="C79:D79"/>
    <mergeCell ref="A80:D80"/>
    <mergeCell ref="A81:D81"/>
    <mergeCell ref="A82:D83"/>
    <mergeCell ref="B84:D84"/>
    <mergeCell ref="A85:D85"/>
    <mergeCell ref="A6:B6"/>
    <mergeCell ref="A7:B7"/>
    <mergeCell ref="A8:B8"/>
    <mergeCell ref="A1:D1"/>
    <mergeCell ref="A2:D2"/>
    <mergeCell ref="A3:D3"/>
    <mergeCell ref="A4:D4"/>
    <mergeCell ref="A5:B5"/>
    <mergeCell ref="C5:D5"/>
    <mergeCell ref="C6:D6"/>
    <mergeCell ref="A12:B12"/>
    <mergeCell ref="A13:B13"/>
    <mergeCell ref="A14:B14"/>
    <mergeCell ref="C7:D7"/>
    <mergeCell ref="C8:D8"/>
    <mergeCell ref="A9:D9"/>
    <mergeCell ref="A10:D10"/>
    <mergeCell ref="A11:B11"/>
    <mergeCell ref="C11:D11"/>
    <mergeCell ref="C12:D12"/>
    <mergeCell ref="C13:D13"/>
    <mergeCell ref="C14:D14"/>
    <mergeCell ref="A15:D15"/>
    <mergeCell ref="A17:D17"/>
    <mergeCell ref="A18:D18"/>
    <mergeCell ref="A19:D19"/>
    <mergeCell ref="A21:D21"/>
    <mergeCell ref="C26:D26"/>
    <mergeCell ref="A27:D27"/>
    <mergeCell ref="A28:D28"/>
    <mergeCell ref="A29:B29"/>
    <mergeCell ref="C29:D29"/>
    <mergeCell ref="A36:D36"/>
    <mergeCell ref="A37:B37"/>
    <mergeCell ref="C37:D37"/>
    <mergeCell ref="A38:D38"/>
    <mergeCell ref="A39:D39"/>
    <mergeCell ref="A40:B40"/>
    <mergeCell ref="A41:B41"/>
    <mergeCell ref="A42:B42"/>
    <mergeCell ref="A43:D4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9.11"/>
    <col customWidth="1" min="2" max="2" width="18.33"/>
    <col customWidth="1" min="3" max="3" width="21.22"/>
    <col customWidth="1" min="4" max="4" width="27.56"/>
    <col customWidth="1" min="5" max="5" width="24.0"/>
    <col customWidth="1" min="6" max="6" width="16.0"/>
    <col customWidth="1" min="7" max="7" width="17.44"/>
    <col customWidth="1" min="8" max="8" width="25.89"/>
  </cols>
  <sheetData>
    <row r="1">
      <c r="A1" s="122" t="s">
        <v>27</v>
      </c>
      <c r="B1" s="92"/>
      <c r="C1" s="92"/>
      <c r="D1" s="92"/>
      <c r="E1" s="92"/>
      <c r="F1" s="92"/>
      <c r="G1" s="92"/>
      <c r="H1" s="93"/>
    </row>
    <row r="2">
      <c r="A2" s="122" t="s">
        <v>180</v>
      </c>
      <c r="B2" s="38"/>
      <c r="C2" s="38"/>
      <c r="D2" s="38"/>
      <c r="E2" s="38"/>
      <c r="F2" s="38"/>
      <c r="G2" s="38"/>
      <c r="H2" s="39"/>
    </row>
    <row r="3">
      <c r="A3" s="123" t="s">
        <v>181</v>
      </c>
      <c r="H3" s="124"/>
    </row>
    <row r="4">
      <c r="A4" s="125"/>
      <c r="H4" s="126"/>
    </row>
    <row r="5">
      <c r="A5" s="127" t="s">
        <v>182</v>
      </c>
      <c r="H5" s="124"/>
    </row>
    <row r="6">
      <c r="A6" s="128" t="s">
        <v>183</v>
      </c>
      <c r="H6" s="126"/>
    </row>
    <row r="7">
      <c r="A7" s="125" t="s">
        <v>184</v>
      </c>
      <c r="B7" s="125"/>
      <c r="C7" s="125"/>
      <c r="D7" s="129"/>
      <c r="E7" s="130"/>
      <c r="F7" s="130"/>
      <c r="G7" s="130"/>
      <c r="H7" s="131"/>
    </row>
    <row r="8">
      <c r="A8" s="132" t="s">
        <v>185</v>
      </c>
      <c r="B8" s="39"/>
      <c r="C8" s="132" t="s">
        <v>186</v>
      </c>
      <c r="D8" s="39"/>
      <c r="E8" s="132" t="s">
        <v>187</v>
      </c>
      <c r="F8" s="39"/>
      <c r="G8" s="133" t="s">
        <v>188</v>
      </c>
      <c r="H8" s="133" t="s">
        <v>189</v>
      </c>
    </row>
    <row r="9">
      <c r="A9" s="134" t="s">
        <v>190</v>
      </c>
      <c r="B9" s="48"/>
      <c r="C9" s="135">
        <v>467.95</v>
      </c>
      <c r="D9" s="48"/>
      <c r="E9" s="135">
        <v>455.41</v>
      </c>
      <c r="F9" s="48"/>
      <c r="G9" s="136">
        <f t="shared" ref="G9:G18" si="1">E9-C9</f>
        <v>-12.54</v>
      </c>
      <c r="H9" s="137">
        <f t="shared" ref="H9:H10" si="2">(G9/C9)</f>
        <v>-0.0267977348</v>
      </c>
    </row>
    <row r="10">
      <c r="A10" s="134" t="s">
        <v>191</v>
      </c>
      <c r="B10" s="39"/>
      <c r="C10" s="135">
        <v>60.93</v>
      </c>
      <c r="D10" s="39"/>
      <c r="E10" s="135">
        <v>71.18</v>
      </c>
      <c r="F10" s="39"/>
      <c r="G10" s="136">
        <f t="shared" si="1"/>
        <v>10.25</v>
      </c>
      <c r="H10" s="137">
        <f t="shared" si="2"/>
        <v>0.1682258329</v>
      </c>
    </row>
    <row r="11">
      <c r="A11" s="134" t="s">
        <v>192</v>
      </c>
      <c r="B11" s="48"/>
      <c r="C11" s="135">
        <v>0.0</v>
      </c>
      <c r="D11" s="48"/>
      <c r="E11" s="135">
        <v>64.47</v>
      </c>
      <c r="F11" s="48"/>
      <c r="G11" s="136">
        <f t="shared" si="1"/>
        <v>64.47</v>
      </c>
      <c r="H11" s="138" t="s">
        <v>193</v>
      </c>
    </row>
    <row r="12">
      <c r="A12" s="134" t="s">
        <v>194</v>
      </c>
      <c r="B12" s="39"/>
      <c r="C12" s="134">
        <v>6.24</v>
      </c>
      <c r="D12" s="39"/>
      <c r="E12" s="134">
        <v>1.43</v>
      </c>
      <c r="F12" s="39"/>
      <c r="G12" s="136">
        <f t="shared" si="1"/>
        <v>-4.81</v>
      </c>
      <c r="H12" s="137">
        <f t="shared" ref="H12:H14" si="3">(G12/C12)</f>
        <v>-0.7708333333</v>
      </c>
    </row>
    <row r="13">
      <c r="A13" s="49" t="s">
        <v>195</v>
      </c>
      <c r="B13" s="48"/>
      <c r="C13" s="49">
        <v>0.53</v>
      </c>
      <c r="D13" s="48"/>
      <c r="E13" s="49">
        <v>1.16</v>
      </c>
      <c r="F13" s="48"/>
      <c r="G13" s="136">
        <f t="shared" si="1"/>
        <v>0.63</v>
      </c>
      <c r="H13" s="137">
        <f t="shared" si="3"/>
        <v>1.188679245</v>
      </c>
    </row>
    <row r="14">
      <c r="A14" s="49" t="s">
        <v>196</v>
      </c>
      <c r="B14" s="39"/>
      <c r="C14" s="49">
        <v>24.67</v>
      </c>
      <c r="D14" s="39"/>
      <c r="E14" s="49">
        <v>0.0</v>
      </c>
      <c r="F14" s="39"/>
      <c r="G14" s="136">
        <f t="shared" si="1"/>
        <v>-24.67</v>
      </c>
      <c r="H14" s="137">
        <f t="shared" si="3"/>
        <v>-1</v>
      </c>
    </row>
    <row r="15">
      <c r="A15" s="49" t="s">
        <v>197</v>
      </c>
      <c r="B15" s="48"/>
      <c r="C15" s="49">
        <v>0.0</v>
      </c>
      <c r="D15" s="48"/>
      <c r="E15" s="49">
        <v>0.0</v>
      </c>
      <c r="F15" s="48"/>
      <c r="G15" s="136">
        <f t="shared" si="1"/>
        <v>0</v>
      </c>
      <c r="H15" s="137">
        <v>0.0</v>
      </c>
    </row>
    <row r="16">
      <c r="A16" s="139" t="s">
        <v>198</v>
      </c>
      <c r="B16" s="39"/>
      <c r="C16" s="140">
        <f>SUM(C9:C15)</f>
        <v>560.32</v>
      </c>
      <c r="D16" s="39"/>
      <c r="E16" s="140">
        <f>SUM(E9:E15)</f>
        <v>593.65</v>
      </c>
      <c r="F16" s="39"/>
      <c r="G16" s="136">
        <f t="shared" si="1"/>
        <v>33.33</v>
      </c>
      <c r="H16" s="137">
        <f t="shared" ref="H16:H18" si="4">(G16/C16)</f>
        <v>0.05948386636</v>
      </c>
    </row>
    <row r="17">
      <c r="A17" s="134" t="s">
        <v>199</v>
      </c>
      <c r="B17" s="48"/>
      <c r="C17" s="135">
        <v>12027.38</v>
      </c>
      <c r="D17" s="48"/>
      <c r="E17" s="135">
        <v>7671.41</v>
      </c>
      <c r="F17" s="48"/>
      <c r="G17" s="136">
        <f t="shared" si="1"/>
        <v>-4355.97</v>
      </c>
      <c r="H17" s="137">
        <f t="shared" si="4"/>
        <v>-0.3621711462</v>
      </c>
    </row>
    <row r="18">
      <c r="A18" s="139" t="s">
        <v>200</v>
      </c>
      <c r="B18" s="39"/>
      <c r="C18" s="140">
        <f>sum(C16:C17)</f>
        <v>12587.7</v>
      </c>
      <c r="D18" s="39"/>
      <c r="E18" s="140">
        <f>sum(E16:E17)</f>
        <v>8265.06</v>
      </c>
      <c r="F18" s="39"/>
      <c r="G18" s="136">
        <f t="shared" si="1"/>
        <v>-4322.64</v>
      </c>
      <c r="H18" s="137">
        <f t="shared" si="4"/>
        <v>-0.3434018923</v>
      </c>
    </row>
    <row r="19">
      <c r="A19" s="141"/>
      <c r="B19" s="141"/>
      <c r="C19" s="141"/>
      <c r="D19" s="129"/>
      <c r="E19" s="130"/>
      <c r="F19" s="130"/>
      <c r="G19" s="130"/>
      <c r="H19" s="131"/>
    </row>
    <row r="20">
      <c r="A20" s="125"/>
      <c r="B20" s="125"/>
      <c r="C20" s="125"/>
      <c r="D20" s="129"/>
      <c r="E20" s="130"/>
      <c r="F20" s="130"/>
      <c r="G20" s="130"/>
      <c r="H20" s="131"/>
    </row>
    <row r="21">
      <c r="A21" s="125"/>
      <c r="B21" s="125"/>
      <c r="C21" s="125"/>
      <c r="D21" s="129"/>
      <c r="E21" s="130"/>
      <c r="F21" s="130"/>
      <c r="G21" s="130"/>
      <c r="H21" s="131"/>
    </row>
    <row r="22">
      <c r="A22" s="45" t="s">
        <v>201</v>
      </c>
      <c r="B22" s="38"/>
      <c r="C22" s="38"/>
      <c r="D22" s="38"/>
      <c r="E22" s="38"/>
      <c r="F22" s="38"/>
      <c r="G22" s="38"/>
      <c r="H22" s="39"/>
    </row>
    <row r="23">
      <c r="A23" s="132" t="s">
        <v>201</v>
      </c>
      <c r="B23" s="48"/>
      <c r="C23" s="132" t="s">
        <v>202</v>
      </c>
      <c r="D23" s="47"/>
      <c r="E23" s="48"/>
      <c r="F23" s="132" t="s">
        <v>203</v>
      </c>
      <c r="G23" s="47"/>
      <c r="H23" s="48"/>
    </row>
    <row r="24">
      <c r="A24" s="134" t="s">
        <v>204</v>
      </c>
      <c r="B24" s="39"/>
      <c r="C24" s="134" t="s">
        <v>205</v>
      </c>
      <c r="D24" s="38"/>
      <c r="E24" s="39"/>
      <c r="F24" s="134" t="s">
        <v>206</v>
      </c>
      <c r="G24" s="38"/>
      <c r="H24" s="39"/>
    </row>
    <row r="25">
      <c r="A25" s="134" t="s">
        <v>204</v>
      </c>
      <c r="B25" s="48"/>
      <c r="C25" s="134" t="s">
        <v>207</v>
      </c>
      <c r="D25" s="47"/>
      <c r="E25" s="48"/>
      <c r="F25" s="134" t="s">
        <v>208</v>
      </c>
      <c r="G25" s="47"/>
      <c r="H25" s="48"/>
    </row>
    <row r="26">
      <c r="A26" s="134" t="s">
        <v>204</v>
      </c>
      <c r="B26" s="39"/>
      <c r="C26" s="134" t="s">
        <v>209</v>
      </c>
      <c r="D26" s="38"/>
      <c r="E26" s="39"/>
      <c r="F26" s="134" t="s">
        <v>210</v>
      </c>
      <c r="G26" s="38"/>
      <c r="H26" s="39"/>
    </row>
    <row r="27">
      <c r="A27" s="134" t="s">
        <v>211</v>
      </c>
      <c r="B27" s="48"/>
      <c r="C27" s="134" t="s">
        <v>212</v>
      </c>
      <c r="D27" s="47"/>
      <c r="E27" s="48"/>
      <c r="F27" s="134" t="s">
        <v>213</v>
      </c>
      <c r="G27" s="47"/>
      <c r="H27" s="48"/>
    </row>
    <row r="28" ht="36.0" customHeight="1">
      <c r="A28" s="134" t="s">
        <v>211</v>
      </c>
      <c r="B28" s="39"/>
      <c r="C28" s="134" t="s">
        <v>214</v>
      </c>
      <c r="D28" s="38"/>
      <c r="E28" s="39"/>
      <c r="F28" s="134" t="s">
        <v>215</v>
      </c>
      <c r="G28" s="38"/>
      <c r="H28" s="39"/>
    </row>
    <row r="29">
      <c r="A29" s="134" t="s">
        <v>216</v>
      </c>
      <c r="B29" s="48"/>
      <c r="C29" s="134" t="s">
        <v>217</v>
      </c>
      <c r="D29" s="47"/>
      <c r="E29" s="48"/>
      <c r="F29" s="134" t="s">
        <v>218</v>
      </c>
      <c r="G29" s="47"/>
      <c r="H29" s="48"/>
    </row>
    <row r="30">
      <c r="A30" s="134" t="s">
        <v>219</v>
      </c>
      <c r="B30" s="39"/>
      <c r="C30" s="134" t="s">
        <v>220</v>
      </c>
      <c r="D30" s="38"/>
      <c r="E30" s="39"/>
      <c r="F30" s="134" t="s">
        <v>221</v>
      </c>
      <c r="G30" s="38"/>
      <c r="H30" s="39"/>
    </row>
    <row r="31">
      <c r="A31" s="142"/>
      <c r="D31" s="130"/>
      <c r="E31" s="130"/>
      <c r="F31" s="130"/>
      <c r="G31" s="130"/>
      <c r="H31" s="131"/>
    </row>
    <row r="32">
      <c r="A32" s="129" t="s">
        <v>222</v>
      </c>
      <c r="H32" s="126"/>
    </row>
    <row r="33">
      <c r="H33" s="124"/>
    </row>
    <row r="34">
      <c r="A34" s="141"/>
      <c r="B34" s="141"/>
      <c r="C34" s="141"/>
      <c r="D34" s="141"/>
      <c r="E34" s="141"/>
      <c r="F34" s="141"/>
      <c r="G34" s="141"/>
      <c r="H34" s="143"/>
    </row>
    <row r="35">
      <c r="A35" s="144" t="s">
        <v>223</v>
      </c>
      <c r="B35" s="17"/>
      <c r="C35" s="17"/>
      <c r="D35" s="17"/>
      <c r="E35" s="17"/>
      <c r="F35" s="17"/>
      <c r="G35" s="17"/>
      <c r="H35" s="19"/>
    </row>
    <row r="36">
      <c r="A36" s="132" t="s">
        <v>224</v>
      </c>
      <c r="B36" s="19"/>
      <c r="C36" s="132" t="s">
        <v>225</v>
      </c>
      <c r="D36" s="19"/>
      <c r="E36" s="132" t="s">
        <v>226</v>
      </c>
      <c r="F36" s="19"/>
      <c r="G36" s="132" t="s">
        <v>227</v>
      </c>
      <c r="H36" s="19"/>
    </row>
    <row r="37">
      <c r="A37" s="134" t="s">
        <v>228</v>
      </c>
      <c r="B37" s="19"/>
      <c r="C37" s="135">
        <v>33587.21</v>
      </c>
      <c r="D37" s="19"/>
      <c r="E37" s="145">
        <f>C37/E66</f>
        <v>0.4103361248</v>
      </c>
      <c r="F37" s="19"/>
      <c r="G37" s="134" t="s">
        <v>229</v>
      </c>
      <c r="H37" s="19"/>
    </row>
    <row r="38">
      <c r="A38" s="134" t="s">
        <v>230</v>
      </c>
      <c r="B38" s="19"/>
      <c r="C38" s="135">
        <v>35908.38</v>
      </c>
      <c r="D38" s="19"/>
      <c r="E38" s="145">
        <f>C38/E66</f>
        <v>0.4386939403</v>
      </c>
      <c r="F38" s="19"/>
      <c r="G38" s="134" t="s">
        <v>231</v>
      </c>
      <c r="H38" s="19"/>
    </row>
    <row r="39">
      <c r="A39" s="134" t="s">
        <v>232</v>
      </c>
      <c r="B39" s="19"/>
      <c r="C39" s="135">
        <v>6258.24</v>
      </c>
      <c r="D39" s="19"/>
      <c r="E39" s="145">
        <f>C39/E66</f>
        <v>0.076457138</v>
      </c>
      <c r="F39" s="19"/>
      <c r="G39" s="134" t="s">
        <v>233</v>
      </c>
      <c r="H39" s="19"/>
    </row>
    <row r="40">
      <c r="A40" s="134" t="s">
        <v>234</v>
      </c>
      <c r="B40" s="19"/>
      <c r="C40" s="135">
        <v>2213.05</v>
      </c>
      <c r="D40" s="19"/>
      <c r="E40" s="145">
        <v>0.027</v>
      </c>
      <c r="F40" s="19"/>
      <c r="G40" s="134" t="s">
        <v>235</v>
      </c>
      <c r="H40" s="19"/>
    </row>
    <row r="41">
      <c r="A41" s="134" t="s">
        <v>236</v>
      </c>
      <c r="B41" s="19"/>
      <c r="C41" s="134">
        <v>317.26</v>
      </c>
      <c r="D41" s="19"/>
      <c r="E41" s="145">
        <f>C41/E66</f>
        <v>0.003875976569</v>
      </c>
      <c r="F41" s="19"/>
      <c r="G41" s="134" t="s">
        <v>237</v>
      </c>
      <c r="H41" s="19"/>
    </row>
    <row r="42">
      <c r="A42" s="134" t="s">
        <v>238</v>
      </c>
      <c r="B42" s="19"/>
      <c r="C42" s="135">
        <v>3568.78</v>
      </c>
      <c r="D42" s="19"/>
      <c r="E42" s="145">
        <f>C42/E66</f>
        <v>0.04359991067</v>
      </c>
      <c r="F42" s="19"/>
      <c r="G42" s="134" t="s">
        <v>239</v>
      </c>
      <c r="H42" s="19"/>
    </row>
    <row r="43">
      <c r="A43" s="134" t="s">
        <v>240</v>
      </c>
      <c r="B43" s="19"/>
      <c r="C43" s="135">
        <f>SUM(C37:C42)</f>
        <v>81852.92</v>
      </c>
      <c r="D43" s="19"/>
      <c r="E43" s="145">
        <f>SUM(E37:E42)</f>
        <v>0.9999630904</v>
      </c>
      <c r="F43" s="19"/>
      <c r="G43" s="134"/>
      <c r="H43" s="19"/>
    </row>
    <row r="44">
      <c r="A44" s="141"/>
      <c r="H44" s="146"/>
    </row>
    <row r="45">
      <c r="H45" s="146"/>
    </row>
    <row r="46">
      <c r="H46" s="146"/>
    </row>
    <row r="47">
      <c r="H47" s="146"/>
    </row>
    <row r="48">
      <c r="H48" s="146"/>
    </row>
    <row r="49">
      <c r="H49" s="146"/>
    </row>
    <row r="50">
      <c r="H50" s="146"/>
    </row>
    <row r="51">
      <c r="H51" s="146"/>
    </row>
    <row r="52">
      <c r="H52" s="146"/>
    </row>
    <row r="53">
      <c r="H53" s="146"/>
    </row>
    <row r="54">
      <c r="H54" s="146"/>
    </row>
    <row r="55">
      <c r="H55" s="146"/>
    </row>
    <row r="56">
      <c r="H56" s="146"/>
    </row>
    <row r="57">
      <c r="H57" s="146"/>
    </row>
    <row r="58">
      <c r="H58" s="146"/>
    </row>
    <row r="59">
      <c r="H59" s="146"/>
    </row>
    <row r="60">
      <c r="H60" s="146"/>
    </row>
    <row r="61">
      <c r="H61" s="146"/>
    </row>
    <row r="62">
      <c r="H62" s="146"/>
    </row>
    <row r="63">
      <c r="H63" s="146"/>
    </row>
    <row r="64">
      <c r="H64" s="146"/>
    </row>
    <row r="65">
      <c r="A65" s="129"/>
      <c r="H65" s="146"/>
    </row>
    <row r="66">
      <c r="A66" s="129" t="s">
        <v>241</v>
      </c>
      <c r="E66" s="147">
        <f>sum(C37:D42)</f>
        <v>81852.92</v>
      </c>
      <c r="H66" s="146"/>
    </row>
    <row r="67">
      <c r="A67" s="143"/>
      <c r="B67" s="143"/>
      <c r="C67" s="143"/>
      <c r="D67" s="143"/>
      <c r="E67" s="143"/>
      <c r="F67" s="143"/>
      <c r="G67" s="143"/>
      <c r="H67" s="143"/>
    </row>
    <row r="68">
      <c r="A68" s="144" t="s">
        <v>242</v>
      </c>
      <c r="B68" s="17"/>
      <c r="C68" s="17"/>
      <c r="D68" s="17"/>
      <c r="E68" s="17"/>
      <c r="F68" s="17"/>
      <c r="G68" s="17"/>
      <c r="H68" s="19"/>
    </row>
    <row r="69">
      <c r="A69" s="132" t="s">
        <v>243</v>
      </c>
      <c r="B69" s="19"/>
      <c r="C69" s="132" t="s">
        <v>244</v>
      </c>
      <c r="D69" s="19"/>
      <c r="E69" s="132" t="s">
        <v>245</v>
      </c>
      <c r="F69" s="19"/>
      <c r="G69" s="133" t="s">
        <v>246</v>
      </c>
      <c r="H69" s="133" t="s">
        <v>226</v>
      </c>
    </row>
    <row r="70">
      <c r="A70" s="134" t="s">
        <v>197</v>
      </c>
      <c r="B70" s="19"/>
      <c r="C70" s="134">
        <v>742.61</v>
      </c>
      <c r="D70" s="19"/>
      <c r="E70" s="134">
        <v>742.61</v>
      </c>
      <c r="F70" s="19"/>
      <c r="G70" s="138">
        <v>742.61</v>
      </c>
      <c r="H70" s="137">
        <f>G70/E66</f>
        <v>0.009072492466</v>
      </c>
    </row>
    <row r="71">
      <c r="A71" s="134" t="s">
        <v>247</v>
      </c>
      <c r="B71" s="19"/>
      <c r="C71" s="135">
        <v>6132.3</v>
      </c>
      <c r="D71" s="19"/>
      <c r="E71" s="135">
        <v>6203.49</v>
      </c>
      <c r="F71" s="19"/>
      <c r="G71" s="136">
        <v>4483.01</v>
      </c>
      <c r="H71" s="137">
        <f>G71/E66</f>
        <v>0.05476909071</v>
      </c>
    </row>
    <row r="72">
      <c r="A72" s="134" t="s">
        <v>248</v>
      </c>
      <c r="B72" s="19"/>
      <c r="C72" s="135">
        <v>3274.67</v>
      </c>
      <c r="D72" s="19"/>
      <c r="E72" s="135">
        <v>3339.14</v>
      </c>
      <c r="F72" s="19"/>
      <c r="G72" s="136">
        <v>2860.18</v>
      </c>
      <c r="H72" s="137">
        <f>G72/E66</f>
        <v>0.03494291957</v>
      </c>
    </row>
    <row r="73">
      <c r="A73" s="134" t="s">
        <v>249</v>
      </c>
      <c r="B73" s="19"/>
      <c r="C73" s="135">
        <v>28798.27</v>
      </c>
      <c r="D73" s="19"/>
      <c r="E73" s="135">
        <v>29253.68</v>
      </c>
      <c r="F73" s="19"/>
      <c r="G73" s="136">
        <v>19232.21</v>
      </c>
      <c r="H73" s="137">
        <f>G73/E66</f>
        <v>0.2349605854</v>
      </c>
    </row>
    <row r="74">
      <c r="A74" s="134" t="s">
        <v>196</v>
      </c>
      <c r="B74" s="19"/>
      <c r="C74" s="134">
        <v>551.77</v>
      </c>
      <c r="D74" s="19"/>
      <c r="E74" s="134">
        <v>551.77</v>
      </c>
      <c r="F74" s="19"/>
      <c r="G74" s="138">
        <v>273.37</v>
      </c>
      <c r="H74" s="137">
        <f>G74/E66</f>
        <v>0.003339770896</v>
      </c>
    </row>
    <row r="75">
      <c r="A75" s="134" t="s">
        <v>194</v>
      </c>
      <c r="B75" s="19"/>
      <c r="C75" s="134">
        <v>109.8</v>
      </c>
      <c r="D75" s="19"/>
      <c r="E75" s="134">
        <v>111.23</v>
      </c>
      <c r="F75" s="19"/>
      <c r="G75" s="138">
        <v>31.05</v>
      </c>
      <c r="H75" s="137">
        <f>G75/E66</f>
        <v>0.0003793389411</v>
      </c>
    </row>
    <row r="76">
      <c r="A76" s="134" t="s">
        <v>195</v>
      </c>
      <c r="B76" s="19"/>
      <c r="C76" s="134">
        <v>97.71</v>
      </c>
      <c r="D76" s="19"/>
      <c r="E76" s="134">
        <v>98.86</v>
      </c>
      <c r="F76" s="19"/>
      <c r="G76" s="138">
        <v>24.62</v>
      </c>
      <c r="H76" s="137">
        <f>G76/E66</f>
        <v>0.0003007834052</v>
      </c>
    </row>
    <row r="77">
      <c r="A77" s="148" t="s">
        <v>250</v>
      </c>
      <c r="B77" s="19"/>
      <c r="C77" s="149">
        <f>SUM(C70:C76)</f>
        <v>39707.13</v>
      </c>
      <c r="D77" s="19"/>
      <c r="E77" s="149">
        <f>SUM(E70:E76)</f>
        <v>40300.78</v>
      </c>
      <c r="F77" s="19"/>
      <c r="G77" s="150">
        <f t="shared" ref="G77:H77" si="5">SUM(G70:G76)</f>
        <v>27647.05</v>
      </c>
      <c r="H77" s="151">
        <f t="shared" si="5"/>
        <v>0.3377649814</v>
      </c>
    </row>
    <row r="78">
      <c r="A78" s="134" t="s">
        <v>251</v>
      </c>
      <c r="B78" s="19"/>
      <c r="C78" s="135">
        <v>12429.31</v>
      </c>
      <c r="D78" s="19"/>
      <c r="E78" s="135">
        <v>20100.72</v>
      </c>
      <c r="F78" s="19"/>
      <c r="G78" s="136">
        <v>20100.72</v>
      </c>
      <c r="H78" s="137">
        <f>G78/E66</f>
        <v>0.2455712026</v>
      </c>
    </row>
    <row r="79">
      <c r="A79" s="148" t="s">
        <v>252</v>
      </c>
      <c r="B79" s="19"/>
      <c r="C79" s="149">
        <f>sum(C77:D78)</f>
        <v>52136.44</v>
      </c>
      <c r="D79" s="19"/>
      <c r="E79" s="149">
        <f>sum(E77:F78)</f>
        <v>60401.5</v>
      </c>
      <c r="F79" s="19"/>
      <c r="G79" s="150">
        <f>sum(G77:H78)</f>
        <v>47748.35334</v>
      </c>
      <c r="H79" s="151">
        <f>SUM(H77:H78)</f>
        <v>0.583336184</v>
      </c>
    </row>
    <row r="80">
      <c r="A80" s="141"/>
      <c r="H80" s="146"/>
    </row>
    <row r="81">
      <c r="H81" s="146"/>
    </row>
    <row r="82">
      <c r="A82" s="152" t="s">
        <v>253</v>
      </c>
      <c r="B82" s="17"/>
      <c r="C82" s="17"/>
      <c r="D82" s="17"/>
      <c r="E82" s="17"/>
      <c r="F82" s="17"/>
      <c r="G82" s="17"/>
      <c r="H82" s="19"/>
    </row>
    <row r="83">
      <c r="A83" s="132" t="s">
        <v>254</v>
      </c>
      <c r="B83" s="19"/>
      <c r="C83" s="132" t="s">
        <v>255</v>
      </c>
      <c r="D83" s="19"/>
      <c r="E83" s="132" t="s">
        <v>256</v>
      </c>
      <c r="F83" s="19"/>
      <c r="G83" s="132" t="s">
        <v>257</v>
      </c>
      <c r="H83" s="19"/>
    </row>
    <row r="84">
      <c r="A84" s="134" t="s">
        <v>258</v>
      </c>
      <c r="B84" s="19"/>
      <c r="C84" s="153">
        <f>C18</f>
        <v>12587.7</v>
      </c>
      <c r="D84" s="19"/>
      <c r="E84" s="153">
        <v>27200.0</v>
      </c>
      <c r="F84" s="19"/>
      <c r="G84" s="134">
        <v>18.1</v>
      </c>
      <c r="H84" s="19"/>
    </row>
    <row r="85">
      <c r="A85" s="134" t="s">
        <v>259</v>
      </c>
      <c r="B85" s="19"/>
      <c r="C85" s="153">
        <f>E18</f>
        <v>8265.06</v>
      </c>
      <c r="D85" s="19"/>
      <c r="E85" s="153">
        <v>28350.0</v>
      </c>
      <c r="F85" s="19"/>
      <c r="G85" s="134">
        <v>16.2</v>
      </c>
      <c r="H85" s="19"/>
    </row>
    <row r="86">
      <c r="A86" s="141"/>
      <c r="B86" s="141"/>
      <c r="C86" s="141"/>
      <c r="D86" s="141"/>
      <c r="E86" s="141"/>
      <c r="F86" s="141"/>
      <c r="G86" s="141"/>
      <c r="H86" s="143"/>
    </row>
    <row r="87">
      <c r="A87" s="154" t="s">
        <v>260</v>
      </c>
      <c r="H87" s="146"/>
    </row>
    <row r="88">
      <c r="A88" s="155"/>
      <c r="B88" s="155"/>
      <c r="C88" s="155"/>
      <c r="D88" s="155"/>
      <c r="E88" s="155"/>
      <c r="F88" s="155"/>
      <c r="G88" s="155"/>
      <c r="H88" s="156"/>
    </row>
    <row r="89">
      <c r="A89" s="157" t="s">
        <v>261</v>
      </c>
      <c r="B89" s="120"/>
      <c r="C89" s="158" t="s">
        <v>262</v>
      </c>
      <c r="D89" s="6"/>
      <c r="E89" s="120"/>
      <c r="F89" s="157" t="s">
        <v>263</v>
      </c>
      <c r="G89" s="6"/>
      <c r="H89" s="120"/>
    </row>
    <row r="90">
      <c r="A90" s="159" t="s">
        <v>264</v>
      </c>
      <c r="B90" s="19"/>
      <c r="C90" s="160">
        <v>33602.23</v>
      </c>
      <c r="D90" s="17"/>
      <c r="E90" s="19"/>
      <c r="F90" s="160">
        <v>38319.68</v>
      </c>
      <c r="G90" s="17"/>
      <c r="H90" s="19"/>
    </row>
    <row r="91">
      <c r="A91" s="159" t="s">
        <v>265</v>
      </c>
      <c r="B91" s="19"/>
      <c r="C91" s="160">
        <v>36597.23</v>
      </c>
      <c r="D91" s="17"/>
      <c r="E91" s="19"/>
      <c r="F91" s="160">
        <v>41624.74</v>
      </c>
      <c r="G91" s="17"/>
      <c r="H91" s="19"/>
    </row>
    <row r="92">
      <c r="A92" s="159" t="s">
        <v>266</v>
      </c>
      <c r="B92" s="19"/>
      <c r="C92" s="140">
        <f>C90-C91</f>
        <v>-2995</v>
      </c>
      <c r="D92" s="17"/>
      <c r="E92" s="19"/>
      <c r="F92" s="140">
        <f>F90-F91</f>
        <v>-3305.06</v>
      </c>
      <c r="G92" s="17"/>
      <c r="H92" s="19"/>
    </row>
    <row r="93">
      <c r="A93" s="141" t="s">
        <v>267</v>
      </c>
      <c r="H93" s="146"/>
    </row>
    <row r="94">
      <c r="H94" s="146"/>
    </row>
    <row r="95">
      <c r="H95" s="146"/>
    </row>
    <row r="96">
      <c r="A96" s="129" t="s">
        <v>268</v>
      </c>
      <c r="H96" s="146"/>
    </row>
    <row r="97">
      <c r="H97" s="146"/>
    </row>
    <row r="98">
      <c r="H98" s="146"/>
    </row>
    <row r="99">
      <c r="A99" s="161"/>
      <c r="B99" s="161"/>
      <c r="C99" s="161"/>
      <c r="D99" s="161"/>
      <c r="E99" s="161"/>
      <c r="F99" s="161"/>
      <c r="G99" s="141"/>
      <c r="H99" s="143"/>
    </row>
    <row r="100">
      <c r="A100" s="161"/>
      <c r="B100" s="161"/>
      <c r="C100" s="161"/>
      <c r="D100" s="161"/>
      <c r="E100" s="161"/>
      <c r="F100" s="161"/>
      <c r="G100" s="141"/>
      <c r="H100" s="143"/>
    </row>
    <row r="101">
      <c r="A101" s="161"/>
      <c r="B101" s="161"/>
      <c r="C101" s="161"/>
      <c r="D101" s="161"/>
      <c r="E101" s="161"/>
      <c r="F101" s="161"/>
      <c r="G101" s="141"/>
      <c r="H101" s="143"/>
    </row>
    <row r="102">
      <c r="A102" s="152" t="s">
        <v>269</v>
      </c>
      <c r="B102" s="17"/>
      <c r="C102" s="17"/>
      <c r="D102" s="17"/>
      <c r="E102" s="17"/>
      <c r="F102" s="17"/>
      <c r="G102" s="17"/>
      <c r="H102" s="19"/>
    </row>
    <row r="103">
      <c r="A103" s="133" t="s">
        <v>270</v>
      </c>
      <c r="B103" s="132" t="s">
        <v>271</v>
      </c>
      <c r="C103" s="19"/>
      <c r="D103" s="132" t="s">
        <v>272</v>
      </c>
      <c r="E103" s="19"/>
      <c r="F103" s="133" t="s">
        <v>273</v>
      </c>
      <c r="G103" s="133" t="s">
        <v>274</v>
      </c>
      <c r="H103" s="133" t="s">
        <v>275</v>
      </c>
    </row>
    <row r="104" ht="27.0" customHeight="1">
      <c r="A104" s="138" t="s">
        <v>276</v>
      </c>
      <c r="B104" s="135">
        <v>5035.79</v>
      </c>
      <c r="C104" s="19"/>
      <c r="D104" s="135">
        <v>14573.5</v>
      </c>
      <c r="E104" s="19"/>
      <c r="F104" s="136">
        <f t="shared" ref="F104:F109" si="6">B104-D104</f>
        <v>-9537.71</v>
      </c>
      <c r="G104" s="137">
        <f>B104/B110</f>
        <v>0.09574309513</v>
      </c>
      <c r="H104" s="137">
        <f>D104/D110</f>
        <v>0.2634397951</v>
      </c>
    </row>
    <row r="105">
      <c r="A105" s="138" t="s">
        <v>277</v>
      </c>
      <c r="B105" s="135">
        <v>6176.14</v>
      </c>
      <c r="C105" s="19"/>
      <c r="D105" s="134">
        <v>699.67</v>
      </c>
      <c r="E105" s="19"/>
      <c r="F105" s="136">
        <f t="shared" si="6"/>
        <v>5476.47</v>
      </c>
      <c r="G105" s="137">
        <f>B105/B110</f>
        <v>0.1174240307</v>
      </c>
      <c r="H105" s="137">
        <f>D105/D110</f>
        <v>0.01264767704</v>
      </c>
    </row>
    <row r="106">
      <c r="A106" s="138" t="s">
        <v>278</v>
      </c>
      <c r="B106" s="135">
        <v>26568.34</v>
      </c>
      <c r="C106" s="19"/>
      <c r="D106" s="135">
        <v>29086.39</v>
      </c>
      <c r="E106" s="19"/>
      <c r="F106" s="136">
        <f t="shared" si="6"/>
        <v>-2518.05</v>
      </c>
      <c r="G106" s="137">
        <f>B106/B110</f>
        <v>0.505131291</v>
      </c>
      <c r="H106" s="137">
        <f>D106/D110</f>
        <v>0.5257839654</v>
      </c>
    </row>
    <row r="107" ht="33.75" customHeight="1">
      <c r="A107" s="138" t="s">
        <v>279</v>
      </c>
      <c r="B107" s="135">
        <v>4638.92</v>
      </c>
      <c r="C107" s="19"/>
      <c r="D107" s="135">
        <v>9790.85</v>
      </c>
      <c r="E107" s="19"/>
      <c r="F107" s="136">
        <f t="shared" si="6"/>
        <v>-5151.93</v>
      </c>
      <c r="G107" s="137">
        <f>B107/B110</f>
        <v>0.08819759339</v>
      </c>
      <c r="H107" s="137">
        <f>D107/D110</f>
        <v>0.1769855915</v>
      </c>
    </row>
    <row r="108">
      <c r="A108" s="138" t="s">
        <v>280</v>
      </c>
      <c r="B108" s="135">
        <v>4778.73</v>
      </c>
      <c r="C108" s="19"/>
      <c r="D108" s="135">
        <v>1169.63</v>
      </c>
      <c r="E108" s="19"/>
      <c r="F108" s="136">
        <f t="shared" si="6"/>
        <v>3609.1</v>
      </c>
      <c r="G108" s="137">
        <f>B108/B110</f>
        <v>0.09085573484</v>
      </c>
      <c r="H108" s="137">
        <f>D108/D110</f>
        <v>0.02114297097</v>
      </c>
    </row>
    <row r="109" ht="45.75" customHeight="1">
      <c r="A109" s="138" t="s">
        <v>281</v>
      </c>
      <c r="B109" s="135">
        <v>5398.98</v>
      </c>
      <c r="C109" s="19"/>
      <c r="D109" s="134">
        <v>0.0</v>
      </c>
      <c r="E109" s="19"/>
      <c r="F109" s="136">
        <f t="shared" si="6"/>
        <v>5398.98</v>
      </c>
      <c r="G109" s="137">
        <f>B109/B110</f>
        <v>0.1026482549</v>
      </c>
      <c r="H109" s="138">
        <f>D109/D110</f>
        <v>0</v>
      </c>
    </row>
    <row r="110" ht="37.5" customHeight="1">
      <c r="A110" s="162" t="s">
        <v>282</v>
      </c>
      <c r="B110" s="149">
        <f>SUM(B104:B109)</f>
        <v>52596.9</v>
      </c>
      <c r="C110" s="19"/>
      <c r="D110" s="149">
        <f>SUM(D104:D109)</f>
        <v>55320.04</v>
      </c>
      <c r="E110" s="19"/>
      <c r="F110" s="150">
        <f t="shared" ref="F110:H110" si="7">SUM(F104:F109)</f>
        <v>-2723.14</v>
      </c>
      <c r="G110" s="151">
        <f t="shared" si="7"/>
        <v>1</v>
      </c>
      <c r="H110" s="151">
        <f t="shared" si="7"/>
        <v>1</v>
      </c>
    </row>
    <row r="111">
      <c r="A111" s="141"/>
      <c r="H111" s="146"/>
    </row>
    <row r="112">
      <c r="H112" s="146"/>
    </row>
    <row r="113">
      <c r="H113" s="146"/>
    </row>
    <row r="114">
      <c r="H114" s="146"/>
    </row>
    <row r="115">
      <c r="H115" s="146"/>
    </row>
    <row r="116">
      <c r="H116" s="146"/>
    </row>
    <row r="117">
      <c r="H117" s="146"/>
    </row>
    <row r="118">
      <c r="H118" s="146"/>
    </row>
    <row r="119">
      <c r="H119" s="146"/>
    </row>
    <row r="120">
      <c r="H120" s="146"/>
    </row>
    <row r="121">
      <c r="H121" s="146"/>
    </row>
    <row r="122">
      <c r="H122" s="146"/>
    </row>
    <row r="123">
      <c r="H123" s="146"/>
    </row>
    <row r="124">
      <c r="H124" s="146"/>
    </row>
    <row r="125">
      <c r="H125" s="146"/>
    </row>
    <row r="126">
      <c r="H126" s="146"/>
    </row>
    <row r="127">
      <c r="A127" s="129" t="s">
        <v>283</v>
      </c>
      <c r="H127" s="146"/>
    </row>
    <row r="128">
      <c r="H128" s="146"/>
    </row>
    <row r="129">
      <c r="H129" s="146"/>
    </row>
    <row r="130">
      <c r="A130" s="161"/>
      <c r="B130" s="161"/>
      <c r="C130" s="161"/>
      <c r="D130" s="161"/>
      <c r="E130" s="161"/>
      <c r="F130" s="141"/>
      <c r="G130" s="141"/>
      <c r="H130" s="143"/>
    </row>
    <row r="131">
      <c r="A131" s="152" t="s">
        <v>284</v>
      </c>
      <c r="B131" s="17"/>
      <c r="C131" s="17"/>
      <c r="D131" s="17"/>
      <c r="E131" s="17"/>
      <c r="F131" s="17"/>
      <c r="G131" s="17"/>
      <c r="H131" s="19"/>
    </row>
    <row r="132">
      <c r="A132" s="133" t="s">
        <v>285</v>
      </c>
      <c r="B132" s="132" t="s">
        <v>286</v>
      </c>
      <c r="C132" s="19"/>
      <c r="D132" s="133" t="s">
        <v>287</v>
      </c>
      <c r="E132" s="132" t="s">
        <v>272</v>
      </c>
      <c r="F132" s="19"/>
      <c r="G132" s="132" t="s">
        <v>188</v>
      </c>
      <c r="H132" s="19"/>
    </row>
    <row r="133">
      <c r="A133" s="138" t="s">
        <v>288</v>
      </c>
      <c r="B133" s="135">
        <v>23585.3</v>
      </c>
      <c r="C133" s="19"/>
      <c r="D133" s="137">
        <f>B133/B139</f>
        <v>0.7018968682</v>
      </c>
      <c r="E133" s="135">
        <v>27653.31</v>
      </c>
      <c r="F133" s="19"/>
      <c r="G133" s="135">
        <f t="shared" ref="G133:G138" si="8">B133-E133</f>
        <v>-4068.01</v>
      </c>
      <c r="H133" s="19"/>
    </row>
    <row r="134">
      <c r="A134" s="138" t="s">
        <v>289</v>
      </c>
      <c r="B134" s="135">
        <v>2990.0</v>
      </c>
      <c r="C134" s="19"/>
      <c r="D134" s="137">
        <f>B134/B139</f>
        <v>0.08898218957</v>
      </c>
      <c r="E134" s="135">
        <v>4063.85</v>
      </c>
      <c r="F134" s="19"/>
      <c r="G134" s="135">
        <f t="shared" si="8"/>
        <v>-1073.85</v>
      </c>
      <c r="H134" s="19"/>
    </row>
    <row r="135">
      <c r="A135" s="138" t="s">
        <v>290</v>
      </c>
      <c r="B135" s="134">
        <v>959.33</v>
      </c>
      <c r="C135" s="19"/>
      <c r="D135" s="137">
        <f>B135/B139</f>
        <v>0.02854959329</v>
      </c>
      <c r="E135" s="134">
        <v>119.27</v>
      </c>
      <c r="F135" s="19"/>
      <c r="G135" s="135">
        <f t="shared" si="8"/>
        <v>840.06</v>
      </c>
      <c r="H135" s="19"/>
    </row>
    <row r="136">
      <c r="A136" s="138" t="s">
        <v>291</v>
      </c>
      <c r="B136" s="135">
        <v>6057.23</v>
      </c>
      <c r="C136" s="19"/>
      <c r="D136" s="137">
        <f>B136/B139</f>
        <v>0.1802627385</v>
      </c>
      <c r="E136" s="135">
        <v>6483.25</v>
      </c>
      <c r="F136" s="19"/>
      <c r="G136" s="135">
        <f t="shared" si="8"/>
        <v>-426.02</v>
      </c>
      <c r="H136" s="19"/>
    </row>
    <row r="137">
      <c r="A137" s="138" t="s">
        <v>292</v>
      </c>
      <c r="B137" s="134">
        <v>10.0</v>
      </c>
      <c r="C137" s="19"/>
      <c r="D137" s="137">
        <f>B137/B139</f>
        <v>0.0002975992962</v>
      </c>
      <c r="E137" s="134">
        <v>0.0</v>
      </c>
      <c r="F137" s="19"/>
      <c r="G137" s="135">
        <f t="shared" si="8"/>
        <v>10</v>
      </c>
      <c r="H137" s="19"/>
    </row>
    <row r="138">
      <c r="A138" s="138" t="s">
        <v>293</v>
      </c>
      <c r="B138" s="134">
        <v>0.37</v>
      </c>
      <c r="C138" s="19"/>
      <c r="D138" s="138">
        <f>round(B138/B139,3)</f>
        <v>0</v>
      </c>
      <c r="E138" s="134">
        <v>0.0</v>
      </c>
      <c r="F138" s="19"/>
      <c r="G138" s="135">
        <f t="shared" si="8"/>
        <v>0.37</v>
      </c>
      <c r="H138" s="19"/>
    </row>
    <row r="139">
      <c r="A139" s="162" t="s">
        <v>294</v>
      </c>
      <c r="B139" s="149">
        <f>SUM(B133:B138)</f>
        <v>33602.23</v>
      </c>
      <c r="C139" s="19"/>
      <c r="D139" s="151">
        <f t="shared" ref="D139:E139" si="9">SUM(D133:D138)</f>
        <v>0.9999889888</v>
      </c>
      <c r="E139" s="149">
        <f t="shared" si="9"/>
        <v>38319.68</v>
      </c>
      <c r="F139" s="19"/>
      <c r="G139" s="149">
        <f>SUM(G133:G138)</f>
        <v>-4717.45</v>
      </c>
      <c r="H139" s="19"/>
    </row>
    <row r="140">
      <c r="A140" s="141"/>
      <c r="H140" s="146"/>
    </row>
    <row r="141">
      <c r="H141" s="146"/>
    </row>
    <row r="142">
      <c r="H142" s="146"/>
    </row>
    <row r="143">
      <c r="H143" s="146"/>
    </row>
    <row r="144">
      <c r="H144" s="146"/>
    </row>
    <row r="145">
      <c r="H145" s="146"/>
    </row>
    <row r="146">
      <c r="H146" s="146"/>
    </row>
    <row r="147">
      <c r="H147" s="146"/>
    </row>
    <row r="148">
      <c r="H148" s="146"/>
    </row>
    <row r="149">
      <c r="H149" s="146"/>
    </row>
    <row r="150">
      <c r="H150" s="146"/>
    </row>
    <row r="151">
      <c r="H151" s="146"/>
    </row>
    <row r="152">
      <c r="H152" s="146"/>
    </row>
    <row r="153">
      <c r="H153" s="146"/>
    </row>
    <row r="154">
      <c r="H154" s="146"/>
    </row>
    <row r="155">
      <c r="H155" s="146"/>
    </row>
    <row r="156">
      <c r="H156" s="146"/>
    </row>
    <row r="157">
      <c r="H157" s="146"/>
    </row>
    <row r="158">
      <c r="H158" s="146"/>
    </row>
    <row r="159">
      <c r="A159" s="129" t="s">
        <v>295</v>
      </c>
      <c r="H159" s="146"/>
    </row>
    <row r="160">
      <c r="H160" s="146"/>
    </row>
    <row r="161">
      <c r="H161" s="146"/>
    </row>
    <row r="162">
      <c r="A162" s="141"/>
      <c r="B162" s="141"/>
      <c r="C162" s="141"/>
      <c r="D162" s="141"/>
      <c r="E162" s="141"/>
      <c r="F162" s="141"/>
      <c r="G162" s="141"/>
      <c r="H162" s="143"/>
    </row>
    <row r="163">
      <c r="A163" s="152" t="s">
        <v>296</v>
      </c>
      <c r="B163" s="17"/>
      <c r="C163" s="17"/>
      <c r="D163" s="17"/>
      <c r="E163" s="17"/>
      <c r="F163" s="17"/>
      <c r="G163" s="17"/>
      <c r="H163" s="19"/>
    </row>
    <row r="164">
      <c r="A164" s="133" t="s">
        <v>285</v>
      </c>
      <c r="B164" s="132" t="s">
        <v>286</v>
      </c>
      <c r="C164" s="19"/>
      <c r="D164" s="133" t="s">
        <v>287</v>
      </c>
      <c r="E164" s="132" t="s">
        <v>272</v>
      </c>
      <c r="F164" s="19"/>
      <c r="G164" s="132" t="s">
        <v>188</v>
      </c>
      <c r="H164" s="19"/>
    </row>
    <row r="165">
      <c r="A165" s="138" t="s">
        <v>297</v>
      </c>
      <c r="B165" s="135">
        <v>26568.34</v>
      </c>
      <c r="C165" s="19"/>
      <c r="D165" s="137">
        <f>B165/B170</f>
        <v>0.7259658723</v>
      </c>
      <c r="E165" s="135">
        <v>29086.39</v>
      </c>
      <c r="F165" s="19"/>
      <c r="G165" s="135">
        <f t="shared" ref="G165:G169" si="10">B165-E165</f>
        <v>-2518.05</v>
      </c>
      <c r="H165" s="19"/>
    </row>
    <row r="166">
      <c r="A166" s="138" t="s">
        <v>298</v>
      </c>
      <c r="B166" s="135">
        <v>4638.92</v>
      </c>
      <c r="C166" s="19"/>
      <c r="D166" s="137">
        <f>B166/B170</f>
        <v>0.1267560414</v>
      </c>
      <c r="E166" s="135">
        <v>9790.85</v>
      </c>
      <c r="F166" s="19"/>
      <c r="G166" s="135">
        <f t="shared" si="10"/>
        <v>-5151.93</v>
      </c>
      <c r="H166" s="19"/>
    </row>
    <row r="167">
      <c r="A167" s="138" t="s">
        <v>299</v>
      </c>
      <c r="B167" s="135">
        <v>4778.73</v>
      </c>
      <c r="C167" s="19"/>
      <c r="D167" s="137">
        <f>B167/B170</f>
        <v>0.1305762759</v>
      </c>
      <c r="E167" s="135">
        <v>1169.63</v>
      </c>
      <c r="F167" s="19"/>
      <c r="G167" s="135">
        <f t="shared" si="10"/>
        <v>3609.1</v>
      </c>
      <c r="H167" s="19"/>
    </row>
    <row r="168">
      <c r="A168" s="138" t="s">
        <v>300</v>
      </c>
      <c r="B168" s="134">
        <v>545.21</v>
      </c>
      <c r="C168" s="19"/>
      <c r="D168" s="137">
        <f>B168/B170</f>
        <v>0.01489757558</v>
      </c>
      <c r="E168" s="134">
        <v>552.34</v>
      </c>
      <c r="F168" s="19"/>
      <c r="G168" s="135">
        <f t="shared" si="10"/>
        <v>-7.13</v>
      </c>
      <c r="H168" s="19"/>
    </row>
    <row r="169">
      <c r="A169" s="138" t="s">
        <v>301</v>
      </c>
      <c r="B169" s="134">
        <v>66.03</v>
      </c>
      <c r="C169" s="19"/>
      <c r="D169" s="137">
        <f>B169/B170</f>
        <v>0.001804234911</v>
      </c>
      <c r="E169" s="135">
        <v>1025.55</v>
      </c>
      <c r="F169" s="19"/>
      <c r="G169" s="135">
        <f t="shared" si="10"/>
        <v>-959.52</v>
      </c>
      <c r="H169" s="19"/>
    </row>
    <row r="170">
      <c r="A170" s="162" t="s">
        <v>302</v>
      </c>
      <c r="B170" s="149">
        <f>SUM(B165:B169)</f>
        <v>36597.23</v>
      </c>
      <c r="C170" s="19"/>
      <c r="D170" s="151">
        <f t="shared" ref="D170:E170" si="11">SUM(D165:D169)</f>
        <v>1</v>
      </c>
      <c r="E170" s="149">
        <f t="shared" si="11"/>
        <v>41624.76</v>
      </c>
      <c r="F170" s="19"/>
      <c r="G170" s="149">
        <f>SUM(G165:G169)</f>
        <v>-5027.53</v>
      </c>
      <c r="H170" s="19"/>
    </row>
    <row r="171">
      <c r="A171" s="141"/>
      <c r="H171" s="146"/>
    </row>
    <row r="172">
      <c r="H172" s="146"/>
    </row>
    <row r="173">
      <c r="H173" s="146"/>
    </row>
    <row r="174">
      <c r="H174" s="146"/>
    </row>
    <row r="175">
      <c r="H175" s="146"/>
    </row>
    <row r="176">
      <c r="H176" s="146"/>
    </row>
    <row r="177">
      <c r="H177" s="146"/>
    </row>
    <row r="178">
      <c r="H178" s="146"/>
    </row>
    <row r="179">
      <c r="H179" s="146"/>
    </row>
    <row r="180">
      <c r="H180" s="146"/>
    </row>
    <row r="181">
      <c r="H181" s="146"/>
    </row>
    <row r="182">
      <c r="H182" s="146"/>
    </row>
    <row r="183">
      <c r="H183" s="146"/>
    </row>
    <row r="184">
      <c r="H184" s="146"/>
    </row>
    <row r="185">
      <c r="H185" s="146"/>
    </row>
    <row r="186">
      <c r="H186" s="146"/>
    </row>
    <row r="187">
      <c r="H187" s="146"/>
    </row>
    <row r="188">
      <c r="H188" s="146"/>
    </row>
    <row r="189">
      <c r="H189" s="146"/>
    </row>
    <row r="190">
      <c r="A190" s="163" t="s">
        <v>303</v>
      </c>
      <c r="H190" s="146"/>
    </row>
    <row r="191">
      <c r="H191" s="146"/>
    </row>
    <row r="192">
      <c r="H192" s="146"/>
    </row>
    <row r="193">
      <c r="A193" s="164" t="s">
        <v>304</v>
      </c>
      <c r="H193" s="146"/>
    </row>
    <row r="194">
      <c r="A194" s="141"/>
      <c r="B194" s="141"/>
      <c r="C194" s="141"/>
      <c r="D194" s="141"/>
      <c r="E194" s="141"/>
      <c r="F194" s="141"/>
      <c r="G194" s="141"/>
      <c r="H194" s="143"/>
    </row>
    <row r="195">
      <c r="A195" s="165" t="s">
        <v>305</v>
      </c>
      <c r="B195" s="165" t="s">
        <v>306</v>
      </c>
      <c r="C195" s="165" t="s">
        <v>307</v>
      </c>
      <c r="D195" s="165" t="s">
        <v>308</v>
      </c>
      <c r="E195" s="165" t="s">
        <v>309</v>
      </c>
      <c r="F195" s="165" t="s">
        <v>297</v>
      </c>
      <c r="G195" s="165" t="s">
        <v>310</v>
      </c>
      <c r="H195" s="165" t="s">
        <v>311</v>
      </c>
    </row>
    <row r="196">
      <c r="A196" s="166">
        <v>45078.0</v>
      </c>
      <c r="B196" s="167">
        <v>3755.6</v>
      </c>
      <c r="C196" s="167">
        <v>20890.33</v>
      </c>
      <c r="D196" s="167">
        <v>24645.93</v>
      </c>
      <c r="E196" s="167">
        <v>9599.57</v>
      </c>
      <c r="F196" s="167">
        <v>19931.75</v>
      </c>
      <c r="G196" s="167">
        <f t="shared" ref="G196:G203" si="12">sum(E196:F196)</f>
        <v>29531.32</v>
      </c>
      <c r="H196" s="167">
        <f t="shared" ref="H196:H203" si="13">G196/D196</f>
        <v>1.198222993</v>
      </c>
    </row>
    <row r="197">
      <c r="A197" s="166">
        <v>45170.0</v>
      </c>
      <c r="B197" s="167">
        <v>3755.6</v>
      </c>
      <c r="C197" s="167">
        <v>19934.25</v>
      </c>
      <c r="D197" s="167">
        <v>23689.85</v>
      </c>
      <c r="E197" s="167">
        <v>10381.42</v>
      </c>
      <c r="F197" s="167">
        <v>14040.76</v>
      </c>
      <c r="G197" s="167">
        <f t="shared" si="12"/>
        <v>24422.18</v>
      </c>
      <c r="H197" s="167">
        <f t="shared" si="13"/>
        <v>1.030913239</v>
      </c>
    </row>
    <row r="198">
      <c r="A198" s="166">
        <v>45261.0</v>
      </c>
      <c r="B198" s="167">
        <v>3755.6</v>
      </c>
      <c r="C198" s="167">
        <v>23044.85</v>
      </c>
      <c r="D198" s="167">
        <v>26800.45</v>
      </c>
      <c r="E198" s="167">
        <v>9907.63</v>
      </c>
      <c r="F198" s="167">
        <v>23220.18</v>
      </c>
      <c r="G198" s="167">
        <f t="shared" si="12"/>
        <v>33127.81</v>
      </c>
      <c r="H198" s="167">
        <f t="shared" si="13"/>
        <v>1.236091558</v>
      </c>
    </row>
    <row r="199">
      <c r="A199" s="166">
        <v>45352.0</v>
      </c>
      <c r="B199" s="167">
        <v>3755.6</v>
      </c>
      <c r="C199" s="167">
        <v>23073.51</v>
      </c>
      <c r="D199" s="167">
        <v>26829.11</v>
      </c>
      <c r="E199" s="167">
        <v>7465.67</v>
      </c>
      <c r="F199" s="167">
        <v>29086.39</v>
      </c>
      <c r="G199" s="167">
        <f t="shared" si="12"/>
        <v>36552.06</v>
      </c>
      <c r="H199" s="167">
        <f t="shared" si="13"/>
        <v>1.362403002</v>
      </c>
    </row>
    <row r="200">
      <c r="A200" s="166">
        <v>45444.0</v>
      </c>
      <c r="B200" s="167">
        <v>3755.6</v>
      </c>
      <c r="C200" s="167">
        <v>21344.75</v>
      </c>
      <c r="D200" s="167">
        <v>25100.35</v>
      </c>
      <c r="E200" s="167">
        <v>8333.88</v>
      </c>
      <c r="F200" s="167">
        <v>21869.14</v>
      </c>
      <c r="G200" s="167">
        <f t="shared" si="12"/>
        <v>30203.02</v>
      </c>
      <c r="H200" s="167">
        <f t="shared" si="13"/>
        <v>1.203290791</v>
      </c>
    </row>
    <row r="201">
      <c r="A201" s="166">
        <v>45536.0</v>
      </c>
      <c r="B201" s="167">
        <v>4356.55</v>
      </c>
      <c r="C201" s="167">
        <v>23560.03</v>
      </c>
      <c r="D201" s="167">
        <v>27916.58</v>
      </c>
      <c r="E201" s="167">
        <v>17455.06</v>
      </c>
      <c r="F201" s="167">
        <v>15443.85</v>
      </c>
      <c r="G201" s="167">
        <f t="shared" si="12"/>
        <v>32898.91</v>
      </c>
      <c r="H201" s="167">
        <f t="shared" si="13"/>
        <v>1.178472076</v>
      </c>
    </row>
    <row r="202">
      <c r="A202" s="166">
        <v>45627.0</v>
      </c>
      <c r="B202" s="167">
        <v>4356.55</v>
      </c>
      <c r="C202" s="167">
        <v>23604.51</v>
      </c>
      <c r="D202" s="167">
        <v>27961.06</v>
      </c>
      <c r="E202" s="167">
        <v>18010.79</v>
      </c>
      <c r="F202" s="167">
        <v>14496.21</v>
      </c>
      <c r="G202" s="167">
        <f t="shared" si="12"/>
        <v>32507</v>
      </c>
      <c r="H202" s="167">
        <f t="shared" si="13"/>
        <v>1.162581104</v>
      </c>
    </row>
    <row r="203">
      <c r="A203" s="166">
        <v>45717.0</v>
      </c>
      <c r="B203" s="167">
        <v>4356.55</v>
      </c>
      <c r="C203" s="167">
        <v>23691.28</v>
      </c>
      <c r="D203" s="167">
        <v>28047.83</v>
      </c>
      <c r="E203" s="167">
        <v>12483.53</v>
      </c>
      <c r="F203" s="167">
        <v>26568.34</v>
      </c>
      <c r="G203" s="167">
        <f t="shared" si="12"/>
        <v>39051.87</v>
      </c>
      <c r="H203" s="167">
        <f t="shared" si="13"/>
        <v>1.392331243</v>
      </c>
    </row>
    <row r="204">
      <c r="A204" s="141"/>
      <c r="B204" s="141"/>
      <c r="C204" s="141"/>
      <c r="D204" s="141"/>
      <c r="E204" s="141"/>
      <c r="F204" s="141"/>
      <c r="G204" s="141"/>
      <c r="H204" s="143"/>
    </row>
    <row r="205">
      <c r="A205" s="168" t="s">
        <v>312</v>
      </c>
      <c r="H205" s="146"/>
    </row>
    <row r="206">
      <c r="A206" s="163" t="s">
        <v>313</v>
      </c>
      <c r="H206" s="146"/>
    </row>
    <row r="207">
      <c r="A207" s="163" t="s">
        <v>314</v>
      </c>
      <c r="H207" s="146"/>
    </row>
    <row r="208">
      <c r="A208" s="163" t="s">
        <v>315</v>
      </c>
      <c r="H208" s="146"/>
    </row>
    <row r="209">
      <c r="A209" s="163" t="s">
        <v>316</v>
      </c>
      <c r="H209" s="146"/>
    </row>
    <row r="210">
      <c r="A210" s="163" t="s">
        <v>317</v>
      </c>
      <c r="H210" s="146"/>
    </row>
    <row r="211">
      <c r="A211" s="141"/>
      <c r="H211" s="146"/>
    </row>
    <row r="212">
      <c r="A212" s="168" t="s">
        <v>318</v>
      </c>
      <c r="H212" s="146"/>
    </row>
    <row r="213">
      <c r="A213" s="163" t="s">
        <v>319</v>
      </c>
      <c r="H213" s="146"/>
    </row>
    <row r="214">
      <c r="A214" s="163" t="s">
        <v>320</v>
      </c>
      <c r="H214" s="146"/>
    </row>
    <row r="215">
      <c r="A215" s="163" t="s">
        <v>321</v>
      </c>
      <c r="H215" s="146"/>
    </row>
    <row r="216">
      <c r="A216" s="163" t="s">
        <v>322</v>
      </c>
      <c r="H216" s="146"/>
    </row>
    <row r="217">
      <c r="A217" s="163" t="s">
        <v>323</v>
      </c>
      <c r="H217" s="146"/>
    </row>
    <row r="218">
      <c r="A218" s="141"/>
      <c r="B218" s="141"/>
      <c r="C218" s="141"/>
      <c r="D218" s="141"/>
      <c r="E218" s="141"/>
      <c r="F218" s="141"/>
      <c r="G218" s="141"/>
      <c r="H218" s="143"/>
    </row>
    <row r="219">
      <c r="A219" s="141"/>
      <c r="B219" s="141"/>
      <c r="C219" s="141"/>
      <c r="D219" s="141"/>
      <c r="E219" s="141"/>
      <c r="F219" s="141"/>
      <c r="G219" s="141"/>
      <c r="H219" s="143"/>
    </row>
    <row r="220">
      <c r="A220" s="132" t="s">
        <v>324</v>
      </c>
      <c r="B220" s="19"/>
      <c r="C220" s="132" t="s">
        <v>325</v>
      </c>
      <c r="D220" s="19"/>
      <c r="E220" s="132" t="s">
        <v>326</v>
      </c>
      <c r="F220" s="19"/>
      <c r="G220" s="133" t="s">
        <v>188</v>
      </c>
      <c r="H220" s="133" t="s">
        <v>189</v>
      </c>
    </row>
    <row r="221">
      <c r="A221" s="134" t="s">
        <v>308</v>
      </c>
      <c r="B221" s="19"/>
      <c r="C221" s="153">
        <v>26829.0</v>
      </c>
      <c r="D221" s="19"/>
      <c r="E221" s="153">
        <v>28048.0</v>
      </c>
      <c r="F221" s="19"/>
      <c r="G221" s="169">
        <f t="shared" ref="G221:G226" si="14">E221-C221</f>
        <v>1219</v>
      </c>
      <c r="H221" s="170">
        <f t="shared" ref="H221:H226" si="15">round(100*G221/C221,4)</f>
        <v>4.5436</v>
      </c>
    </row>
    <row r="222">
      <c r="A222" s="134" t="s">
        <v>327</v>
      </c>
      <c r="B222" s="19"/>
      <c r="C222" s="153">
        <v>7466.0</v>
      </c>
      <c r="D222" s="19"/>
      <c r="E222" s="153">
        <v>12484.0</v>
      </c>
      <c r="F222" s="19"/>
      <c r="G222" s="169">
        <f t="shared" si="14"/>
        <v>5018</v>
      </c>
      <c r="H222" s="170">
        <f t="shared" si="15"/>
        <v>67.2114</v>
      </c>
    </row>
    <row r="223">
      <c r="A223" s="134" t="s">
        <v>328</v>
      </c>
      <c r="B223" s="19"/>
      <c r="C223" s="153">
        <v>29086.0</v>
      </c>
      <c r="D223" s="19"/>
      <c r="E223" s="153">
        <v>26568.0</v>
      </c>
      <c r="F223" s="19"/>
      <c r="G223" s="169">
        <f t="shared" si="14"/>
        <v>-2518</v>
      </c>
      <c r="H223" s="170">
        <f t="shared" si="15"/>
        <v>-8.6571</v>
      </c>
    </row>
    <row r="224">
      <c r="A224" s="134" t="s">
        <v>329</v>
      </c>
      <c r="B224" s="19"/>
      <c r="C224" s="153">
        <v>36552.0</v>
      </c>
      <c r="D224" s="19"/>
      <c r="E224" s="153">
        <v>39052.0</v>
      </c>
      <c r="F224" s="19"/>
      <c r="G224" s="169">
        <f t="shared" si="14"/>
        <v>2500</v>
      </c>
      <c r="H224" s="170">
        <f t="shared" si="15"/>
        <v>6.8396</v>
      </c>
    </row>
    <row r="225">
      <c r="A225" s="134" t="s">
        <v>330</v>
      </c>
      <c r="B225" s="19"/>
      <c r="C225" s="134">
        <v>1.36</v>
      </c>
      <c r="D225" s="19"/>
      <c r="E225" s="134">
        <v>1.39</v>
      </c>
      <c r="F225" s="19"/>
      <c r="G225" s="170">
        <f t="shared" si="14"/>
        <v>0.03</v>
      </c>
      <c r="H225" s="170">
        <f t="shared" si="15"/>
        <v>2.2059</v>
      </c>
    </row>
    <row r="226">
      <c r="A226" s="134" t="s">
        <v>331</v>
      </c>
      <c r="B226" s="19"/>
      <c r="C226" s="145">
        <v>0.577</v>
      </c>
      <c r="D226" s="19"/>
      <c r="E226" s="145">
        <v>0.582</v>
      </c>
      <c r="F226" s="19"/>
      <c r="G226" s="171">
        <f t="shared" si="14"/>
        <v>0.005</v>
      </c>
      <c r="H226" s="170">
        <f t="shared" si="15"/>
        <v>0.8666</v>
      </c>
    </row>
    <row r="227">
      <c r="A227" s="172" t="s">
        <v>332</v>
      </c>
      <c r="B227" s="19"/>
      <c r="C227" s="173">
        <v>0.423</v>
      </c>
      <c r="D227" s="19"/>
      <c r="E227" s="173">
        <v>0.418</v>
      </c>
      <c r="F227" s="19"/>
      <c r="G227" s="174">
        <v>-0.005</v>
      </c>
      <c r="H227" s="175">
        <v>-1.18</v>
      </c>
    </row>
    <row r="228">
      <c r="A228" s="141"/>
      <c r="B228" s="141"/>
      <c r="C228" s="141"/>
      <c r="D228" s="141"/>
      <c r="E228" s="141"/>
      <c r="F228" s="141"/>
      <c r="G228" s="141"/>
      <c r="H228" s="143"/>
    </row>
    <row r="229">
      <c r="A229" s="176" t="s">
        <v>333</v>
      </c>
      <c r="H229" s="146"/>
    </row>
    <row r="230">
      <c r="A230" s="163" t="s">
        <v>334</v>
      </c>
      <c r="H230" s="146"/>
    </row>
    <row r="231">
      <c r="A231" s="163" t="s">
        <v>335</v>
      </c>
      <c r="H231" s="146"/>
    </row>
    <row r="232">
      <c r="A232" s="128" t="s">
        <v>336</v>
      </c>
      <c r="H232" s="146"/>
    </row>
    <row r="233">
      <c r="A233" s="128" t="s">
        <v>337</v>
      </c>
      <c r="H233" s="146"/>
    </row>
    <row r="234">
      <c r="A234" s="163" t="s">
        <v>338</v>
      </c>
      <c r="H234" s="146"/>
    </row>
    <row r="235">
      <c r="A235" s="141"/>
      <c r="B235" s="141"/>
      <c r="C235" s="141"/>
      <c r="D235" s="141"/>
      <c r="E235" s="141"/>
      <c r="F235" s="141"/>
      <c r="G235" s="141"/>
      <c r="H235" s="143"/>
    </row>
    <row r="236">
      <c r="A236" s="141"/>
      <c r="B236" s="141"/>
      <c r="C236" s="141"/>
      <c r="D236" s="141"/>
      <c r="E236" s="141"/>
      <c r="F236" s="141"/>
      <c r="G236" s="141"/>
      <c r="H236" s="143"/>
    </row>
    <row r="237">
      <c r="A237" s="177" t="s">
        <v>339</v>
      </c>
      <c r="B237" s="17"/>
      <c r="C237" s="17"/>
      <c r="D237" s="17"/>
      <c r="E237" s="17"/>
      <c r="F237" s="17"/>
      <c r="G237" s="17"/>
      <c r="H237" s="19"/>
    </row>
    <row r="238">
      <c r="A238" s="132" t="s">
        <v>340</v>
      </c>
      <c r="B238" s="19"/>
      <c r="C238" s="133" t="s">
        <v>341</v>
      </c>
      <c r="D238" s="133" t="s">
        <v>342</v>
      </c>
      <c r="E238" s="132" t="s">
        <v>154</v>
      </c>
      <c r="F238" s="19"/>
      <c r="G238" s="132" t="s">
        <v>343</v>
      </c>
      <c r="H238" s="19"/>
    </row>
    <row r="239">
      <c r="A239" s="134" t="s">
        <v>344</v>
      </c>
      <c r="B239" s="19"/>
      <c r="C239" s="178">
        <v>5399.0</v>
      </c>
      <c r="D239" s="138" t="s">
        <v>345</v>
      </c>
      <c r="E239" s="134" t="s">
        <v>346</v>
      </c>
      <c r="F239" s="19"/>
      <c r="G239" s="134" t="s">
        <v>347</v>
      </c>
      <c r="H239" s="19"/>
    </row>
    <row r="240">
      <c r="A240" s="134" t="s">
        <v>348</v>
      </c>
      <c r="B240" s="19"/>
      <c r="C240" s="138" t="s">
        <v>349</v>
      </c>
      <c r="D240" s="138" t="s">
        <v>350</v>
      </c>
      <c r="E240" s="134" t="s">
        <v>351</v>
      </c>
      <c r="F240" s="19"/>
      <c r="G240" s="134" t="s">
        <v>352</v>
      </c>
      <c r="H240" s="19"/>
    </row>
    <row r="241">
      <c r="A241" s="134" t="s">
        <v>276</v>
      </c>
      <c r="B241" s="19"/>
      <c r="C241" s="178">
        <v>5036.0</v>
      </c>
      <c r="D241" s="138" t="s">
        <v>353</v>
      </c>
      <c r="E241" s="134" t="s">
        <v>354</v>
      </c>
      <c r="F241" s="19"/>
      <c r="G241" s="134" t="s">
        <v>355</v>
      </c>
      <c r="H241" s="19"/>
    </row>
    <row r="242">
      <c r="A242" s="134" t="s">
        <v>356</v>
      </c>
      <c r="B242" s="19"/>
      <c r="C242" s="138" t="s">
        <v>357</v>
      </c>
      <c r="D242" s="138" t="s">
        <v>350</v>
      </c>
      <c r="E242" s="134" t="s">
        <v>358</v>
      </c>
      <c r="F242" s="19"/>
      <c r="G242" s="134" t="s">
        <v>359</v>
      </c>
      <c r="H242" s="19"/>
    </row>
    <row r="243">
      <c r="A243" s="134" t="s">
        <v>360</v>
      </c>
      <c r="B243" s="19"/>
      <c r="C243" s="178">
        <v>2518.0</v>
      </c>
      <c r="D243" s="138" t="s">
        <v>353</v>
      </c>
      <c r="E243" s="134" t="s">
        <v>361</v>
      </c>
      <c r="F243" s="19"/>
      <c r="G243" s="134" t="s">
        <v>362</v>
      </c>
      <c r="H243" s="19"/>
    </row>
    <row r="244">
      <c r="A244" s="141"/>
      <c r="B244" s="141"/>
      <c r="C244" s="141"/>
      <c r="D244" s="141"/>
      <c r="E244" s="141"/>
      <c r="F244" s="141"/>
      <c r="G244" s="141"/>
      <c r="H244" s="143"/>
    </row>
    <row r="245">
      <c r="A245" s="141"/>
      <c r="B245" s="141"/>
      <c r="C245" s="141"/>
      <c r="D245" s="141"/>
      <c r="E245" s="141"/>
      <c r="F245" s="141"/>
      <c r="G245" s="141"/>
      <c r="H245" s="143"/>
    </row>
    <row r="246">
      <c r="A246" s="179" t="s">
        <v>363</v>
      </c>
      <c r="H246" s="146"/>
    </row>
    <row r="247">
      <c r="A247" s="141"/>
      <c r="B247" s="141"/>
      <c r="C247" s="141"/>
      <c r="D247" s="141"/>
      <c r="E247" s="141"/>
      <c r="F247" s="141"/>
      <c r="G247" s="141"/>
      <c r="H247" s="143"/>
    </row>
    <row r="248">
      <c r="A248" s="177" t="s">
        <v>364</v>
      </c>
      <c r="B248" s="17"/>
      <c r="C248" s="17"/>
      <c r="D248" s="17"/>
      <c r="E248" s="17"/>
      <c r="F248" s="17"/>
      <c r="G248" s="17"/>
      <c r="H248" s="19"/>
    </row>
    <row r="249">
      <c r="A249" s="133" t="s">
        <v>365</v>
      </c>
      <c r="B249" s="133" t="s">
        <v>366</v>
      </c>
      <c r="C249" s="132" t="s">
        <v>367</v>
      </c>
      <c r="D249" s="19"/>
      <c r="E249" s="133" t="s">
        <v>368</v>
      </c>
      <c r="F249" s="132" t="s">
        <v>369</v>
      </c>
      <c r="G249" s="17"/>
      <c r="H249" s="19"/>
    </row>
    <row r="250">
      <c r="A250" s="138" t="s">
        <v>370</v>
      </c>
      <c r="B250" s="178">
        <v>8265.0</v>
      </c>
      <c r="C250" s="134" t="s">
        <v>371</v>
      </c>
      <c r="D250" s="19"/>
      <c r="E250" s="138" t="s">
        <v>372</v>
      </c>
      <c r="F250" s="134" t="s">
        <v>373</v>
      </c>
      <c r="G250" s="17"/>
      <c r="H250" s="19"/>
    </row>
    <row r="251">
      <c r="A251" s="138" t="s">
        <v>374</v>
      </c>
      <c r="B251" s="138" t="s">
        <v>375</v>
      </c>
      <c r="C251" s="134" t="s">
        <v>376</v>
      </c>
      <c r="D251" s="19"/>
      <c r="E251" s="138" t="s">
        <v>372</v>
      </c>
      <c r="F251" s="134" t="s">
        <v>377</v>
      </c>
      <c r="G251" s="17"/>
      <c r="H251" s="19"/>
    </row>
    <row r="252">
      <c r="A252" s="138" t="s">
        <v>378</v>
      </c>
      <c r="B252" s="178">
        <v>3427.0</v>
      </c>
      <c r="C252" s="134" t="s">
        <v>379</v>
      </c>
      <c r="D252" s="19"/>
      <c r="E252" s="138" t="s">
        <v>380</v>
      </c>
      <c r="F252" s="134" t="s">
        <v>381</v>
      </c>
      <c r="G252" s="17"/>
      <c r="H252" s="19"/>
    </row>
    <row r="253">
      <c r="A253" s="138" t="s">
        <v>266</v>
      </c>
      <c r="B253" s="138" t="s">
        <v>382</v>
      </c>
      <c r="C253" s="134" t="s">
        <v>383</v>
      </c>
      <c r="D253" s="19"/>
      <c r="E253" s="138" t="s">
        <v>372</v>
      </c>
      <c r="F253" s="134" t="s">
        <v>384</v>
      </c>
      <c r="G253" s="17"/>
      <c r="H253" s="19"/>
    </row>
    <row r="254">
      <c r="A254" s="138" t="s">
        <v>385</v>
      </c>
      <c r="B254" s="138" t="s">
        <v>386</v>
      </c>
      <c r="C254" s="134" t="s">
        <v>387</v>
      </c>
      <c r="D254" s="19"/>
      <c r="E254" s="138" t="s">
        <v>388</v>
      </c>
      <c r="F254" s="134" t="s">
        <v>389</v>
      </c>
      <c r="G254" s="17"/>
      <c r="H254" s="19"/>
    </row>
    <row r="255">
      <c r="A255" s="141"/>
      <c r="B255" s="141"/>
      <c r="C255" s="141"/>
      <c r="D255" s="141"/>
      <c r="E255" s="141"/>
      <c r="F255" s="141"/>
      <c r="G255" s="141"/>
      <c r="H255" s="143"/>
    </row>
    <row r="256">
      <c r="A256" s="141"/>
      <c r="B256" s="141"/>
      <c r="C256" s="141"/>
      <c r="D256" s="141"/>
      <c r="E256" s="141"/>
      <c r="F256" s="141"/>
      <c r="G256" s="141"/>
      <c r="H256" s="143"/>
    </row>
    <row r="257">
      <c r="A257" s="180" t="s">
        <v>390</v>
      </c>
      <c r="B257" s="17"/>
      <c r="C257" s="17"/>
      <c r="D257" s="17"/>
      <c r="E257" s="17"/>
      <c r="F257" s="17"/>
      <c r="G257" s="17"/>
      <c r="H257" s="19"/>
    </row>
    <row r="258">
      <c r="A258" s="132" t="s">
        <v>324</v>
      </c>
      <c r="B258" s="19"/>
      <c r="C258" s="132" t="s">
        <v>186</v>
      </c>
      <c r="D258" s="19"/>
      <c r="E258" s="132" t="s">
        <v>187</v>
      </c>
      <c r="F258" s="19"/>
      <c r="G258" s="133" t="s">
        <v>188</v>
      </c>
      <c r="H258" s="133" t="s">
        <v>391</v>
      </c>
    </row>
    <row r="259">
      <c r="A259" s="134" t="s">
        <v>308</v>
      </c>
      <c r="B259" s="19"/>
      <c r="C259" s="134" t="s">
        <v>392</v>
      </c>
      <c r="D259" s="19"/>
      <c r="E259" s="134" t="s">
        <v>393</v>
      </c>
      <c r="F259" s="19"/>
      <c r="G259" s="170">
        <f>+4.5%</f>
        <v>0.045</v>
      </c>
      <c r="H259" s="138" t="s">
        <v>394</v>
      </c>
    </row>
    <row r="260">
      <c r="A260" s="134" t="s">
        <v>329</v>
      </c>
      <c r="B260" s="19"/>
      <c r="C260" s="134" t="s">
        <v>395</v>
      </c>
      <c r="D260" s="19"/>
      <c r="E260" s="134" t="s">
        <v>396</v>
      </c>
      <c r="F260" s="19"/>
      <c r="G260" s="170">
        <f>+6.8%</f>
        <v>0.068</v>
      </c>
      <c r="H260" s="138" t="s">
        <v>394</v>
      </c>
    </row>
    <row r="261">
      <c r="A261" s="134" t="s">
        <v>330</v>
      </c>
      <c r="B261" s="19"/>
      <c r="C261" s="134" t="s">
        <v>397</v>
      </c>
      <c r="D261" s="19"/>
      <c r="E261" s="134" t="s">
        <v>398</v>
      </c>
      <c r="F261" s="19"/>
      <c r="G261" s="170">
        <f>+2.2%</f>
        <v>0.022</v>
      </c>
      <c r="H261" s="138" t="s">
        <v>399</v>
      </c>
    </row>
    <row r="262">
      <c r="A262" s="134" t="s">
        <v>276</v>
      </c>
      <c r="B262" s="19"/>
      <c r="C262" s="134" t="s">
        <v>400</v>
      </c>
      <c r="D262" s="19"/>
      <c r="E262" s="134" t="s">
        <v>401</v>
      </c>
      <c r="F262" s="19"/>
      <c r="G262" s="137">
        <v>-0.654</v>
      </c>
      <c r="H262" s="138" t="s">
        <v>402</v>
      </c>
    </row>
    <row r="263">
      <c r="A263" s="134" t="s">
        <v>403</v>
      </c>
      <c r="B263" s="19"/>
      <c r="C263" s="134" t="s">
        <v>404</v>
      </c>
      <c r="D263" s="19"/>
      <c r="E263" s="134" t="s">
        <v>405</v>
      </c>
      <c r="F263" s="19"/>
      <c r="G263" s="137">
        <v>-0.344</v>
      </c>
      <c r="H263" s="138" t="s">
        <v>406</v>
      </c>
    </row>
    <row r="264">
      <c r="A264" s="134" t="s">
        <v>407</v>
      </c>
      <c r="B264" s="19"/>
      <c r="C264" s="134" t="s">
        <v>408</v>
      </c>
      <c r="D264" s="19"/>
      <c r="E264" s="134" t="s">
        <v>409</v>
      </c>
      <c r="F264" s="19"/>
      <c r="G264" s="138" t="s">
        <v>410</v>
      </c>
      <c r="H264" s="138" t="s">
        <v>411</v>
      </c>
    </row>
    <row r="265">
      <c r="A265" s="134" t="s">
        <v>412</v>
      </c>
      <c r="B265" s="19"/>
      <c r="C265" s="134" t="s">
        <v>413</v>
      </c>
      <c r="D265" s="19"/>
      <c r="E265" s="134" t="s">
        <v>414</v>
      </c>
      <c r="F265" s="19"/>
      <c r="G265" s="137">
        <v>-0.751</v>
      </c>
      <c r="H265" s="138" t="s">
        <v>415</v>
      </c>
    </row>
    <row r="266">
      <c r="A266" s="134" t="s">
        <v>416</v>
      </c>
      <c r="B266" s="19"/>
      <c r="C266" s="145">
        <v>0.932</v>
      </c>
      <c r="D266" s="19"/>
      <c r="E266" s="145">
        <v>0.431</v>
      </c>
      <c r="F266" s="19"/>
      <c r="G266" s="138" t="s">
        <v>417</v>
      </c>
      <c r="H266" s="138" t="s">
        <v>418</v>
      </c>
    </row>
    <row r="267">
      <c r="A267" s="134" t="s">
        <v>419</v>
      </c>
      <c r="B267" s="19"/>
      <c r="C267" s="134" t="s">
        <v>420</v>
      </c>
      <c r="D267" s="19"/>
      <c r="E267" s="134" t="s">
        <v>421</v>
      </c>
      <c r="F267" s="19"/>
      <c r="G267" s="138" t="s">
        <v>422</v>
      </c>
      <c r="H267" s="138" t="s">
        <v>423</v>
      </c>
    </row>
    <row r="268">
      <c r="A268" s="141"/>
      <c r="B268" s="141"/>
      <c r="C268" s="141"/>
      <c r="D268" s="141"/>
      <c r="E268" s="141"/>
      <c r="F268" s="141"/>
      <c r="G268" s="141"/>
      <c r="H268" s="143"/>
    </row>
    <row r="269">
      <c r="A269" s="128" t="s">
        <v>424</v>
      </c>
      <c r="H269" s="146"/>
    </row>
    <row r="270">
      <c r="H270" s="146"/>
    </row>
    <row r="271">
      <c r="H271" s="146"/>
    </row>
    <row r="272">
      <c r="H272" s="146"/>
    </row>
    <row r="273">
      <c r="H273" s="146"/>
    </row>
    <row r="274">
      <c r="H274" s="146"/>
    </row>
    <row r="275">
      <c r="H275" s="146"/>
    </row>
    <row r="276">
      <c r="H276" s="146"/>
    </row>
    <row r="277">
      <c r="H277" s="146"/>
    </row>
    <row r="278">
      <c r="A278" s="129"/>
      <c r="B278" s="129"/>
      <c r="C278" s="129"/>
      <c r="D278" s="129"/>
      <c r="E278" s="129"/>
      <c r="F278" s="129"/>
      <c r="G278" s="129"/>
      <c r="H278" s="181"/>
    </row>
    <row r="279">
      <c r="A279" s="164" t="s">
        <v>425</v>
      </c>
      <c r="H279" s="146"/>
    </row>
    <row r="280">
      <c r="A280" s="141"/>
      <c r="B280" s="141"/>
      <c r="C280" s="141"/>
      <c r="D280" s="141"/>
      <c r="E280" s="141"/>
      <c r="F280" s="141"/>
      <c r="G280" s="141"/>
      <c r="H280" s="143"/>
    </row>
    <row r="281">
      <c r="A281" s="182" t="s">
        <v>426</v>
      </c>
      <c r="H281" s="146"/>
    </row>
    <row r="282">
      <c r="A282" s="141"/>
      <c r="B282" s="141"/>
      <c r="C282" s="141"/>
      <c r="D282" s="141"/>
      <c r="E282" s="141"/>
      <c r="F282" s="141"/>
      <c r="G282" s="141"/>
      <c r="H282" s="143"/>
    </row>
    <row r="283">
      <c r="A283" s="183" t="s">
        <v>427</v>
      </c>
      <c r="H283" s="146"/>
    </row>
    <row r="284">
      <c r="A284" s="184"/>
      <c r="B284" s="141"/>
      <c r="C284" s="141"/>
      <c r="D284" s="141"/>
      <c r="E284" s="141"/>
      <c r="F284" s="141"/>
      <c r="G284" s="141"/>
      <c r="H284" s="143"/>
    </row>
    <row r="285">
      <c r="A285" s="133" t="s">
        <v>285</v>
      </c>
      <c r="B285" s="132" t="s">
        <v>428</v>
      </c>
      <c r="C285" s="17"/>
      <c r="D285" s="17"/>
      <c r="E285" s="19"/>
      <c r="F285" s="132" t="s">
        <v>429</v>
      </c>
      <c r="G285" s="17"/>
      <c r="H285" s="19"/>
    </row>
    <row r="286" ht="27.75" customHeight="1">
      <c r="A286" s="138" t="s">
        <v>430</v>
      </c>
      <c r="B286" s="145">
        <v>0.069</v>
      </c>
      <c r="C286" s="17"/>
      <c r="D286" s="17"/>
      <c r="E286" s="19"/>
      <c r="F286" s="134" t="s">
        <v>431</v>
      </c>
      <c r="G286" s="17"/>
      <c r="H286" s="19"/>
    </row>
    <row r="287">
      <c r="A287" s="138" t="s">
        <v>432</v>
      </c>
      <c r="B287" s="145">
        <v>0.13</v>
      </c>
      <c r="C287" s="17"/>
      <c r="D287" s="17"/>
      <c r="E287" s="19"/>
      <c r="F287" s="134" t="s">
        <v>433</v>
      </c>
      <c r="G287" s="17"/>
      <c r="H287" s="19"/>
    </row>
    <row r="288">
      <c r="A288" s="138" t="s">
        <v>434</v>
      </c>
      <c r="B288" s="145">
        <v>0.061</v>
      </c>
      <c r="C288" s="17"/>
      <c r="D288" s="17"/>
      <c r="E288" s="19"/>
      <c r="F288" s="134" t="s">
        <v>435</v>
      </c>
      <c r="G288" s="17"/>
      <c r="H288" s="19"/>
    </row>
    <row r="289">
      <c r="A289" s="141"/>
      <c r="B289" s="141"/>
      <c r="C289" s="141"/>
      <c r="D289" s="141"/>
      <c r="E289" s="141"/>
      <c r="F289" s="141"/>
      <c r="G289" s="141"/>
      <c r="H289" s="143"/>
    </row>
    <row r="290">
      <c r="A290" s="168" t="s">
        <v>436</v>
      </c>
      <c r="H290" s="146"/>
    </row>
    <row r="291">
      <c r="A291" s="185"/>
      <c r="B291" s="185"/>
      <c r="C291" s="185"/>
      <c r="D291" s="185"/>
      <c r="F291" s="141"/>
      <c r="G291" s="141"/>
      <c r="H291" s="143"/>
    </row>
    <row r="292">
      <c r="A292" s="128" t="s">
        <v>437</v>
      </c>
      <c r="H292" s="146"/>
    </row>
    <row r="293">
      <c r="A293" s="128" t="s">
        <v>438</v>
      </c>
      <c r="H293" s="146"/>
    </row>
    <row r="294">
      <c r="A294" s="128" t="s">
        <v>439</v>
      </c>
      <c r="H294" s="146"/>
    </row>
    <row r="295">
      <c r="A295" s="128" t="s">
        <v>440</v>
      </c>
      <c r="H295" s="146"/>
    </row>
    <row r="296">
      <c r="A296" s="128" t="s">
        <v>441</v>
      </c>
      <c r="H296" s="146"/>
    </row>
    <row r="297">
      <c r="A297" s="186" t="s">
        <v>442</v>
      </c>
      <c r="H297" s="146"/>
    </row>
    <row r="298">
      <c r="A298" s="141"/>
      <c r="B298" s="141"/>
      <c r="C298" s="141"/>
      <c r="D298" s="141"/>
      <c r="E298" s="141"/>
      <c r="F298" s="141"/>
      <c r="G298" s="141"/>
      <c r="H298" s="143"/>
    </row>
    <row r="299">
      <c r="A299" s="141"/>
      <c r="B299" s="141"/>
      <c r="C299" s="141"/>
      <c r="D299" s="177" t="s">
        <v>443</v>
      </c>
      <c r="E299" s="19"/>
      <c r="F299" s="141"/>
      <c r="G299" s="141"/>
      <c r="H299" s="143"/>
    </row>
    <row r="300">
      <c r="A300" s="141"/>
      <c r="B300" s="141"/>
      <c r="C300" s="141"/>
      <c r="D300" s="172" t="s">
        <v>444</v>
      </c>
      <c r="E300" s="19"/>
      <c r="F300" s="141"/>
      <c r="G300" s="141"/>
      <c r="H300" s="143"/>
    </row>
    <row r="301">
      <c r="A301" s="141"/>
      <c r="B301" s="141"/>
      <c r="C301" s="141"/>
      <c r="D301" s="172" t="s">
        <v>445</v>
      </c>
      <c r="E301" s="19"/>
      <c r="F301" s="141"/>
      <c r="G301" s="141"/>
      <c r="H301" s="143"/>
    </row>
    <row r="302">
      <c r="A302" s="141"/>
      <c r="B302" s="141"/>
      <c r="C302" s="141"/>
      <c r="D302" s="187" t="s">
        <v>446</v>
      </c>
      <c r="E302" s="19"/>
      <c r="F302" s="141"/>
      <c r="G302" s="141"/>
      <c r="H302" s="143"/>
    </row>
    <row r="303">
      <c r="A303" s="141"/>
      <c r="B303" s="141"/>
      <c r="C303" s="141"/>
      <c r="D303" s="141"/>
      <c r="E303" s="141"/>
      <c r="F303" s="141"/>
      <c r="G303" s="141"/>
      <c r="H303" s="143"/>
    </row>
    <row r="304">
      <c r="A304" s="182" t="s">
        <v>447</v>
      </c>
      <c r="H304" s="146"/>
    </row>
    <row r="305">
      <c r="A305" s="184"/>
      <c r="B305" s="141"/>
      <c r="C305" s="141"/>
      <c r="D305" s="141"/>
      <c r="E305" s="141"/>
      <c r="F305" s="141"/>
      <c r="G305" s="141"/>
      <c r="H305" s="143"/>
    </row>
    <row r="306">
      <c r="A306" s="141"/>
      <c r="B306" s="141"/>
      <c r="C306" s="132" t="s">
        <v>448</v>
      </c>
      <c r="D306" s="19"/>
      <c r="E306" s="132" t="s">
        <v>366</v>
      </c>
      <c r="F306" s="19"/>
      <c r="G306" s="141"/>
      <c r="H306" s="143"/>
    </row>
    <row r="307">
      <c r="A307" s="141"/>
      <c r="B307" s="141"/>
      <c r="C307" s="134" t="s">
        <v>449</v>
      </c>
      <c r="D307" s="19"/>
      <c r="E307" s="135">
        <v>3426.97</v>
      </c>
      <c r="F307" s="19"/>
      <c r="G307" s="141"/>
      <c r="H307" s="143"/>
    </row>
    <row r="308">
      <c r="A308" s="141"/>
      <c r="B308" s="141"/>
      <c r="C308" s="134" t="s">
        <v>450</v>
      </c>
      <c r="D308" s="19"/>
      <c r="E308" s="135">
        <v>39051.87</v>
      </c>
      <c r="F308" s="19"/>
      <c r="G308" s="141"/>
      <c r="H308" s="143"/>
    </row>
    <row r="309">
      <c r="A309" s="141"/>
      <c r="B309" s="141"/>
      <c r="C309" s="134" t="s">
        <v>451</v>
      </c>
      <c r="D309" s="19"/>
      <c r="E309" s="145">
        <f>E307/E308</f>
        <v>0.08775431241</v>
      </c>
      <c r="F309" s="19"/>
      <c r="G309" s="141"/>
      <c r="H309" s="143"/>
    </row>
    <row r="310">
      <c r="A310" s="141"/>
      <c r="B310" s="141"/>
      <c r="C310" s="141"/>
      <c r="D310" s="141"/>
      <c r="E310" s="141"/>
      <c r="F310" s="141"/>
      <c r="G310" s="141"/>
      <c r="H310" s="143"/>
    </row>
    <row r="311">
      <c r="A311" s="141"/>
      <c r="B311" s="141"/>
      <c r="C311" s="141"/>
      <c r="D311" s="141"/>
      <c r="E311" s="141"/>
      <c r="F311" s="141"/>
      <c r="G311" s="141"/>
      <c r="H311" s="143"/>
    </row>
    <row r="312">
      <c r="A312" s="141"/>
      <c r="B312" s="141"/>
      <c r="C312" s="188" t="s">
        <v>452</v>
      </c>
      <c r="D312" s="17"/>
      <c r="E312" s="17"/>
      <c r="F312" s="19"/>
      <c r="G312" s="141"/>
      <c r="H312" s="143"/>
    </row>
    <row r="313">
      <c r="A313" s="141"/>
      <c r="B313" s="141"/>
      <c r="C313" s="189" t="s">
        <v>453</v>
      </c>
      <c r="D313" s="17"/>
      <c r="E313" s="17"/>
      <c r="F313" s="19"/>
      <c r="G313" s="141"/>
      <c r="H313" s="143"/>
    </row>
    <row r="314">
      <c r="A314" s="141"/>
      <c r="B314" s="141"/>
      <c r="C314" s="189" t="s">
        <v>454</v>
      </c>
      <c r="D314" s="17"/>
      <c r="E314" s="17"/>
      <c r="F314" s="19"/>
      <c r="G314" s="141"/>
      <c r="H314" s="143"/>
    </row>
    <row r="315">
      <c r="A315" s="141"/>
      <c r="B315" s="141"/>
      <c r="C315" s="190" t="s">
        <v>455</v>
      </c>
      <c r="D315" s="17"/>
      <c r="E315" s="17"/>
      <c r="F315" s="19"/>
      <c r="G315" s="141"/>
      <c r="H315" s="143"/>
    </row>
    <row r="316">
      <c r="A316" s="141"/>
      <c r="B316" s="141"/>
      <c r="C316" s="141"/>
      <c r="D316" s="141"/>
      <c r="E316" s="141"/>
      <c r="F316" s="141"/>
      <c r="G316" s="141"/>
      <c r="H316" s="143"/>
    </row>
    <row r="317">
      <c r="A317" s="182" t="s">
        <v>456</v>
      </c>
      <c r="H317" s="146"/>
    </row>
    <row r="318">
      <c r="A318" s="184"/>
      <c r="B318" s="141"/>
      <c r="C318" s="141"/>
      <c r="D318" s="141"/>
      <c r="E318" s="141"/>
      <c r="F318" s="141"/>
      <c r="G318" s="141"/>
      <c r="H318" s="143"/>
    </row>
    <row r="319">
      <c r="A319" s="184"/>
      <c r="B319" s="141"/>
      <c r="C319" s="191" t="s">
        <v>457</v>
      </c>
      <c r="D319" s="191">
        <v>7.88</v>
      </c>
      <c r="E319" s="191" t="s">
        <v>458</v>
      </c>
      <c r="F319" s="191">
        <v>2178.277</v>
      </c>
      <c r="G319" s="141"/>
      <c r="H319" s="143"/>
    </row>
    <row r="320">
      <c r="A320" s="184"/>
      <c r="B320" s="141"/>
      <c r="C320" s="141"/>
      <c r="D320" s="141"/>
      <c r="E320" s="141"/>
      <c r="F320" s="141"/>
      <c r="G320" s="141"/>
      <c r="H320" s="143"/>
    </row>
    <row r="321">
      <c r="A321" s="141"/>
      <c r="B321" s="141"/>
      <c r="C321" s="132" t="s">
        <v>285</v>
      </c>
      <c r="D321" s="19"/>
      <c r="E321" s="133" t="s">
        <v>366</v>
      </c>
      <c r="F321" s="133" t="s">
        <v>459</v>
      </c>
      <c r="G321" s="141"/>
      <c r="H321" s="143"/>
    </row>
    <row r="322">
      <c r="A322" s="141"/>
      <c r="B322" s="141"/>
      <c r="C322" s="134" t="s">
        <v>460</v>
      </c>
      <c r="D322" s="19"/>
      <c r="E322" s="178">
        <f>D319*F319</f>
        <v>17164.82276</v>
      </c>
      <c r="F322" s="151">
        <f>E322/E324</f>
        <v>0.3053324951</v>
      </c>
      <c r="G322" s="141"/>
      <c r="H322" s="143"/>
    </row>
    <row r="323">
      <c r="A323" s="141"/>
      <c r="B323" s="141"/>
      <c r="C323" s="134" t="s">
        <v>461</v>
      </c>
      <c r="D323" s="19"/>
      <c r="E323" s="178">
        <v>39052.0</v>
      </c>
      <c r="F323" s="151">
        <f>E323/E324</f>
        <v>0.6946675049</v>
      </c>
      <c r="G323" s="141"/>
      <c r="H323" s="143"/>
    </row>
    <row r="324">
      <c r="A324" s="141"/>
      <c r="B324" s="141"/>
      <c r="C324" s="134" t="s">
        <v>462</v>
      </c>
      <c r="D324" s="19"/>
      <c r="E324" s="178">
        <f>sum(E322:E323)</f>
        <v>56216.82276</v>
      </c>
      <c r="F324" s="192">
        <f>F322+F323</f>
        <v>1</v>
      </c>
      <c r="G324" s="141"/>
      <c r="H324" s="143"/>
    </row>
    <row r="325">
      <c r="A325" s="141"/>
      <c r="B325" s="141"/>
      <c r="C325" s="141"/>
      <c r="D325" s="141"/>
      <c r="E325" s="141"/>
      <c r="F325" s="141"/>
      <c r="G325" s="141"/>
      <c r="H325" s="143"/>
    </row>
    <row r="326">
      <c r="A326" s="129" t="s">
        <v>463</v>
      </c>
      <c r="H326" s="146"/>
    </row>
    <row r="327">
      <c r="A327" s="185"/>
      <c r="B327" s="141"/>
      <c r="C327" s="141"/>
      <c r="D327" s="141"/>
      <c r="E327" s="141"/>
      <c r="F327" s="141"/>
      <c r="G327" s="141"/>
      <c r="H327" s="143"/>
    </row>
    <row r="328">
      <c r="A328" s="176" t="s">
        <v>464</v>
      </c>
      <c r="H328" s="146"/>
    </row>
    <row r="329">
      <c r="A329" s="163"/>
      <c r="H329" s="146"/>
    </row>
    <row r="330">
      <c r="A330" s="128"/>
      <c r="B330" s="128"/>
      <c r="C330" s="175"/>
      <c r="D330" s="175" t="s">
        <v>465</v>
      </c>
      <c r="E330" s="175" t="s">
        <v>466</v>
      </c>
      <c r="F330" s="175" t="s">
        <v>467</v>
      </c>
      <c r="G330" s="128"/>
      <c r="H330" s="193"/>
    </row>
    <row r="331">
      <c r="A331" s="128"/>
      <c r="B331" s="128"/>
      <c r="C331" s="175" t="s">
        <v>350</v>
      </c>
      <c r="D331" s="174">
        <f>F323</f>
        <v>0.6946675049</v>
      </c>
      <c r="E331" s="175">
        <v>8.78</v>
      </c>
      <c r="F331" s="175">
        <f t="shared" ref="F331:F332" si="16">round(E331*D331,5)</f>
        <v>6.09918</v>
      </c>
      <c r="G331" s="128"/>
      <c r="H331" s="193"/>
    </row>
    <row r="332">
      <c r="A332" s="128"/>
      <c r="B332" s="128"/>
      <c r="C332" s="175" t="s">
        <v>345</v>
      </c>
      <c r="D332" s="174">
        <f>F322</f>
        <v>0.3053324951</v>
      </c>
      <c r="E332" s="175">
        <v>15.62</v>
      </c>
      <c r="F332" s="175">
        <f t="shared" si="16"/>
        <v>4.76929</v>
      </c>
      <c r="G332" s="128"/>
      <c r="H332" s="193"/>
    </row>
    <row r="333">
      <c r="A333" s="128"/>
      <c r="B333" s="128"/>
      <c r="C333" s="175" t="s">
        <v>468</v>
      </c>
      <c r="D333" s="172"/>
      <c r="E333" s="19"/>
      <c r="F333" s="175">
        <f>SUM(F331:F332)</f>
        <v>10.86847</v>
      </c>
      <c r="G333" s="128"/>
      <c r="H333" s="193"/>
    </row>
    <row r="334">
      <c r="A334" s="128"/>
      <c r="B334" s="128"/>
      <c r="C334" s="128"/>
      <c r="D334" s="128"/>
      <c r="E334" s="128"/>
      <c r="F334" s="128"/>
      <c r="G334" s="128"/>
      <c r="H334" s="193"/>
    </row>
    <row r="335">
      <c r="A335" s="128" t="s">
        <v>469</v>
      </c>
      <c r="H335" s="146"/>
    </row>
    <row r="336">
      <c r="A336" s="128" t="s">
        <v>470</v>
      </c>
      <c r="H336" s="146"/>
    </row>
    <row r="337">
      <c r="A337" s="183" t="s">
        <v>471</v>
      </c>
      <c r="H337" s="146"/>
    </row>
    <row r="338">
      <c r="A338" s="185"/>
      <c r="H338" s="146"/>
    </row>
    <row r="339">
      <c r="A339" s="186" t="s">
        <v>472</v>
      </c>
      <c r="H339" s="146"/>
    </row>
    <row r="340">
      <c r="A340" s="186" t="s">
        <v>473</v>
      </c>
      <c r="H340" s="146"/>
    </row>
    <row r="341">
      <c r="A341" s="168" t="s">
        <v>474</v>
      </c>
      <c r="H341" s="146"/>
    </row>
    <row r="342">
      <c r="A342" s="186" t="s">
        <v>475</v>
      </c>
      <c r="H342" s="146"/>
    </row>
    <row r="343">
      <c r="A343" s="186"/>
      <c r="H343" s="146"/>
    </row>
    <row r="344">
      <c r="A344" s="194" t="s">
        <v>476</v>
      </c>
      <c r="H344" s="146"/>
    </row>
    <row r="345">
      <c r="H345" s="146"/>
    </row>
    <row r="346">
      <c r="A346" s="195" t="s">
        <v>477</v>
      </c>
      <c r="H346" s="146"/>
    </row>
    <row r="347">
      <c r="A347" s="194" t="s">
        <v>478</v>
      </c>
      <c r="H347" s="146"/>
    </row>
    <row r="348">
      <c r="A348" s="196"/>
      <c r="H348" s="146"/>
    </row>
    <row r="349">
      <c r="A349" s="197" t="s">
        <v>479</v>
      </c>
      <c r="H349" s="146"/>
    </row>
    <row r="350">
      <c r="A350" s="198" t="s">
        <v>480</v>
      </c>
      <c r="H350" s="146"/>
    </row>
    <row r="351">
      <c r="A351" s="198" t="s">
        <v>481</v>
      </c>
      <c r="H351" s="146"/>
    </row>
    <row r="352">
      <c r="A352" s="199"/>
      <c r="H352" s="146"/>
    </row>
    <row r="353">
      <c r="A353" s="197" t="s">
        <v>482</v>
      </c>
      <c r="H353" s="146"/>
    </row>
    <row r="354">
      <c r="A354" s="198" t="s">
        <v>480</v>
      </c>
      <c r="H354" s="146"/>
    </row>
    <row r="355">
      <c r="A355" s="198" t="s">
        <v>483</v>
      </c>
      <c r="H355" s="146"/>
    </row>
    <row r="356">
      <c r="A356" s="196"/>
      <c r="H356" s="146"/>
    </row>
    <row r="357">
      <c r="A357" s="197" t="s">
        <v>484</v>
      </c>
      <c r="H357" s="146"/>
    </row>
    <row r="358">
      <c r="A358" s="198" t="s">
        <v>485</v>
      </c>
      <c r="H358" s="146"/>
    </row>
    <row r="359">
      <c r="A359" s="197" t="s">
        <v>486</v>
      </c>
      <c r="H359" s="146"/>
    </row>
    <row r="360">
      <c r="A360" s="198" t="s">
        <v>487</v>
      </c>
      <c r="H360" s="146"/>
    </row>
    <row r="361">
      <c r="A361" s="198" t="s">
        <v>488</v>
      </c>
      <c r="H361" s="146"/>
    </row>
    <row r="362">
      <c r="A362" s="198" t="s">
        <v>489</v>
      </c>
      <c r="H362" s="146"/>
    </row>
    <row r="363">
      <c r="A363" s="198"/>
      <c r="H363" s="146"/>
    </row>
    <row r="364">
      <c r="A364" s="194" t="s">
        <v>490</v>
      </c>
      <c r="H364" s="146"/>
    </row>
    <row r="365">
      <c r="A365" s="198"/>
      <c r="H365" s="146"/>
    </row>
    <row r="366">
      <c r="A366" s="200"/>
      <c r="B366" s="121" t="s">
        <v>491</v>
      </c>
      <c r="C366" s="121" t="s">
        <v>492</v>
      </c>
      <c r="D366" s="121" t="s">
        <v>493</v>
      </c>
      <c r="E366" s="121" t="s">
        <v>494</v>
      </c>
      <c r="F366" s="121" t="s">
        <v>495</v>
      </c>
      <c r="G366" s="121" t="s">
        <v>496</v>
      </c>
      <c r="H366" s="200"/>
    </row>
    <row r="367">
      <c r="A367" s="200"/>
      <c r="B367" s="201" t="s">
        <v>497</v>
      </c>
      <c r="C367" s="202">
        <v>2736.0</v>
      </c>
      <c r="D367" s="202">
        <v>1850.0</v>
      </c>
      <c r="E367" s="202">
        <v>6000.0</v>
      </c>
      <c r="F367" s="201">
        <v>655.0</v>
      </c>
      <c r="G367" s="202">
        <f t="shared" ref="G367:G371" si="17">C367+D367-E367-F367</f>
        <v>-2069</v>
      </c>
      <c r="H367" s="200"/>
    </row>
    <row r="368">
      <c r="A368" s="200"/>
      <c r="B368" s="201" t="s">
        <v>498</v>
      </c>
      <c r="C368" s="202">
        <v>3705.0</v>
      </c>
      <c r="D368" s="202">
        <v>1900.0</v>
      </c>
      <c r="E368" s="202">
        <v>4000.0</v>
      </c>
      <c r="F368" s="201">
        <v>611.0</v>
      </c>
      <c r="G368" s="202">
        <f t="shared" si="17"/>
        <v>994</v>
      </c>
      <c r="H368" s="200"/>
    </row>
    <row r="369">
      <c r="A369" s="200"/>
      <c r="B369" s="201" t="s">
        <v>499</v>
      </c>
      <c r="C369" s="202">
        <v>4406.0</v>
      </c>
      <c r="D369" s="202">
        <v>1950.0</v>
      </c>
      <c r="E369" s="202">
        <v>4000.0</v>
      </c>
      <c r="F369" s="201">
        <v>538.0</v>
      </c>
      <c r="G369" s="202">
        <f t="shared" si="17"/>
        <v>1818</v>
      </c>
      <c r="H369" s="200"/>
    </row>
    <row r="370">
      <c r="A370" s="200"/>
      <c r="B370" s="201" t="s">
        <v>500</v>
      </c>
      <c r="C370" s="202">
        <v>5125.0</v>
      </c>
      <c r="D370" s="202">
        <v>2000.0</v>
      </c>
      <c r="E370" s="202">
        <v>4200.0</v>
      </c>
      <c r="F370" s="201">
        <v>509.0</v>
      </c>
      <c r="G370" s="202">
        <f t="shared" si="17"/>
        <v>2416</v>
      </c>
      <c r="H370" s="200"/>
    </row>
    <row r="371">
      <c r="A371" s="200"/>
      <c r="B371" s="201" t="s">
        <v>501</v>
      </c>
      <c r="C371" s="202">
        <v>5503.0</v>
      </c>
      <c r="D371" s="202">
        <v>2050.0</v>
      </c>
      <c r="E371" s="202">
        <v>4500.0</v>
      </c>
      <c r="F371" s="201">
        <v>466.0</v>
      </c>
      <c r="G371" s="202">
        <f t="shared" si="17"/>
        <v>2587</v>
      </c>
      <c r="H371" s="200"/>
    </row>
    <row r="372">
      <c r="A372" s="203" t="s">
        <v>502</v>
      </c>
      <c r="H372" s="146"/>
    </row>
    <row r="373">
      <c r="H373" s="146"/>
    </row>
    <row r="374">
      <c r="H374" s="146"/>
    </row>
    <row r="375">
      <c r="H375" s="146"/>
    </row>
    <row r="376">
      <c r="H376" s="146"/>
    </row>
    <row r="377">
      <c r="H377" s="146"/>
    </row>
    <row r="378">
      <c r="H378" s="146"/>
    </row>
    <row r="379">
      <c r="H379" s="146"/>
    </row>
    <row r="380">
      <c r="H380" s="146"/>
    </row>
    <row r="381">
      <c r="H381" s="146"/>
    </row>
    <row r="382">
      <c r="H382" s="146"/>
    </row>
    <row r="383">
      <c r="H383" s="146"/>
    </row>
    <row r="384">
      <c r="H384" s="146"/>
    </row>
    <row r="385">
      <c r="H385" s="146"/>
    </row>
    <row r="386">
      <c r="A386" s="196"/>
      <c r="B386" s="196"/>
      <c r="C386" s="196"/>
      <c r="D386" s="196"/>
      <c r="E386" s="196"/>
      <c r="F386" s="196"/>
      <c r="G386" s="196"/>
      <c r="H386" s="204"/>
    </row>
    <row r="387">
      <c r="A387" s="194" t="s">
        <v>503</v>
      </c>
      <c r="H387" s="146"/>
    </row>
    <row r="388">
      <c r="A388" s="198"/>
      <c r="H388" s="146"/>
    </row>
    <row r="389">
      <c r="A389" s="205" t="s">
        <v>504</v>
      </c>
      <c r="B389" s="206"/>
      <c r="C389" s="206"/>
      <c r="D389" s="206"/>
      <c r="E389" s="206"/>
      <c r="F389" s="206"/>
      <c r="G389" s="206"/>
      <c r="H389" s="207"/>
    </row>
    <row r="390">
      <c r="A390" s="208" t="s">
        <v>491</v>
      </c>
      <c r="B390" s="19"/>
      <c r="C390" s="208" t="s">
        <v>496</v>
      </c>
      <c r="D390" s="19"/>
      <c r="E390" s="208" t="s">
        <v>505</v>
      </c>
      <c r="F390" s="19"/>
      <c r="G390" s="208" t="s">
        <v>506</v>
      </c>
      <c r="H390" s="19"/>
    </row>
    <row r="391">
      <c r="A391" s="209" t="s">
        <v>497</v>
      </c>
      <c r="B391" s="19"/>
      <c r="C391" s="210">
        <v>-1069.0</v>
      </c>
      <c r="D391" s="19"/>
      <c r="E391" s="209">
        <f>1/(1.1086^1)</f>
        <v>0.9020386073</v>
      </c>
      <c r="F391" s="19"/>
      <c r="G391" s="211">
        <f>round(C391*E391,5)</f>
        <v>-964.27927</v>
      </c>
      <c r="H391" s="19"/>
    </row>
    <row r="392">
      <c r="A392" s="209" t="s">
        <v>498</v>
      </c>
      <c r="B392" s="19"/>
      <c r="C392" s="210">
        <v>1994.0</v>
      </c>
      <c r="D392" s="19"/>
      <c r="E392" s="209">
        <f>1/(1.1086^2)</f>
        <v>0.813673649</v>
      </c>
      <c r="F392" s="19"/>
      <c r="G392" s="211">
        <f t="shared" ref="G392:G395" si="18">C392*E392</f>
        <v>1622.465256</v>
      </c>
      <c r="H392" s="19"/>
    </row>
    <row r="393">
      <c r="A393" s="209" t="s">
        <v>499</v>
      </c>
      <c r="B393" s="19"/>
      <c r="C393" s="210">
        <v>2818.0</v>
      </c>
      <c r="D393" s="19"/>
      <c r="E393" s="209">
        <f>1/(1.1086^3)</f>
        <v>0.7339650451</v>
      </c>
      <c r="F393" s="19"/>
      <c r="G393" s="211">
        <f t="shared" si="18"/>
        <v>2068.313497</v>
      </c>
      <c r="H393" s="19"/>
    </row>
    <row r="394">
      <c r="A394" s="209" t="s">
        <v>500</v>
      </c>
      <c r="B394" s="19"/>
      <c r="C394" s="210">
        <v>3916.0</v>
      </c>
      <c r="D394" s="19"/>
      <c r="E394" s="209">
        <f>1/(1.1086^4)</f>
        <v>0.662064807</v>
      </c>
      <c r="F394" s="19"/>
      <c r="G394" s="211">
        <f t="shared" si="18"/>
        <v>2592.645784</v>
      </c>
      <c r="H394" s="19"/>
    </row>
    <row r="395">
      <c r="A395" s="209" t="s">
        <v>501</v>
      </c>
      <c r="B395" s="19"/>
      <c r="C395" s="210">
        <v>4087.0</v>
      </c>
      <c r="D395" s="19"/>
      <c r="E395" s="209">
        <f>1/(1.1086^5)</f>
        <v>0.5972080164</v>
      </c>
      <c r="F395" s="19"/>
      <c r="G395" s="211">
        <f t="shared" si="18"/>
        <v>2440.789163</v>
      </c>
      <c r="H395" s="19"/>
    </row>
    <row r="396">
      <c r="A396" s="212" t="s">
        <v>507</v>
      </c>
      <c r="B396" s="17"/>
      <c r="C396" s="17"/>
      <c r="D396" s="19"/>
      <c r="E396" s="213">
        <f>sum(G391:H395)</f>
        <v>7759.934431</v>
      </c>
      <c r="F396" s="17"/>
      <c r="G396" s="17"/>
      <c r="H396" s="19"/>
    </row>
    <row r="397">
      <c r="A397" s="197"/>
      <c r="H397" s="146"/>
    </row>
    <row r="398">
      <c r="A398" s="196"/>
      <c r="B398" s="196"/>
      <c r="C398" s="196"/>
      <c r="D398" s="196"/>
      <c r="E398" s="196"/>
      <c r="F398" s="196"/>
      <c r="G398" s="196"/>
      <c r="H398" s="204"/>
    </row>
    <row r="399">
      <c r="A399" s="194" t="s">
        <v>508</v>
      </c>
      <c r="H399" s="146"/>
    </row>
    <row r="400">
      <c r="A400" s="196"/>
      <c r="H400" s="146"/>
    </row>
    <row r="401">
      <c r="A401" s="197" t="s">
        <v>509</v>
      </c>
      <c r="H401" s="146"/>
    </row>
    <row r="402">
      <c r="A402" s="198"/>
      <c r="H402" s="146"/>
    </row>
    <row r="403">
      <c r="A403" s="198" t="s">
        <v>510</v>
      </c>
      <c r="H403" s="146"/>
    </row>
    <row r="404">
      <c r="A404" s="198" t="s">
        <v>511</v>
      </c>
      <c r="H404" s="146"/>
    </row>
    <row r="405">
      <c r="A405" s="198" t="s">
        <v>512</v>
      </c>
      <c r="H405" s="146"/>
    </row>
    <row r="406">
      <c r="A406" s="198"/>
      <c r="B406" s="198"/>
      <c r="C406" s="198"/>
      <c r="D406" s="198"/>
      <c r="E406" s="198"/>
      <c r="F406" s="198"/>
      <c r="G406" s="198"/>
      <c r="H406" s="214"/>
    </row>
    <row r="407">
      <c r="A407" s="197" t="s">
        <v>513</v>
      </c>
      <c r="H407" s="146"/>
    </row>
    <row r="408">
      <c r="A408" s="198" t="s">
        <v>514</v>
      </c>
      <c r="H408" s="146"/>
    </row>
    <row r="409">
      <c r="A409" s="196"/>
      <c r="B409" s="196"/>
      <c r="C409" s="196"/>
      <c r="D409" s="196"/>
      <c r="E409" s="196"/>
      <c r="F409" s="196"/>
      <c r="G409" s="196"/>
      <c r="H409" s="204"/>
    </row>
    <row r="410">
      <c r="A410" s="194" t="s">
        <v>515</v>
      </c>
      <c r="H410" s="146"/>
    </row>
    <row r="411">
      <c r="A411" s="198"/>
      <c r="H411" s="146"/>
    </row>
    <row r="412">
      <c r="A412" s="198" t="s">
        <v>516</v>
      </c>
      <c r="H412" s="146"/>
    </row>
    <row r="413">
      <c r="A413" s="197" t="s">
        <v>517</v>
      </c>
      <c r="H413" s="146"/>
    </row>
    <row r="414">
      <c r="A414" s="196"/>
      <c r="H414" s="146"/>
    </row>
    <row r="415">
      <c r="A415" s="194" t="s">
        <v>518</v>
      </c>
      <c r="H415" s="146"/>
    </row>
    <row r="416">
      <c r="A416" s="198"/>
      <c r="H416" s="146"/>
    </row>
    <row r="417">
      <c r="A417" s="198" t="s">
        <v>519</v>
      </c>
      <c r="H417" s="146"/>
    </row>
    <row r="418">
      <c r="A418" s="196"/>
      <c r="H418" s="146"/>
    </row>
    <row r="419">
      <c r="A419" s="194" t="s">
        <v>520</v>
      </c>
      <c r="H419" s="146"/>
    </row>
    <row r="420">
      <c r="A420" s="196"/>
      <c r="H420" s="146"/>
    </row>
    <row r="421">
      <c r="A421" s="197" t="s">
        <v>521</v>
      </c>
      <c r="H421" s="146"/>
    </row>
    <row r="422">
      <c r="A422" s="197" t="s">
        <v>522</v>
      </c>
      <c r="H422" s="146"/>
    </row>
    <row r="423">
      <c r="A423" s="196"/>
      <c r="H423" s="146"/>
    </row>
    <row r="424">
      <c r="A424" s="197" t="s">
        <v>523</v>
      </c>
      <c r="H424" s="146"/>
    </row>
    <row r="425">
      <c r="A425" s="197" t="s">
        <v>524</v>
      </c>
      <c r="H425" s="146"/>
    </row>
    <row r="426">
      <c r="A426" s="196"/>
      <c r="B426" s="196"/>
      <c r="C426" s="196"/>
      <c r="D426" s="196"/>
      <c r="E426" s="196"/>
      <c r="F426" s="196"/>
      <c r="G426" s="196"/>
      <c r="H426" s="204"/>
    </row>
    <row r="427">
      <c r="A427" s="196"/>
      <c r="B427" s="196"/>
      <c r="C427" s="196"/>
      <c r="D427" s="196"/>
      <c r="E427" s="196"/>
      <c r="F427" s="196"/>
      <c r="G427" s="196"/>
      <c r="H427" s="204"/>
    </row>
    <row r="428">
      <c r="A428" s="196"/>
      <c r="B428" s="196"/>
      <c r="C428" s="208" t="s">
        <v>324</v>
      </c>
      <c r="D428" s="19"/>
      <c r="E428" s="208" t="s">
        <v>428</v>
      </c>
      <c r="F428" s="19"/>
      <c r="G428" s="196"/>
      <c r="H428" s="204"/>
    </row>
    <row r="429">
      <c r="A429" s="196"/>
      <c r="B429" s="196"/>
      <c r="C429" s="209" t="s">
        <v>525</v>
      </c>
      <c r="D429" s="19"/>
      <c r="E429" s="209" t="s">
        <v>526</v>
      </c>
      <c r="F429" s="19"/>
      <c r="G429" s="196"/>
      <c r="H429" s="204"/>
    </row>
    <row r="430">
      <c r="A430" s="196"/>
      <c r="B430" s="196"/>
      <c r="C430" s="209" t="s">
        <v>527</v>
      </c>
      <c r="D430" s="19"/>
      <c r="E430" s="209" t="s">
        <v>528</v>
      </c>
      <c r="F430" s="19"/>
      <c r="G430" s="196"/>
      <c r="H430" s="204"/>
    </row>
    <row r="431">
      <c r="A431" s="196"/>
      <c r="B431" s="196"/>
      <c r="C431" s="209" t="s">
        <v>529</v>
      </c>
      <c r="D431" s="19"/>
      <c r="E431" s="209" t="s">
        <v>530</v>
      </c>
      <c r="F431" s="19"/>
      <c r="G431" s="196"/>
      <c r="H431" s="204"/>
    </row>
    <row r="432">
      <c r="A432" s="196"/>
      <c r="B432" s="196"/>
      <c r="C432" s="209" t="s">
        <v>531</v>
      </c>
      <c r="D432" s="19"/>
      <c r="E432" s="209" t="s">
        <v>532</v>
      </c>
      <c r="F432" s="19"/>
      <c r="G432" s="196"/>
      <c r="H432" s="204"/>
    </row>
    <row r="433">
      <c r="A433" s="215"/>
      <c r="B433" s="215"/>
      <c r="C433" s="215"/>
      <c r="D433" s="215"/>
      <c r="E433" s="215"/>
      <c r="F433" s="215"/>
      <c r="G433" s="215"/>
      <c r="H433" s="216"/>
    </row>
    <row r="434">
      <c r="A434" s="195" t="s">
        <v>533</v>
      </c>
      <c r="H434" s="146"/>
    </row>
    <row r="435">
      <c r="A435" s="194" t="s">
        <v>478</v>
      </c>
      <c r="H435" s="146"/>
    </row>
    <row r="436">
      <c r="A436" s="196"/>
      <c r="H436" s="146"/>
    </row>
    <row r="437">
      <c r="A437" s="197" t="s">
        <v>479</v>
      </c>
      <c r="H437" s="146"/>
    </row>
    <row r="438">
      <c r="A438" s="198" t="s">
        <v>480</v>
      </c>
      <c r="H438" s="146"/>
    </row>
    <row r="439">
      <c r="A439" s="198" t="s">
        <v>481</v>
      </c>
      <c r="H439" s="146"/>
    </row>
    <row r="440">
      <c r="A440" s="199"/>
      <c r="H440" s="146"/>
    </row>
    <row r="441">
      <c r="A441" s="197" t="s">
        <v>482</v>
      </c>
      <c r="H441" s="146"/>
    </row>
    <row r="442">
      <c r="A442" s="198" t="s">
        <v>480</v>
      </c>
      <c r="H442" s="146"/>
    </row>
    <row r="443">
      <c r="A443" s="198" t="s">
        <v>483</v>
      </c>
      <c r="H443" s="146"/>
    </row>
    <row r="444">
      <c r="A444" s="196"/>
      <c r="H444" s="146"/>
    </row>
    <row r="445">
      <c r="A445" s="197" t="s">
        <v>484</v>
      </c>
      <c r="H445" s="146"/>
    </row>
    <row r="446">
      <c r="A446" s="198" t="s">
        <v>485</v>
      </c>
      <c r="H446" s="146"/>
    </row>
    <row r="447">
      <c r="A447" s="197" t="s">
        <v>486</v>
      </c>
      <c r="H447" s="146"/>
    </row>
    <row r="448">
      <c r="A448" s="198" t="s">
        <v>534</v>
      </c>
      <c r="H448" s="146"/>
    </row>
    <row r="449">
      <c r="A449" s="198" t="s">
        <v>488</v>
      </c>
      <c r="H449" s="146"/>
    </row>
    <row r="450">
      <c r="A450" s="198" t="s">
        <v>489</v>
      </c>
      <c r="H450" s="146"/>
    </row>
    <row r="451">
      <c r="A451" s="198"/>
      <c r="H451" s="146"/>
    </row>
    <row r="452">
      <c r="A452" s="194" t="s">
        <v>490</v>
      </c>
      <c r="H452" s="146"/>
    </row>
    <row r="453">
      <c r="A453" s="198"/>
      <c r="H453" s="146"/>
    </row>
    <row r="454">
      <c r="A454" s="200"/>
      <c r="B454" s="121" t="s">
        <v>491</v>
      </c>
      <c r="C454" s="121" t="s">
        <v>492</v>
      </c>
      <c r="D454" s="121" t="s">
        <v>493</v>
      </c>
      <c r="E454" s="121" t="s">
        <v>494</v>
      </c>
      <c r="F454" s="121" t="s">
        <v>495</v>
      </c>
      <c r="G454" s="121" t="s">
        <v>496</v>
      </c>
      <c r="H454" s="200"/>
    </row>
    <row r="455">
      <c r="A455" s="200"/>
      <c r="B455" s="201" t="s">
        <v>497</v>
      </c>
      <c r="C455" s="202">
        <v>2736.0</v>
      </c>
      <c r="D455" s="202">
        <v>1850.0</v>
      </c>
      <c r="E455" s="202">
        <v>6000.0</v>
      </c>
      <c r="F455" s="201">
        <v>655.0</v>
      </c>
      <c r="G455" s="202">
        <f t="shared" ref="G455:G459" si="19">C455+D455-E455-F455</f>
        <v>-2069</v>
      </c>
      <c r="H455" s="200"/>
    </row>
    <row r="456">
      <c r="A456" s="200"/>
      <c r="B456" s="201" t="s">
        <v>498</v>
      </c>
      <c r="C456" s="202">
        <v>3705.0</v>
      </c>
      <c r="D456" s="202">
        <v>1900.0</v>
      </c>
      <c r="E456" s="202">
        <v>4000.0</v>
      </c>
      <c r="F456" s="201">
        <v>611.0</v>
      </c>
      <c r="G456" s="202">
        <f t="shared" si="19"/>
        <v>994</v>
      </c>
      <c r="H456" s="200"/>
    </row>
    <row r="457">
      <c r="A457" s="200"/>
      <c r="B457" s="201" t="s">
        <v>499</v>
      </c>
      <c r="C457" s="202">
        <v>4406.0</v>
      </c>
      <c r="D457" s="202">
        <v>1950.0</v>
      </c>
      <c r="E457" s="202">
        <v>4000.0</v>
      </c>
      <c r="F457" s="201">
        <v>538.0</v>
      </c>
      <c r="G457" s="202">
        <f t="shared" si="19"/>
        <v>1818</v>
      </c>
      <c r="H457" s="200"/>
    </row>
    <row r="458">
      <c r="A458" s="200"/>
      <c r="B458" s="201" t="s">
        <v>500</v>
      </c>
      <c r="C458" s="202">
        <v>5125.0</v>
      </c>
      <c r="D458" s="202">
        <v>2000.0</v>
      </c>
      <c r="E458" s="202">
        <v>4200.0</v>
      </c>
      <c r="F458" s="201">
        <v>509.0</v>
      </c>
      <c r="G458" s="202">
        <f t="shared" si="19"/>
        <v>2416</v>
      </c>
      <c r="H458" s="200"/>
    </row>
    <row r="459">
      <c r="A459" s="200"/>
      <c r="B459" s="201" t="s">
        <v>501</v>
      </c>
      <c r="C459" s="202">
        <v>5503.0</v>
      </c>
      <c r="D459" s="202">
        <v>2050.0</v>
      </c>
      <c r="E459" s="202">
        <v>4500.0</v>
      </c>
      <c r="F459" s="201">
        <v>466.0</v>
      </c>
      <c r="G459" s="202">
        <f t="shared" si="19"/>
        <v>2587</v>
      </c>
      <c r="H459" s="200"/>
    </row>
    <row r="460">
      <c r="A460" s="203" t="s">
        <v>502</v>
      </c>
      <c r="H460" s="146"/>
    </row>
    <row r="461">
      <c r="H461" s="146"/>
    </row>
    <row r="462">
      <c r="H462" s="146"/>
    </row>
    <row r="463">
      <c r="H463" s="146"/>
    </row>
    <row r="464">
      <c r="H464" s="146"/>
    </row>
    <row r="465">
      <c r="H465" s="146"/>
    </row>
    <row r="466">
      <c r="H466" s="146"/>
    </row>
    <row r="467">
      <c r="H467" s="146"/>
    </row>
    <row r="468">
      <c r="H468" s="146"/>
    </row>
    <row r="469">
      <c r="H469" s="146"/>
    </row>
    <row r="470">
      <c r="H470" s="146"/>
    </row>
    <row r="471">
      <c r="H471" s="146"/>
    </row>
    <row r="472">
      <c r="H472" s="146"/>
    </row>
    <row r="473">
      <c r="H473" s="146"/>
    </row>
    <row r="474">
      <c r="A474" s="196"/>
      <c r="B474" s="196"/>
      <c r="C474" s="196"/>
      <c r="D474" s="196"/>
      <c r="E474" s="196"/>
      <c r="F474" s="196"/>
      <c r="G474" s="196"/>
      <c r="H474" s="204"/>
    </row>
    <row r="475">
      <c r="A475" s="194" t="s">
        <v>503</v>
      </c>
      <c r="H475" s="146"/>
    </row>
    <row r="476">
      <c r="A476" s="198"/>
      <c r="H476" s="146"/>
    </row>
    <row r="477">
      <c r="A477" s="205" t="s">
        <v>504</v>
      </c>
      <c r="B477" s="206"/>
      <c r="C477" s="206"/>
      <c r="D477" s="206"/>
      <c r="E477" s="206"/>
      <c r="F477" s="206"/>
      <c r="G477" s="206"/>
      <c r="H477" s="207"/>
    </row>
    <row r="478">
      <c r="A478" s="208" t="s">
        <v>491</v>
      </c>
      <c r="B478" s="19"/>
      <c r="C478" s="208" t="s">
        <v>496</v>
      </c>
      <c r="D478" s="19"/>
      <c r="E478" s="208" t="s">
        <v>505</v>
      </c>
      <c r="F478" s="19"/>
      <c r="G478" s="208" t="s">
        <v>506</v>
      </c>
      <c r="H478" s="19"/>
    </row>
    <row r="479">
      <c r="A479" s="209" t="s">
        <v>497</v>
      </c>
      <c r="B479" s="19"/>
      <c r="C479" s="210">
        <v>-2069.0</v>
      </c>
      <c r="D479" s="19"/>
      <c r="E479" s="209">
        <f>1/(1.1086^1)</f>
        <v>0.9020386073</v>
      </c>
      <c r="F479" s="19"/>
      <c r="G479" s="211">
        <f>round(C479*E479,5)</f>
        <v>-1866.31788</v>
      </c>
      <c r="H479" s="19"/>
    </row>
    <row r="480">
      <c r="A480" s="209" t="s">
        <v>498</v>
      </c>
      <c r="B480" s="19"/>
      <c r="C480" s="210">
        <v>994.0</v>
      </c>
      <c r="D480" s="19"/>
      <c r="E480" s="209">
        <f>1/(1.1086^2)</f>
        <v>0.813673649</v>
      </c>
      <c r="F480" s="19"/>
      <c r="G480" s="211">
        <f t="shared" ref="G480:G483" si="20">C480*E480</f>
        <v>808.7916071</v>
      </c>
      <c r="H480" s="19"/>
    </row>
    <row r="481">
      <c r="A481" s="209" t="s">
        <v>499</v>
      </c>
      <c r="B481" s="19"/>
      <c r="C481" s="210">
        <v>1818.0</v>
      </c>
      <c r="D481" s="19"/>
      <c r="E481" s="209">
        <f>1/(1.1086^3)</f>
        <v>0.7339650451</v>
      </c>
      <c r="F481" s="19"/>
      <c r="G481" s="211">
        <f t="shared" si="20"/>
        <v>1334.348452</v>
      </c>
      <c r="H481" s="19"/>
    </row>
    <row r="482">
      <c r="A482" s="209" t="s">
        <v>500</v>
      </c>
      <c r="B482" s="19"/>
      <c r="C482" s="210">
        <v>2416.0</v>
      </c>
      <c r="D482" s="19"/>
      <c r="E482" s="209">
        <f>1/(1.1086^4)</f>
        <v>0.662064807</v>
      </c>
      <c r="F482" s="19"/>
      <c r="G482" s="211">
        <f t="shared" si="20"/>
        <v>1599.548574</v>
      </c>
      <c r="H482" s="19"/>
    </row>
    <row r="483">
      <c r="A483" s="209" t="s">
        <v>501</v>
      </c>
      <c r="B483" s="19"/>
      <c r="C483" s="210">
        <v>2587.0</v>
      </c>
      <c r="D483" s="19"/>
      <c r="E483" s="209">
        <f>1/(1.1086^5)</f>
        <v>0.5972080164</v>
      </c>
      <c r="F483" s="19"/>
      <c r="G483" s="211">
        <f t="shared" si="20"/>
        <v>1544.977139</v>
      </c>
      <c r="H483" s="19"/>
    </row>
    <row r="484">
      <c r="A484" s="212" t="s">
        <v>507</v>
      </c>
      <c r="B484" s="17"/>
      <c r="C484" s="17"/>
      <c r="D484" s="19"/>
      <c r="E484" s="213">
        <f>sum(G479:H483)</f>
        <v>3421.347891</v>
      </c>
      <c r="F484" s="17"/>
      <c r="G484" s="17"/>
      <c r="H484" s="19"/>
    </row>
    <row r="485">
      <c r="A485" s="197"/>
      <c r="H485" s="146"/>
    </row>
    <row r="486">
      <c r="A486" s="196"/>
      <c r="B486" s="196"/>
      <c r="C486" s="196"/>
      <c r="D486" s="196"/>
      <c r="E486" s="196"/>
      <c r="F486" s="196"/>
      <c r="G486" s="196"/>
      <c r="H486" s="204"/>
    </row>
    <row r="487">
      <c r="A487" s="194" t="s">
        <v>508</v>
      </c>
      <c r="H487" s="146"/>
    </row>
    <row r="488">
      <c r="A488" s="196"/>
      <c r="H488" s="146"/>
    </row>
    <row r="489">
      <c r="A489" s="197" t="s">
        <v>535</v>
      </c>
      <c r="H489" s="146"/>
    </row>
    <row r="490">
      <c r="A490" s="198"/>
      <c r="H490" s="146"/>
    </row>
    <row r="491">
      <c r="A491" s="198" t="s">
        <v>510</v>
      </c>
      <c r="H491" s="146"/>
    </row>
    <row r="492">
      <c r="A492" s="198" t="s">
        <v>536</v>
      </c>
      <c r="H492" s="146"/>
    </row>
    <row r="493">
      <c r="A493" s="198" t="s">
        <v>537</v>
      </c>
      <c r="H493" s="146"/>
    </row>
    <row r="494">
      <c r="A494" s="198"/>
      <c r="B494" s="198"/>
      <c r="C494" s="198"/>
      <c r="D494" s="198"/>
      <c r="E494" s="198"/>
      <c r="F494" s="198"/>
      <c r="G494" s="198"/>
      <c r="H494" s="214"/>
    </row>
    <row r="495">
      <c r="A495" s="197" t="s">
        <v>513</v>
      </c>
      <c r="H495" s="146"/>
    </row>
    <row r="496">
      <c r="A496" s="198" t="s">
        <v>538</v>
      </c>
      <c r="H496" s="146"/>
    </row>
    <row r="497">
      <c r="A497" s="196"/>
      <c r="B497" s="196"/>
      <c r="C497" s="196"/>
      <c r="D497" s="196"/>
      <c r="E497" s="196"/>
      <c r="F497" s="196"/>
      <c r="G497" s="196"/>
      <c r="H497" s="204"/>
    </row>
    <row r="498">
      <c r="A498" s="194" t="s">
        <v>515</v>
      </c>
      <c r="H498" s="146"/>
    </row>
    <row r="499">
      <c r="A499" s="198"/>
      <c r="H499" s="146"/>
    </row>
    <row r="500">
      <c r="A500" s="198" t="s">
        <v>516</v>
      </c>
      <c r="H500" s="146"/>
    </row>
    <row r="501">
      <c r="A501" s="197" t="s">
        <v>539</v>
      </c>
      <c r="H501" s="146"/>
    </row>
    <row r="502">
      <c r="A502" s="196"/>
      <c r="H502" s="146"/>
    </row>
    <row r="503">
      <c r="A503" s="194" t="s">
        <v>518</v>
      </c>
      <c r="H503" s="146"/>
    </row>
    <row r="504">
      <c r="A504" s="198"/>
      <c r="H504" s="146"/>
    </row>
    <row r="505">
      <c r="A505" s="198" t="s">
        <v>540</v>
      </c>
      <c r="H505" s="146"/>
    </row>
    <row r="506">
      <c r="A506" s="196"/>
      <c r="H506" s="146"/>
    </row>
    <row r="507">
      <c r="A507" s="194" t="s">
        <v>520</v>
      </c>
      <c r="H507" s="146"/>
    </row>
    <row r="508">
      <c r="A508" s="196"/>
      <c r="H508" s="146"/>
    </row>
    <row r="509">
      <c r="A509" s="197" t="s">
        <v>521</v>
      </c>
      <c r="H509" s="146"/>
    </row>
    <row r="510">
      <c r="A510" s="197" t="s">
        <v>522</v>
      </c>
      <c r="H510" s="146"/>
    </row>
    <row r="511">
      <c r="A511" s="196"/>
      <c r="H511" s="146"/>
    </row>
    <row r="512">
      <c r="A512" s="197" t="s">
        <v>541</v>
      </c>
      <c r="H512" s="146"/>
    </row>
    <row r="513">
      <c r="A513" s="197"/>
      <c r="H513" s="146"/>
    </row>
    <row r="514">
      <c r="A514" s="196"/>
      <c r="B514" s="196"/>
      <c r="C514" s="208" t="s">
        <v>324</v>
      </c>
      <c r="D514" s="19"/>
      <c r="E514" s="208" t="s">
        <v>428</v>
      </c>
      <c r="F514" s="19"/>
      <c r="G514" s="196"/>
      <c r="H514" s="204"/>
    </row>
    <row r="515">
      <c r="A515" s="196"/>
      <c r="B515" s="196"/>
      <c r="C515" s="209" t="s">
        <v>525</v>
      </c>
      <c r="D515" s="19"/>
      <c r="E515" s="209" t="s">
        <v>542</v>
      </c>
      <c r="F515" s="19"/>
      <c r="G515" s="196"/>
      <c r="H515" s="204"/>
    </row>
    <row r="516">
      <c r="A516" s="196"/>
      <c r="B516" s="196"/>
      <c r="C516" s="209" t="s">
        <v>527</v>
      </c>
      <c r="D516" s="19"/>
      <c r="E516" s="209">
        <v>0.0</v>
      </c>
      <c r="F516" s="19"/>
      <c r="G516" s="196"/>
      <c r="H516" s="204"/>
    </row>
    <row r="517">
      <c r="A517" s="196"/>
      <c r="B517" s="196"/>
      <c r="C517" s="209" t="s">
        <v>529</v>
      </c>
      <c r="D517" s="19"/>
      <c r="E517" s="209" t="s">
        <v>530</v>
      </c>
      <c r="F517" s="19"/>
      <c r="G517" s="196"/>
      <c r="H517" s="204"/>
    </row>
    <row r="518">
      <c r="A518" s="196"/>
      <c r="B518" s="196"/>
      <c r="C518" s="209" t="s">
        <v>543</v>
      </c>
      <c r="D518" s="19"/>
      <c r="E518" s="209" t="s">
        <v>544</v>
      </c>
      <c r="F518" s="19"/>
      <c r="G518" s="196"/>
      <c r="H518" s="204"/>
    </row>
    <row r="519">
      <c r="A519" s="215"/>
      <c r="B519" s="215"/>
      <c r="C519" s="215"/>
      <c r="D519" s="215"/>
      <c r="E519" s="215"/>
      <c r="F519" s="215"/>
      <c r="G519" s="215"/>
      <c r="H519" s="216"/>
    </row>
    <row r="520">
      <c r="A520" s="195"/>
      <c r="H520" s="146"/>
    </row>
    <row r="521">
      <c r="A521" s="217" t="s">
        <v>545</v>
      </c>
      <c r="H521" s="146"/>
    </row>
    <row r="522">
      <c r="A522" s="218" t="s">
        <v>478</v>
      </c>
      <c r="H522" s="146"/>
    </row>
    <row r="523">
      <c r="A523" s="219"/>
      <c r="H523" s="146"/>
    </row>
    <row r="524">
      <c r="A524" s="220" t="s">
        <v>479</v>
      </c>
      <c r="H524" s="146"/>
    </row>
    <row r="525">
      <c r="A525" s="221" t="s">
        <v>546</v>
      </c>
      <c r="H525" s="146"/>
    </row>
    <row r="526">
      <c r="A526" s="221" t="s">
        <v>481</v>
      </c>
      <c r="H526" s="146"/>
    </row>
    <row r="527">
      <c r="A527" s="219"/>
      <c r="H527" s="146"/>
    </row>
    <row r="528">
      <c r="A528" s="220" t="s">
        <v>482</v>
      </c>
      <c r="H528" s="146"/>
    </row>
    <row r="529">
      <c r="A529" s="221" t="s">
        <v>480</v>
      </c>
      <c r="H529" s="146"/>
    </row>
    <row r="530">
      <c r="A530" s="221" t="s">
        <v>483</v>
      </c>
      <c r="H530" s="146"/>
    </row>
    <row r="531">
      <c r="A531" s="219"/>
      <c r="H531" s="146"/>
    </row>
    <row r="532">
      <c r="A532" s="220" t="s">
        <v>484</v>
      </c>
      <c r="H532" s="146"/>
    </row>
    <row r="533">
      <c r="A533" s="221" t="s">
        <v>485</v>
      </c>
      <c r="H533" s="146"/>
    </row>
    <row r="534">
      <c r="A534" s="221" t="s">
        <v>486</v>
      </c>
      <c r="H534" s="146"/>
    </row>
    <row r="535">
      <c r="A535" s="221" t="s">
        <v>547</v>
      </c>
      <c r="H535" s="146"/>
    </row>
    <row r="536">
      <c r="A536" s="221" t="s">
        <v>489</v>
      </c>
      <c r="H536" s="146"/>
    </row>
    <row r="537">
      <c r="A537" s="219"/>
      <c r="H537" s="146"/>
    </row>
    <row r="538">
      <c r="A538" s="219"/>
      <c r="B538" s="219"/>
      <c r="C538" s="219"/>
      <c r="D538" s="219"/>
      <c r="E538" s="219"/>
      <c r="F538" s="219"/>
      <c r="G538" s="219"/>
      <c r="H538" s="222"/>
    </row>
    <row r="539">
      <c r="A539" s="218" t="s">
        <v>548</v>
      </c>
      <c r="H539" s="146"/>
    </row>
    <row r="540">
      <c r="A540" s="219"/>
      <c r="H540" s="146"/>
    </row>
    <row r="541">
      <c r="A541" s="219"/>
      <c r="B541" s="219"/>
      <c r="C541" s="219"/>
      <c r="D541" s="219"/>
      <c r="E541" s="219"/>
      <c r="F541" s="219"/>
      <c r="G541" s="219"/>
      <c r="H541" s="222"/>
    </row>
    <row r="542">
      <c r="A542" s="223" t="s">
        <v>549</v>
      </c>
      <c r="B542" s="224"/>
      <c r="C542" s="224"/>
      <c r="D542" s="224"/>
      <c r="E542" s="224"/>
      <c r="F542" s="224"/>
      <c r="G542" s="224"/>
      <c r="H542" s="225"/>
    </row>
    <row r="543">
      <c r="A543" s="223" t="s">
        <v>491</v>
      </c>
      <c r="B543" s="225"/>
      <c r="C543" s="226" t="s">
        <v>550</v>
      </c>
      <c r="D543" s="225"/>
      <c r="E543" s="227" t="s">
        <v>551</v>
      </c>
      <c r="F543" s="224"/>
      <c r="G543" s="224"/>
      <c r="H543" s="225"/>
    </row>
    <row r="544">
      <c r="A544" s="228" t="s">
        <v>497</v>
      </c>
      <c r="B544" s="225"/>
      <c r="C544" s="229">
        <v>2000.0</v>
      </c>
      <c r="D544" s="225"/>
      <c r="E544" s="230" t="s">
        <v>552</v>
      </c>
      <c r="F544" s="224"/>
      <c r="G544" s="224"/>
      <c r="H544" s="225"/>
    </row>
    <row r="545">
      <c r="A545" s="228" t="s">
        <v>498</v>
      </c>
      <c r="B545" s="225"/>
      <c r="C545" s="229">
        <v>4500.0</v>
      </c>
      <c r="D545" s="225"/>
      <c r="E545" s="230" t="s">
        <v>553</v>
      </c>
      <c r="F545" s="224"/>
      <c r="G545" s="224"/>
      <c r="H545" s="225"/>
    </row>
    <row r="546">
      <c r="A546" s="228" t="s">
        <v>499</v>
      </c>
      <c r="B546" s="225"/>
      <c r="C546" s="229">
        <v>6000.0</v>
      </c>
      <c r="D546" s="225"/>
      <c r="E546" s="230" t="s">
        <v>554</v>
      </c>
      <c r="F546" s="224"/>
      <c r="G546" s="224"/>
      <c r="H546" s="225"/>
    </row>
    <row r="547">
      <c r="A547" s="228" t="s">
        <v>500</v>
      </c>
      <c r="B547" s="225"/>
      <c r="C547" s="229">
        <v>7000.0</v>
      </c>
      <c r="D547" s="225"/>
      <c r="E547" s="230" t="s">
        <v>555</v>
      </c>
      <c r="F547" s="224"/>
      <c r="G547" s="224"/>
      <c r="H547" s="225"/>
    </row>
    <row r="548">
      <c r="A548" s="228" t="s">
        <v>501</v>
      </c>
      <c r="B548" s="231"/>
      <c r="C548" s="229">
        <v>7500.0</v>
      </c>
      <c r="D548" s="225"/>
      <c r="E548" s="230" t="s">
        <v>556</v>
      </c>
      <c r="F548" s="224"/>
      <c r="G548" s="224"/>
      <c r="H548" s="225"/>
    </row>
    <row r="549">
      <c r="A549" s="219"/>
      <c r="B549" s="219"/>
      <c r="C549" s="219"/>
      <c r="D549" s="219"/>
      <c r="E549" s="219"/>
      <c r="F549" s="219"/>
      <c r="G549" s="219"/>
      <c r="H549" s="222"/>
    </row>
    <row r="550">
      <c r="A550" s="232"/>
      <c r="B550" s="232"/>
      <c r="C550" s="232"/>
      <c r="D550" s="232"/>
      <c r="E550" s="232"/>
      <c r="F550" s="232"/>
      <c r="G550" s="232"/>
      <c r="H550" s="233"/>
    </row>
    <row r="551">
      <c r="A551" s="219"/>
      <c r="B551" s="219"/>
      <c r="C551" s="219"/>
      <c r="D551" s="219"/>
      <c r="E551" s="219"/>
      <c r="F551" s="219"/>
      <c r="G551" s="219"/>
      <c r="H551" s="222"/>
    </row>
    <row r="552">
      <c r="A552" s="218" t="s">
        <v>503</v>
      </c>
      <c r="H552" s="146"/>
    </row>
    <row r="553">
      <c r="A553" s="219"/>
      <c r="H553" s="146"/>
    </row>
    <row r="554">
      <c r="A554" s="234" t="s">
        <v>504</v>
      </c>
      <c r="B554" s="206"/>
      <c r="C554" s="206"/>
      <c r="D554" s="206"/>
      <c r="E554" s="206"/>
      <c r="F554" s="206"/>
      <c r="G554" s="206"/>
      <c r="H554" s="207"/>
    </row>
    <row r="555">
      <c r="A555" s="235" t="s">
        <v>491</v>
      </c>
      <c r="B555" s="236"/>
      <c r="C555" s="237" t="s">
        <v>496</v>
      </c>
      <c r="D555" s="236"/>
      <c r="E555" s="237" t="s">
        <v>505</v>
      </c>
      <c r="F555" s="236"/>
      <c r="G555" s="237" t="s">
        <v>506</v>
      </c>
      <c r="H555" s="238"/>
    </row>
    <row r="556">
      <c r="A556" s="239" t="s">
        <v>497</v>
      </c>
      <c r="B556" s="236"/>
      <c r="C556" s="240">
        <v>2000.0</v>
      </c>
      <c r="D556" s="236"/>
      <c r="E556" s="241">
        <f>1/(1.1086^1)</f>
        <v>0.9020386073</v>
      </c>
      <c r="F556" s="236"/>
      <c r="G556" s="242">
        <f t="shared" ref="G556:G560" si="21">E556*C556</f>
        <v>1804.077215</v>
      </c>
      <c r="H556" s="238"/>
    </row>
    <row r="557">
      <c r="A557" s="239" t="s">
        <v>498</v>
      </c>
      <c r="B557" s="236"/>
      <c r="C557" s="240">
        <v>4500.0</v>
      </c>
      <c r="D557" s="236"/>
      <c r="E557" s="241">
        <f>1/(1.1086^2)</f>
        <v>0.813673649</v>
      </c>
      <c r="F557" s="236"/>
      <c r="G557" s="242">
        <f t="shared" si="21"/>
        <v>3661.53142</v>
      </c>
      <c r="H557" s="238"/>
    </row>
    <row r="558">
      <c r="A558" s="239" t="s">
        <v>499</v>
      </c>
      <c r="B558" s="236"/>
      <c r="C558" s="240">
        <v>6000.0</v>
      </c>
      <c r="D558" s="236"/>
      <c r="E558" s="241">
        <f>1/(1.1086^3)</f>
        <v>0.7339650451</v>
      </c>
      <c r="F558" s="236"/>
      <c r="G558" s="242">
        <f t="shared" si="21"/>
        <v>4403.79027</v>
      </c>
      <c r="H558" s="238"/>
    </row>
    <row r="559">
      <c r="A559" s="239" t="s">
        <v>500</v>
      </c>
      <c r="B559" s="236"/>
      <c r="C559" s="240">
        <v>7000.0</v>
      </c>
      <c r="D559" s="236"/>
      <c r="E559" s="241">
        <f>1/(1.1086^4)</f>
        <v>0.662064807</v>
      </c>
      <c r="F559" s="236"/>
      <c r="G559" s="242">
        <f t="shared" si="21"/>
        <v>4634.453649</v>
      </c>
      <c r="H559" s="238"/>
    </row>
    <row r="560">
      <c r="A560" s="234" t="s">
        <v>501</v>
      </c>
      <c r="B560" s="243"/>
      <c r="C560" s="244">
        <v>7500.0</v>
      </c>
      <c r="D560" s="243"/>
      <c r="E560" s="245">
        <f>1/(1.1086^5)</f>
        <v>0.5972080164</v>
      </c>
      <c r="F560" s="243"/>
      <c r="G560" s="246">
        <f t="shared" si="21"/>
        <v>4479.060123</v>
      </c>
      <c r="H560" s="207"/>
    </row>
    <row r="561">
      <c r="A561" s="247" t="s">
        <v>557</v>
      </c>
      <c r="B561" s="17"/>
      <c r="C561" s="17"/>
      <c r="D561" s="19"/>
      <c r="E561" s="248">
        <f>sum(G556:H560)</f>
        <v>18982.91268</v>
      </c>
      <c r="F561" s="17"/>
      <c r="G561" s="17"/>
      <c r="H561" s="19"/>
    </row>
    <row r="562">
      <c r="A562" s="220"/>
      <c r="H562" s="146"/>
    </row>
    <row r="563">
      <c r="A563" s="219"/>
      <c r="B563" s="219"/>
      <c r="C563" s="219"/>
      <c r="D563" s="219"/>
      <c r="E563" s="219"/>
      <c r="F563" s="219"/>
      <c r="G563" s="219"/>
      <c r="H563" s="222"/>
    </row>
    <row r="564">
      <c r="A564" s="218" t="s">
        <v>508</v>
      </c>
      <c r="H564" s="146"/>
    </row>
    <row r="565">
      <c r="A565" s="219"/>
      <c r="H565" s="146"/>
    </row>
    <row r="566">
      <c r="A566" s="220" t="s">
        <v>509</v>
      </c>
      <c r="H566" s="146"/>
    </row>
    <row r="567">
      <c r="A567" s="219"/>
      <c r="H567" s="146"/>
    </row>
    <row r="568">
      <c r="A568" s="221" t="s">
        <v>510</v>
      </c>
      <c r="H568" s="146"/>
    </row>
    <row r="569">
      <c r="A569" s="221" t="s">
        <v>558</v>
      </c>
      <c r="H569" s="146"/>
    </row>
    <row r="570">
      <c r="A570" s="221" t="s">
        <v>559</v>
      </c>
      <c r="H570" s="146"/>
    </row>
    <row r="571">
      <c r="A571" s="219"/>
      <c r="B571" s="219"/>
      <c r="C571" s="219"/>
      <c r="D571" s="219"/>
      <c r="E571" s="219"/>
      <c r="F571" s="219"/>
      <c r="G571" s="219"/>
      <c r="H571" s="222"/>
    </row>
    <row r="572">
      <c r="A572" s="220" t="s">
        <v>513</v>
      </c>
      <c r="H572" s="146"/>
    </row>
    <row r="573">
      <c r="A573" s="221" t="s">
        <v>560</v>
      </c>
      <c r="H573" s="146"/>
    </row>
    <row r="574">
      <c r="A574" s="219"/>
      <c r="B574" s="219"/>
      <c r="C574" s="219"/>
      <c r="D574" s="219"/>
      <c r="E574" s="219"/>
      <c r="F574" s="219"/>
      <c r="G574" s="219"/>
      <c r="H574" s="222"/>
    </row>
    <row r="575">
      <c r="A575" s="218" t="s">
        <v>515</v>
      </c>
      <c r="H575" s="146"/>
    </row>
    <row r="576">
      <c r="A576" s="219"/>
      <c r="H576" s="146"/>
    </row>
    <row r="577">
      <c r="A577" s="221" t="s">
        <v>516</v>
      </c>
      <c r="H577" s="146"/>
    </row>
    <row r="578">
      <c r="A578" s="220" t="s">
        <v>561</v>
      </c>
      <c r="H578" s="146"/>
    </row>
    <row r="579">
      <c r="A579" s="232"/>
      <c r="H579" s="146"/>
    </row>
    <row r="580">
      <c r="A580" s="218" t="s">
        <v>518</v>
      </c>
      <c r="H580" s="146"/>
    </row>
    <row r="581">
      <c r="A581" s="232"/>
      <c r="H581" s="146"/>
    </row>
    <row r="582">
      <c r="A582" s="221" t="s">
        <v>562</v>
      </c>
      <c r="H582" s="146"/>
    </row>
    <row r="583">
      <c r="A583" s="232"/>
      <c r="H583" s="146"/>
    </row>
    <row r="584">
      <c r="A584" s="218" t="s">
        <v>520</v>
      </c>
      <c r="H584" s="146"/>
    </row>
    <row r="585">
      <c r="A585" s="232"/>
      <c r="H585" s="146"/>
    </row>
    <row r="586">
      <c r="A586" s="220" t="s">
        <v>521</v>
      </c>
      <c r="H586" s="146"/>
    </row>
    <row r="587">
      <c r="A587" s="220" t="s">
        <v>522</v>
      </c>
      <c r="H587" s="146"/>
    </row>
    <row r="588">
      <c r="A588" s="232"/>
      <c r="H588" s="146"/>
    </row>
    <row r="589">
      <c r="A589" s="220" t="s">
        <v>563</v>
      </c>
      <c r="H589" s="146"/>
    </row>
    <row r="590">
      <c r="A590" s="220" t="s">
        <v>564</v>
      </c>
      <c r="H590" s="146"/>
    </row>
    <row r="591">
      <c r="A591" s="219"/>
      <c r="B591" s="219"/>
      <c r="C591" s="219"/>
      <c r="D591" s="219"/>
      <c r="E591" s="219"/>
      <c r="F591" s="219"/>
      <c r="G591" s="219"/>
      <c r="H591" s="222"/>
    </row>
    <row r="592">
      <c r="A592" s="232"/>
      <c r="B592" s="232"/>
      <c r="C592" s="232"/>
      <c r="D592" s="232"/>
      <c r="E592" s="232"/>
      <c r="F592" s="232"/>
      <c r="G592" s="232"/>
      <c r="H592" s="233"/>
    </row>
    <row r="593">
      <c r="A593" s="219"/>
      <c r="B593" s="219"/>
      <c r="C593" s="235" t="s">
        <v>324</v>
      </c>
      <c r="D593" s="236"/>
      <c r="E593" s="237" t="s">
        <v>428</v>
      </c>
      <c r="F593" s="236"/>
      <c r="G593" s="219"/>
      <c r="H593" s="222"/>
    </row>
    <row r="594">
      <c r="A594" s="219"/>
      <c r="B594" s="219"/>
      <c r="C594" s="239" t="s">
        <v>525</v>
      </c>
      <c r="D594" s="236"/>
      <c r="E594" s="241" t="s">
        <v>565</v>
      </c>
      <c r="F594" s="236"/>
      <c r="G594" s="219"/>
      <c r="H594" s="222"/>
    </row>
    <row r="595">
      <c r="A595" s="219"/>
      <c r="B595" s="219"/>
      <c r="C595" s="239" t="s">
        <v>527</v>
      </c>
      <c r="D595" s="236"/>
      <c r="E595" s="241" t="s">
        <v>566</v>
      </c>
      <c r="F595" s="236"/>
      <c r="G595" s="219"/>
      <c r="H595" s="222"/>
    </row>
    <row r="596">
      <c r="A596" s="232"/>
      <c r="B596" s="232"/>
      <c r="C596" s="239" t="s">
        <v>529</v>
      </c>
      <c r="D596" s="236"/>
      <c r="E596" s="241" t="s">
        <v>530</v>
      </c>
      <c r="F596" s="236"/>
      <c r="G596" s="232"/>
      <c r="H596" s="233"/>
    </row>
    <row r="597">
      <c r="A597" s="219"/>
      <c r="B597" s="219"/>
      <c r="C597" s="239" t="s">
        <v>543</v>
      </c>
      <c r="D597" s="236"/>
      <c r="E597" s="241" t="s">
        <v>567</v>
      </c>
      <c r="F597" s="236"/>
      <c r="G597" s="219"/>
      <c r="H597" s="222"/>
    </row>
    <row r="598">
      <c r="A598" s="249"/>
      <c r="B598" s="249"/>
      <c r="C598" s="249"/>
      <c r="D598" s="249"/>
      <c r="E598" s="249"/>
      <c r="F598" s="249"/>
      <c r="G598" s="249"/>
      <c r="H598" s="250"/>
    </row>
    <row r="599">
      <c r="A599" s="221"/>
      <c r="H599" s="146"/>
    </row>
    <row r="600">
      <c r="A600" s="251"/>
      <c r="B600" s="113"/>
      <c r="C600" s="113"/>
      <c r="D600" s="113"/>
      <c r="E600" s="113"/>
      <c r="F600" s="113"/>
      <c r="G600" s="113"/>
      <c r="H600" s="252"/>
    </row>
    <row r="601">
      <c r="A601" s="251"/>
      <c r="B601" s="113"/>
      <c r="C601" s="113"/>
      <c r="D601" s="113"/>
      <c r="E601" s="113"/>
      <c r="F601" s="113"/>
      <c r="G601" s="113"/>
      <c r="H601" s="252"/>
    </row>
    <row r="602">
      <c r="A602" s="251"/>
      <c r="B602" s="253" t="s">
        <v>568</v>
      </c>
      <c r="C602" s="253" t="s">
        <v>569</v>
      </c>
      <c r="D602" s="253" t="s">
        <v>570</v>
      </c>
      <c r="E602" s="253" t="s">
        <v>571</v>
      </c>
      <c r="F602" s="254" t="s">
        <v>572</v>
      </c>
      <c r="G602" s="19"/>
      <c r="H602" s="252"/>
    </row>
    <row r="603">
      <c r="A603" s="251"/>
      <c r="B603" s="201" t="s">
        <v>573</v>
      </c>
      <c r="C603" s="201" t="s">
        <v>574</v>
      </c>
      <c r="D603" s="201">
        <v>0.0</v>
      </c>
      <c r="E603" s="201" t="s">
        <v>575</v>
      </c>
      <c r="F603" s="255" t="s">
        <v>576</v>
      </c>
      <c r="G603" s="19"/>
      <c r="H603" s="252"/>
    </row>
    <row r="604">
      <c r="A604" s="251"/>
      <c r="B604" s="201" t="s">
        <v>577</v>
      </c>
      <c r="C604" s="202">
        <v>6671.0</v>
      </c>
      <c r="D604" s="201" t="s">
        <v>528</v>
      </c>
      <c r="E604" s="201" t="s">
        <v>575</v>
      </c>
      <c r="F604" s="255" t="s">
        <v>578</v>
      </c>
      <c r="G604" s="19"/>
      <c r="H604" s="252"/>
    </row>
    <row r="605">
      <c r="A605" s="251"/>
      <c r="B605" s="201" t="s">
        <v>579</v>
      </c>
      <c r="C605" s="202">
        <v>47817.96</v>
      </c>
      <c r="D605" s="201" t="s">
        <v>566</v>
      </c>
      <c r="E605" s="201" t="s">
        <v>575</v>
      </c>
      <c r="F605" s="255" t="s">
        <v>580</v>
      </c>
      <c r="G605" s="19"/>
      <c r="H605" s="252"/>
    </row>
    <row r="606">
      <c r="A606" s="251"/>
      <c r="B606" s="251"/>
      <c r="C606" s="251"/>
      <c r="D606" s="251"/>
      <c r="E606" s="251"/>
      <c r="F606" s="251"/>
      <c r="G606" s="251"/>
      <c r="H606" s="252"/>
    </row>
    <row r="607">
      <c r="A607" s="251"/>
      <c r="B607" s="256" t="s">
        <v>581</v>
      </c>
      <c r="H607" s="252"/>
    </row>
    <row r="608">
      <c r="A608" s="251"/>
      <c r="B608" s="251"/>
      <c r="C608" s="251"/>
      <c r="D608" s="251"/>
      <c r="E608" s="251"/>
      <c r="F608" s="251"/>
      <c r="G608" s="251"/>
      <c r="H608" s="252"/>
    </row>
  </sheetData>
  <mergeCells count="682">
    <mergeCell ref="C17:D17"/>
    <mergeCell ref="E17:F17"/>
    <mergeCell ref="A15:B15"/>
    <mergeCell ref="C15:D15"/>
    <mergeCell ref="E15:F15"/>
    <mergeCell ref="A16:B16"/>
    <mergeCell ref="C16:D16"/>
    <mergeCell ref="E16:F16"/>
    <mergeCell ref="A17:B17"/>
    <mergeCell ref="C8:D8"/>
    <mergeCell ref="E8:F8"/>
    <mergeCell ref="A1:H1"/>
    <mergeCell ref="A2:H2"/>
    <mergeCell ref="A3:H3"/>
    <mergeCell ref="A4:H4"/>
    <mergeCell ref="A5:H5"/>
    <mergeCell ref="A6:H6"/>
    <mergeCell ref="A8:B8"/>
    <mergeCell ref="C11:D11"/>
    <mergeCell ref="E11:F11"/>
    <mergeCell ref="A9:B9"/>
    <mergeCell ref="C9:D9"/>
    <mergeCell ref="E9:F9"/>
    <mergeCell ref="A10:B10"/>
    <mergeCell ref="C10:D10"/>
    <mergeCell ref="E10:F10"/>
    <mergeCell ref="A11:B11"/>
    <mergeCell ref="C14:D14"/>
    <mergeCell ref="E14:F14"/>
    <mergeCell ref="A12:B12"/>
    <mergeCell ref="C12:D12"/>
    <mergeCell ref="E12:F12"/>
    <mergeCell ref="A13:B13"/>
    <mergeCell ref="C13:D13"/>
    <mergeCell ref="E13:F13"/>
    <mergeCell ref="A14:B14"/>
    <mergeCell ref="A18:B18"/>
    <mergeCell ref="C18:D18"/>
    <mergeCell ref="E18:F18"/>
    <mergeCell ref="A22:H22"/>
    <mergeCell ref="A23:B23"/>
    <mergeCell ref="C23:E23"/>
    <mergeCell ref="F23:H23"/>
    <mergeCell ref="A30:B30"/>
    <mergeCell ref="C30:E30"/>
    <mergeCell ref="F30:H30"/>
    <mergeCell ref="A31:C31"/>
    <mergeCell ref="A32:H33"/>
    <mergeCell ref="A35:H35"/>
    <mergeCell ref="G36:H36"/>
    <mergeCell ref="A36:B36"/>
    <mergeCell ref="A37:B37"/>
    <mergeCell ref="C37:D37"/>
    <mergeCell ref="E37:F37"/>
    <mergeCell ref="G37:H37"/>
    <mergeCell ref="A38:B38"/>
    <mergeCell ref="C38:D38"/>
    <mergeCell ref="A39:B39"/>
    <mergeCell ref="C39:D39"/>
    <mergeCell ref="E39:F39"/>
    <mergeCell ref="G39:H39"/>
    <mergeCell ref="C40:D40"/>
    <mergeCell ref="E40:F40"/>
    <mergeCell ref="G40:H40"/>
    <mergeCell ref="A40:B40"/>
    <mergeCell ref="A41:B41"/>
    <mergeCell ref="C41:D41"/>
    <mergeCell ref="E41:F41"/>
    <mergeCell ref="G41:H41"/>
    <mergeCell ref="A42:B42"/>
    <mergeCell ref="C42:D42"/>
    <mergeCell ref="C72:D72"/>
    <mergeCell ref="E72:F72"/>
    <mergeCell ref="A70:B70"/>
    <mergeCell ref="C70:D70"/>
    <mergeCell ref="E70:F70"/>
    <mergeCell ref="A71:B71"/>
    <mergeCell ref="C71:D71"/>
    <mergeCell ref="E71:F71"/>
    <mergeCell ref="A72:B72"/>
    <mergeCell ref="C75:D75"/>
    <mergeCell ref="E75:F75"/>
    <mergeCell ref="A73:B73"/>
    <mergeCell ref="C73:D73"/>
    <mergeCell ref="E73:F73"/>
    <mergeCell ref="A74:B74"/>
    <mergeCell ref="C74:D74"/>
    <mergeCell ref="E74:F74"/>
    <mergeCell ref="A75:B75"/>
    <mergeCell ref="C78:D78"/>
    <mergeCell ref="E78:F78"/>
    <mergeCell ref="A76:B76"/>
    <mergeCell ref="C76:D76"/>
    <mergeCell ref="E76:F76"/>
    <mergeCell ref="A77:B77"/>
    <mergeCell ref="C77:D77"/>
    <mergeCell ref="E77:F77"/>
    <mergeCell ref="A78:B78"/>
    <mergeCell ref="E42:F42"/>
    <mergeCell ref="G42:H42"/>
    <mergeCell ref="A43:B43"/>
    <mergeCell ref="C43:D43"/>
    <mergeCell ref="E43:F43"/>
    <mergeCell ref="G43:H43"/>
    <mergeCell ref="A44:H64"/>
    <mergeCell ref="A65:H65"/>
    <mergeCell ref="A66:D66"/>
    <mergeCell ref="E66:H66"/>
    <mergeCell ref="A68:H68"/>
    <mergeCell ref="A69:B69"/>
    <mergeCell ref="C69:D69"/>
    <mergeCell ref="E69:F69"/>
    <mergeCell ref="E83:F83"/>
    <mergeCell ref="G83:H83"/>
    <mergeCell ref="A79:B79"/>
    <mergeCell ref="C79:D79"/>
    <mergeCell ref="E79:F79"/>
    <mergeCell ref="A80:H81"/>
    <mergeCell ref="A82:H82"/>
    <mergeCell ref="A83:B83"/>
    <mergeCell ref="C83:D83"/>
    <mergeCell ref="A84:B84"/>
    <mergeCell ref="C84:D84"/>
    <mergeCell ref="E84:F84"/>
    <mergeCell ref="G84:H84"/>
    <mergeCell ref="A85:B85"/>
    <mergeCell ref="C85:D85"/>
    <mergeCell ref="E85:F85"/>
    <mergeCell ref="G85:H85"/>
    <mergeCell ref="A87:H87"/>
    <mergeCell ref="A89:B89"/>
    <mergeCell ref="C89:E89"/>
    <mergeCell ref="F89:H89"/>
    <mergeCell ref="C90:E90"/>
    <mergeCell ref="F90:H90"/>
    <mergeCell ref="A90:B90"/>
    <mergeCell ref="A91:B91"/>
    <mergeCell ref="C91:E91"/>
    <mergeCell ref="F91:H91"/>
    <mergeCell ref="A92:B92"/>
    <mergeCell ref="C92:E92"/>
    <mergeCell ref="F92:H92"/>
    <mergeCell ref="A93:H95"/>
    <mergeCell ref="A96:H98"/>
    <mergeCell ref="A102:H102"/>
    <mergeCell ref="B103:C103"/>
    <mergeCell ref="D103:E103"/>
    <mergeCell ref="B104:C104"/>
    <mergeCell ref="D104:E104"/>
    <mergeCell ref="B108:C108"/>
    <mergeCell ref="B109:C109"/>
    <mergeCell ref="B110:C110"/>
    <mergeCell ref="B105:C105"/>
    <mergeCell ref="D105:E105"/>
    <mergeCell ref="B106:C106"/>
    <mergeCell ref="D106:E106"/>
    <mergeCell ref="B107:C107"/>
    <mergeCell ref="D107:E107"/>
    <mergeCell ref="D108:E108"/>
    <mergeCell ref="C26:E26"/>
    <mergeCell ref="F26:H26"/>
    <mergeCell ref="A24:B24"/>
    <mergeCell ref="C24:E24"/>
    <mergeCell ref="F24:H24"/>
    <mergeCell ref="A25:B25"/>
    <mergeCell ref="C25:E25"/>
    <mergeCell ref="F25:H25"/>
    <mergeCell ref="A26:B26"/>
    <mergeCell ref="C29:E29"/>
    <mergeCell ref="F29:H29"/>
    <mergeCell ref="A27:B27"/>
    <mergeCell ref="C27:E27"/>
    <mergeCell ref="F27:H27"/>
    <mergeCell ref="A28:B28"/>
    <mergeCell ref="C28:E28"/>
    <mergeCell ref="F28:H28"/>
    <mergeCell ref="A29:B29"/>
    <mergeCell ref="C36:D36"/>
    <mergeCell ref="E36:F36"/>
    <mergeCell ref="E38:F38"/>
    <mergeCell ref="G38:H38"/>
    <mergeCell ref="D109:E109"/>
    <mergeCell ref="D110:E110"/>
    <mergeCell ref="A111:H126"/>
    <mergeCell ref="A127:H129"/>
    <mergeCell ref="A131:H131"/>
    <mergeCell ref="E132:F132"/>
    <mergeCell ref="G132:H132"/>
    <mergeCell ref="B135:C135"/>
    <mergeCell ref="B136:C136"/>
    <mergeCell ref="B137:C137"/>
    <mergeCell ref="B138:C138"/>
    <mergeCell ref="B139:C139"/>
    <mergeCell ref="B132:C132"/>
    <mergeCell ref="B133:C133"/>
    <mergeCell ref="E133:F133"/>
    <mergeCell ref="G133:H133"/>
    <mergeCell ref="B134:C134"/>
    <mergeCell ref="G134:H134"/>
    <mergeCell ref="G135:H135"/>
    <mergeCell ref="E134:F134"/>
    <mergeCell ref="E135:F135"/>
    <mergeCell ref="E136:F136"/>
    <mergeCell ref="G136:H136"/>
    <mergeCell ref="E137:F137"/>
    <mergeCell ref="G137:H137"/>
    <mergeCell ref="G138:H138"/>
    <mergeCell ref="G139:H139"/>
    <mergeCell ref="E138:F138"/>
    <mergeCell ref="E139:F139"/>
    <mergeCell ref="A140:H158"/>
    <mergeCell ref="A159:H161"/>
    <mergeCell ref="A163:H163"/>
    <mergeCell ref="E164:F164"/>
    <mergeCell ref="G164:H164"/>
    <mergeCell ref="B167:C167"/>
    <mergeCell ref="B168:C168"/>
    <mergeCell ref="B169:C169"/>
    <mergeCell ref="B170:C170"/>
    <mergeCell ref="B164:C164"/>
    <mergeCell ref="B165:C165"/>
    <mergeCell ref="E165:F165"/>
    <mergeCell ref="G165:H165"/>
    <mergeCell ref="B166:C166"/>
    <mergeCell ref="G166:H166"/>
    <mergeCell ref="G167:H167"/>
    <mergeCell ref="E166:F166"/>
    <mergeCell ref="E167:F167"/>
    <mergeCell ref="E168:F168"/>
    <mergeCell ref="G168:H168"/>
    <mergeCell ref="E169:F169"/>
    <mergeCell ref="G169:H169"/>
    <mergeCell ref="E170:F170"/>
    <mergeCell ref="A225:B225"/>
    <mergeCell ref="C225:D225"/>
    <mergeCell ref="E225:F225"/>
    <mergeCell ref="A226:B226"/>
    <mergeCell ref="C226:D226"/>
    <mergeCell ref="E226:F226"/>
    <mergeCell ref="A227:B227"/>
    <mergeCell ref="C227:D227"/>
    <mergeCell ref="E227:F227"/>
    <mergeCell ref="A229:H229"/>
    <mergeCell ref="A230:H230"/>
    <mergeCell ref="A231:H231"/>
    <mergeCell ref="A232:H232"/>
    <mergeCell ref="A233:H233"/>
    <mergeCell ref="E240:F240"/>
    <mergeCell ref="G240:H240"/>
    <mergeCell ref="A234:H234"/>
    <mergeCell ref="A237:H237"/>
    <mergeCell ref="A238:B238"/>
    <mergeCell ref="E238:F238"/>
    <mergeCell ref="G238:H238"/>
    <mergeCell ref="E239:F239"/>
    <mergeCell ref="G239:H239"/>
    <mergeCell ref="E243:F243"/>
    <mergeCell ref="G243:H243"/>
    <mergeCell ref="A239:B239"/>
    <mergeCell ref="A240:B240"/>
    <mergeCell ref="A241:B241"/>
    <mergeCell ref="E241:F241"/>
    <mergeCell ref="G241:H241"/>
    <mergeCell ref="E242:F242"/>
    <mergeCell ref="G242:H242"/>
    <mergeCell ref="F251:H251"/>
    <mergeCell ref="F252:H252"/>
    <mergeCell ref="A242:B242"/>
    <mergeCell ref="A243:B243"/>
    <mergeCell ref="A246:H246"/>
    <mergeCell ref="A248:H248"/>
    <mergeCell ref="C249:D249"/>
    <mergeCell ref="F249:H249"/>
    <mergeCell ref="F250:H250"/>
    <mergeCell ref="G170:H170"/>
    <mergeCell ref="A171:H189"/>
    <mergeCell ref="A190:H192"/>
    <mergeCell ref="A193:H193"/>
    <mergeCell ref="A205:H205"/>
    <mergeCell ref="A206:H206"/>
    <mergeCell ref="A207:H207"/>
    <mergeCell ref="A208:H208"/>
    <mergeCell ref="A209:H209"/>
    <mergeCell ref="A210:H210"/>
    <mergeCell ref="A211:H211"/>
    <mergeCell ref="A212:H212"/>
    <mergeCell ref="A213:H213"/>
    <mergeCell ref="A214:H214"/>
    <mergeCell ref="C221:D221"/>
    <mergeCell ref="E221:F221"/>
    <mergeCell ref="A215:H215"/>
    <mergeCell ref="A216:H216"/>
    <mergeCell ref="A217:H217"/>
    <mergeCell ref="A220:B220"/>
    <mergeCell ref="C220:D220"/>
    <mergeCell ref="E220:F220"/>
    <mergeCell ref="A221:B221"/>
    <mergeCell ref="C224:D224"/>
    <mergeCell ref="E224:F224"/>
    <mergeCell ref="A222:B222"/>
    <mergeCell ref="C222:D222"/>
    <mergeCell ref="E222:F222"/>
    <mergeCell ref="A223:B223"/>
    <mergeCell ref="C223:D223"/>
    <mergeCell ref="E223:F223"/>
    <mergeCell ref="A224:B224"/>
    <mergeCell ref="C250:D250"/>
    <mergeCell ref="C251:D251"/>
    <mergeCell ref="C252:D252"/>
    <mergeCell ref="C253:D253"/>
    <mergeCell ref="F253:H253"/>
    <mergeCell ref="C254:D254"/>
    <mergeCell ref="F254:H254"/>
    <mergeCell ref="A257:H257"/>
    <mergeCell ref="A258:B258"/>
    <mergeCell ref="C258:D258"/>
    <mergeCell ref="E258:F258"/>
    <mergeCell ref="A259:B259"/>
    <mergeCell ref="C259:D259"/>
    <mergeCell ref="E259:F259"/>
    <mergeCell ref="C262:D262"/>
    <mergeCell ref="E262:F262"/>
    <mergeCell ref="A260:B260"/>
    <mergeCell ref="C260:D260"/>
    <mergeCell ref="E260:F260"/>
    <mergeCell ref="A261:B261"/>
    <mergeCell ref="C261:D261"/>
    <mergeCell ref="E261:F261"/>
    <mergeCell ref="A262:B262"/>
    <mergeCell ref="C265:D265"/>
    <mergeCell ref="E265:F265"/>
    <mergeCell ref="A263:B263"/>
    <mergeCell ref="C263:D263"/>
    <mergeCell ref="E263:F263"/>
    <mergeCell ref="A264:B264"/>
    <mergeCell ref="C264:D264"/>
    <mergeCell ref="E264:F264"/>
    <mergeCell ref="A265:B265"/>
    <mergeCell ref="A266:B266"/>
    <mergeCell ref="C266:D266"/>
    <mergeCell ref="E266:F266"/>
    <mergeCell ref="A267:B267"/>
    <mergeCell ref="C267:D267"/>
    <mergeCell ref="E267:F267"/>
    <mergeCell ref="A269:H277"/>
    <mergeCell ref="A279:H279"/>
    <mergeCell ref="A281:H281"/>
    <mergeCell ref="A283:H283"/>
    <mergeCell ref="B285:E285"/>
    <mergeCell ref="F285:H285"/>
    <mergeCell ref="B286:E286"/>
    <mergeCell ref="F286:H286"/>
    <mergeCell ref="B287:E287"/>
    <mergeCell ref="F287:H287"/>
    <mergeCell ref="B288:E288"/>
    <mergeCell ref="F288:H288"/>
    <mergeCell ref="A290:H290"/>
    <mergeCell ref="D291:E291"/>
    <mergeCell ref="A292:H292"/>
    <mergeCell ref="A293:H293"/>
    <mergeCell ref="A294:H294"/>
    <mergeCell ref="A295:H295"/>
    <mergeCell ref="A296:H296"/>
    <mergeCell ref="A297:H297"/>
    <mergeCell ref="D299:E299"/>
    <mergeCell ref="D300:E300"/>
    <mergeCell ref="D301:E301"/>
    <mergeCell ref="D302:E302"/>
    <mergeCell ref="A304:H304"/>
    <mergeCell ref="C306:D306"/>
    <mergeCell ref="E306:F306"/>
    <mergeCell ref="C307:D307"/>
    <mergeCell ref="E307:F307"/>
    <mergeCell ref="C315:F315"/>
    <mergeCell ref="A317:H317"/>
    <mergeCell ref="C308:D308"/>
    <mergeCell ref="E308:F308"/>
    <mergeCell ref="C309:D309"/>
    <mergeCell ref="E309:F309"/>
    <mergeCell ref="C312:F312"/>
    <mergeCell ref="C313:F313"/>
    <mergeCell ref="C314:F314"/>
    <mergeCell ref="C321:D321"/>
    <mergeCell ref="C322:D322"/>
    <mergeCell ref="C323:D323"/>
    <mergeCell ref="C324:D324"/>
    <mergeCell ref="A326:H326"/>
    <mergeCell ref="A328:H328"/>
    <mergeCell ref="A329:H329"/>
    <mergeCell ref="D333:E333"/>
    <mergeCell ref="A335:H335"/>
    <mergeCell ref="A336:H336"/>
    <mergeCell ref="A337:H337"/>
    <mergeCell ref="A338:H338"/>
    <mergeCell ref="A339:H339"/>
    <mergeCell ref="A340:H340"/>
    <mergeCell ref="A527:H527"/>
    <mergeCell ref="A528:H528"/>
    <mergeCell ref="A529:H529"/>
    <mergeCell ref="A530:H530"/>
    <mergeCell ref="A531:H531"/>
    <mergeCell ref="A532:H532"/>
    <mergeCell ref="A533:H533"/>
    <mergeCell ref="A534:H534"/>
    <mergeCell ref="A535:H535"/>
    <mergeCell ref="A536:H536"/>
    <mergeCell ref="A537:H537"/>
    <mergeCell ref="A539:H539"/>
    <mergeCell ref="A540:H540"/>
    <mergeCell ref="A542:H542"/>
    <mergeCell ref="E559:F559"/>
    <mergeCell ref="G559:H559"/>
    <mergeCell ref="A557:B557"/>
    <mergeCell ref="A558:B558"/>
    <mergeCell ref="C558:D558"/>
    <mergeCell ref="E558:F558"/>
    <mergeCell ref="G558:H558"/>
    <mergeCell ref="A559:B559"/>
    <mergeCell ref="C559:D559"/>
    <mergeCell ref="A564:H564"/>
    <mergeCell ref="A565:H565"/>
    <mergeCell ref="A566:H566"/>
    <mergeCell ref="A567:H567"/>
    <mergeCell ref="A568:H568"/>
    <mergeCell ref="A569:H569"/>
    <mergeCell ref="A570:H570"/>
    <mergeCell ref="A572:H572"/>
    <mergeCell ref="A573:H573"/>
    <mergeCell ref="A575:H575"/>
    <mergeCell ref="A576:H576"/>
    <mergeCell ref="A577:H577"/>
    <mergeCell ref="A578:H578"/>
    <mergeCell ref="A579:H579"/>
    <mergeCell ref="A580:H580"/>
    <mergeCell ref="A581:H581"/>
    <mergeCell ref="A582:H582"/>
    <mergeCell ref="A583:H583"/>
    <mergeCell ref="A584:H584"/>
    <mergeCell ref="A585:H585"/>
    <mergeCell ref="A586:H586"/>
    <mergeCell ref="A587:H587"/>
    <mergeCell ref="A588:H588"/>
    <mergeCell ref="A589:H589"/>
    <mergeCell ref="A590:H590"/>
    <mergeCell ref="C593:D593"/>
    <mergeCell ref="E593:F593"/>
    <mergeCell ref="E594:F594"/>
    <mergeCell ref="E597:F597"/>
    <mergeCell ref="F602:G602"/>
    <mergeCell ref="F603:G603"/>
    <mergeCell ref="F604:G604"/>
    <mergeCell ref="F605:G605"/>
    <mergeCell ref="B607:G607"/>
    <mergeCell ref="C594:D594"/>
    <mergeCell ref="C595:D595"/>
    <mergeCell ref="E595:F595"/>
    <mergeCell ref="C596:D596"/>
    <mergeCell ref="E596:F596"/>
    <mergeCell ref="C597:D597"/>
    <mergeCell ref="A599:H599"/>
    <mergeCell ref="A487:H487"/>
    <mergeCell ref="A488:H488"/>
    <mergeCell ref="A489:H489"/>
    <mergeCell ref="A490:H490"/>
    <mergeCell ref="A491:H491"/>
    <mergeCell ref="A492:H492"/>
    <mergeCell ref="A493:H493"/>
    <mergeCell ref="A495:H495"/>
    <mergeCell ref="A496:H496"/>
    <mergeCell ref="A498:H498"/>
    <mergeCell ref="A499:H499"/>
    <mergeCell ref="A500:H500"/>
    <mergeCell ref="A501:H501"/>
    <mergeCell ref="A502:H502"/>
    <mergeCell ref="A503:H503"/>
    <mergeCell ref="A504:H504"/>
    <mergeCell ref="A505:H505"/>
    <mergeCell ref="A506:H506"/>
    <mergeCell ref="A507:H507"/>
    <mergeCell ref="A508:H508"/>
    <mergeCell ref="A509:H509"/>
    <mergeCell ref="A510:H510"/>
    <mergeCell ref="A511:H511"/>
    <mergeCell ref="A512:H512"/>
    <mergeCell ref="A513:H513"/>
    <mergeCell ref="C514:D514"/>
    <mergeCell ref="E514:F514"/>
    <mergeCell ref="E515:F515"/>
    <mergeCell ref="C515:D515"/>
    <mergeCell ref="C516:D516"/>
    <mergeCell ref="E516:F516"/>
    <mergeCell ref="C517:D517"/>
    <mergeCell ref="E517:F517"/>
    <mergeCell ref="C518:D518"/>
    <mergeCell ref="E518:F518"/>
    <mergeCell ref="A520:H520"/>
    <mergeCell ref="A521:H521"/>
    <mergeCell ref="A522:H522"/>
    <mergeCell ref="A523:H523"/>
    <mergeCell ref="A524:H524"/>
    <mergeCell ref="A525:H525"/>
    <mergeCell ref="A526:H526"/>
    <mergeCell ref="A560:B560"/>
    <mergeCell ref="C560:D560"/>
    <mergeCell ref="E560:F560"/>
    <mergeCell ref="G560:H560"/>
    <mergeCell ref="A561:D561"/>
    <mergeCell ref="E561:H561"/>
    <mergeCell ref="A562:H562"/>
    <mergeCell ref="A341:H341"/>
    <mergeCell ref="A342:H342"/>
    <mergeCell ref="A343:H343"/>
    <mergeCell ref="A344:H345"/>
    <mergeCell ref="A346:H346"/>
    <mergeCell ref="A347:H347"/>
    <mergeCell ref="A348:H348"/>
    <mergeCell ref="A349:H349"/>
    <mergeCell ref="A350:H350"/>
    <mergeCell ref="A351:H351"/>
    <mergeCell ref="A352:H352"/>
    <mergeCell ref="A353:H353"/>
    <mergeCell ref="A354:H354"/>
    <mergeCell ref="A355:H355"/>
    <mergeCell ref="A356:H356"/>
    <mergeCell ref="A357:H357"/>
    <mergeCell ref="A358:H358"/>
    <mergeCell ref="A359:H359"/>
    <mergeCell ref="A360:H360"/>
    <mergeCell ref="A361:H361"/>
    <mergeCell ref="A362:H362"/>
    <mergeCell ref="A363:H363"/>
    <mergeCell ref="A364:H364"/>
    <mergeCell ref="A365:H365"/>
    <mergeCell ref="A372:H385"/>
    <mergeCell ref="A387:H387"/>
    <mergeCell ref="A388:H388"/>
    <mergeCell ref="A389:H389"/>
    <mergeCell ref="A390:B390"/>
    <mergeCell ref="C390:D390"/>
    <mergeCell ref="E390:F390"/>
    <mergeCell ref="G390:H390"/>
    <mergeCell ref="C391:D391"/>
    <mergeCell ref="E391:F391"/>
    <mergeCell ref="G391:H391"/>
    <mergeCell ref="E393:F393"/>
    <mergeCell ref="G393:H393"/>
    <mergeCell ref="A391:B391"/>
    <mergeCell ref="A392:B392"/>
    <mergeCell ref="C392:D392"/>
    <mergeCell ref="E392:F392"/>
    <mergeCell ref="G392:H392"/>
    <mergeCell ref="A393:B393"/>
    <mergeCell ref="C393:D393"/>
    <mergeCell ref="C395:D395"/>
    <mergeCell ref="A396:D396"/>
    <mergeCell ref="A394:B394"/>
    <mergeCell ref="C394:D394"/>
    <mergeCell ref="E394:F394"/>
    <mergeCell ref="G394:H394"/>
    <mergeCell ref="A395:B395"/>
    <mergeCell ref="E395:F395"/>
    <mergeCell ref="G395:H395"/>
    <mergeCell ref="E396:H396"/>
    <mergeCell ref="A397:H397"/>
    <mergeCell ref="A399:H399"/>
    <mergeCell ref="A400:H400"/>
    <mergeCell ref="A401:H401"/>
    <mergeCell ref="A402:H402"/>
    <mergeCell ref="A403:H403"/>
    <mergeCell ref="A404:H404"/>
    <mergeCell ref="A405:H405"/>
    <mergeCell ref="A407:H407"/>
    <mergeCell ref="A408:H408"/>
    <mergeCell ref="A410:H410"/>
    <mergeCell ref="A411:H411"/>
    <mergeCell ref="A412:H412"/>
    <mergeCell ref="A413:H413"/>
    <mergeCell ref="A414:H414"/>
    <mergeCell ref="A415:H415"/>
    <mergeCell ref="A416:H416"/>
    <mergeCell ref="A417:H417"/>
    <mergeCell ref="A418:H418"/>
    <mergeCell ref="A419:H419"/>
    <mergeCell ref="A420:H420"/>
    <mergeCell ref="A421:H421"/>
    <mergeCell ref="A422:H422"/>
    <mergeCell ref="A423:H423"/>
    <mergeCell ref="A424:H424"/>
    <mergeCell ref="A425:H425"/>
    <mergeCell ref="E428:F428"/>
    <mergeCell ref="C428:D428"/>
    <mergeCell ref="C429:D429"/>
    <mergeCell ref="E429:F429"/>
    <mergeCell ref="C430:D430"/>
    <mergeCell ref="E430:F430"/>
    <mergeCell ref="C431:D431"/>
    <mergeCell ref="E431:F431"/>
    <mergeCell ref="A479:B479"/>
    <mergeCell ref="C479:D479"/>
    <mergeCell ref="E479:F479"/>
    <mergeCell ref="G479:H479"/>
    <mergeCell ref="C480:D480"/>
    <mergeCell ref="E480:F480"/>
    <mergeCell ref="G480:H480"/>
    <mergeCell ref="A480:B480"/>
    <mergeCell ref="A481:B481"/>
    <mergeCell ref="C481:D481"/>
    <mergeCell ref="E481:F481"/>
    <mergeCell ref="G481:H481"/>
    <mergeCell ref="A482:B482"/>
    <mergeCell ref="C482:D482"/>
    <mergeCell ref="C432:D432"/>
    <mergeCell ref="E432:F432"/>
    <mergeCell ref="A434:H434"/>
    <mergeCell ref="A435:H435"/>
    <mergeCell ref="A436:H436"/>
    <mergeCell ref="A437:H437"/>
    <mergeCell ref="A438:H438"/>
    <mergeCell ref="A439:H439"/>
    <mergeCell ref="A440:H440"/>
    <mergeCell ref="A441:H441"/>
    <mergeCell ref="A442:H442"/>
    <mergeCell ref="A443:H443"/>
    <mergeCell ref="A444:H444"/>
    <mergeCell ref="A445:H445"/>
    <mergeCell ref="A446:H446"/>
    <mergeCell ref="A447:H447"/>
    <mergeCell ref="A448:H448"/>
    <mergeCell ref="A449:H449"/>
    <mergeCell ref="A450:H450"/>
    <mergeCell ref="A451:H451"/>
    <mergeCell ref="A452:H452"/>
    <mergeCell ref="E478:F478"/>
    <mergeCell ref="G478:H478"/>
    <mergeCell ref="A453:H453"/>
    <mergeCell ref="A460:H473"/>
    <mergeCell ref="A475:H475"/>
    <mergeCell ref="A476:H476"/>
    <mergeCell ref="A477:H477"/>
    <mergeCell ref="A478:B478"/>
    <mergeCell ref="C478:D478"/>
    <mergeCell ref="E482:F482"/>
    <mergeCell ref="G482:H482"/>
    <mergeCell ref="A483:B483"/>
    <mergeCell ref="C483:D483"/>
    <mergeCell ref="E483:F483"/>
    <mergeCell ref="G483:H483"/>
    <mergeCell ref="A484:D484"/>
    <mergeCell ref="E484:H484"/>
    <mergeCell ref="A485:H485"/>
    <mergeCell ref="C545:D545"/>
    <mergeCell ref="E545:H545"/>
    <mergeCell ref="A543:B543"/>
    <mergeCell ref="C543:D543"/>
    <mergeCell ref="E543:H543"/>
    <mergeCell ref="A544:B544"/>
    <mergeCell ref="C544:D544"/>
    <mergeCell ref="E544:H544"/>
    <mergeCell ref="A545:B545"/>
    <mergeCell ref="C548:D548"/>
    <mergeCell ref="E548:H548"/>
    <mergeCell ref="A546:B546"/>
    <mergeCell ref="C546:D546"/>
    <mergeCell ref="E546:H546"/>
    <mergeCell ref="A547:B547"/>
    <mergeCell ref="C547:D547"/>
    <mergeCell ref="E547:H547"/>
    <mergeCell ref="A548:B548"/>
    <mergeCell ref="A552:H552"/>
    <mergeCell ref="A553:H553"/>
    <mergeCell ref="A554:H554"/>
    <mergeCell ref="A555:B555"/>
    <mergeCell ref="C555:D555"/>
    <mergeCell ref="E555:F555"/>
    <mergeCell ref="G555:H555"/>
    <mergeCell ref="A556:B556"/>
    <mergeCell ref="C556:D556"/>
    <mergeCell ref="E556:F556"/>
    <mergeCell ref="G556:H556"/>
    <mergeCell ref="C557:D557"/>
    <mergeCell ref="E557:F557"/>
    <mergeCell ref="G557:H55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75"/>
  <cols>
    <col customWidth="1" min="1" max="1" width="66.78"/>
    <col customWidth="1" min="2" max="2" width="70.33"/>
  </cols>
  <sheetData>
    <row r="1">
      <c r="A1" s="257" t="s">
        <v>582</v>
      </c>
    </row>
    <row r="2">
      <c r="A2" s="258" t="s">
        <v>583</v>
      </c>
      <c r="B2" s="259" t="s">
        <v>584</v>
      </c>
    </row>
    <row r="3">
      <c r="A3" s="258" t="s">
        <v>585</v>
      </c>
      <c r="B3" s="259" t="s">
        <v>586</v>
      </c>
    </row>
    <row r="4">
      <c r="A4" s="258" t="s">
        <v>587</v>
      </c>
      <c r="B4" s="259" t="s">
        <v>588</v>
      </c>
    </row>
    <row r="5">
      <c r="A5" s="258" t="s">
        <v>589</v>
      </c>
      <c r="B5" s="259" t="s">
        <v>590</v>
      </c>
    </row>
    <row r="6">
      <c r="A6" s="258" t="s">
        <v>591</v>
      </c>
      <c r="B6" s="259" t="s">
        <v>592</v>
      </c>
    </row>
  </sheetData>
  <mergeCells count="1">
    <mergeCell ref="A1:B1"/>
  </mergeCells>
  <hyperlinks>
    <hyperlink r:id="rId1" ref="B2"/>
    <hyperlink r:id="rId2" ref="B3"/>
    <hyperlink r:id="rId3" ref="B4"/>
    <hyperlink r:id="rId4" ref="B5"/>
    <hyperlink r:id="rId5" ref="B6"/>
  </hyperlinks>
  <printOptions gridLines="1" horizontalCentered="1"/>
  <pageMargins bottom="0.75" footer="0.0" header="0.0" left="0.7" right="0.7" top="0.75"/>
  <pageSetup fitToHeight="0" cellComments="atEnd" orientation="landscape" pageOrder="overThenDown"/>
  <drawing r:id="rId6"/>
</worksheet>
</file>