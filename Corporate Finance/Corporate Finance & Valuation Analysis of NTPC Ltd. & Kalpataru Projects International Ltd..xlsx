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xl/webextensions/webextension3.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musad\Downloads\"/>
    </mc:Choice>
  </mc:AlternateContent>
  <xr:revisionPtr revIDLastSave="0" documentId="13_ncr:1_{1AD26993-2357-4C10-B1B8-FE72928DBC30}" xr6:coauthVersionLast="47" xr6:coauthVersionMax="47" xr10:uidLastSave="{00000000-0000-0000-0000-000000000000}"/>
  <bookViews>
    <workbookView xWindow="-108" yWindow="-108" windowWidth="23256" windowHeight="12456" firstSheet="11" activeTab="13" xr2:uid="{00000000-000D-0000-FFFF-FFFF00000000}"/>
  </bookViews>
  <sheets>
    <sheet name="TITLE" sheetId="1" r:id="rId1"/>
    <sheet name="NTPC - Weekly Returns" sheetId="7" r:id="rId2"/>
    <sheet name="NTPC - Cost of Equity" sheetId="16" r:id="rId3"/>
    <sheet name="NTPC - Cost of Debt" sheetId="17" r:id="rId4"/>
    <sheet name="NTPC - WACC" sheetId="18" r:id="rId5"/>
    <sheet name="KPIL - Corporate Governance" sheetId="2" r:id="rId6"/>
    <sheet name="KPIL - BALANCE SHEET" sheetId="4" r:id="rId7"/>
    <sheet name="KPIL - P&amp;L STATEMENT" sheetId="13" r:id="rId8"/>
    <sheet name="KPIL -CF STATEMENT" sheetId="12" r:id="rId9"/>
    <sheet name="KPIL - Corporate Finance (A)" sheetId="3" r:id="rId10"/>
    <sheet name="KPIL - Corporate Finance (B)" sheetId="10" r:id="rId11"/>
    <sheet name="KPIL - Corporate Finance (C)" sheetId="20" r:id="rId12"/>
    <sheet name="KPIL - Corporate Finance (D)" sheetId="6" r:id="rId13"/>
    <sheet name="Data Collection &amp; References" sheetId="19" r:id="rId1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9" i="6" l="1"/>
  <c r="C35" i="6"/>
  <c r="C36" i="6"/>
  <c r="C37" i="6"/>
  <c r="C38" i="6"/>
  <c r="D55" i="6"/>
  <c r="D47" i="6"/>
  <c r="D54" i="6" s="1"/>
  <c r="C47" i="6"/>
  <c r="D46" i="6"/>
  <c r="C46" i="6"/>
  <c r="C26" i="6"/>
  <c r="C16" i="6"/>
  <c r="C17" i="6"/>
  <c r="C27" i="6" s="1"/>
  <c r="C18" i="6"/>
  <c r="C20" i="6" s="1"/>
  <c r="E10" i="10"/>
  <c r="I17" i="20" s="1"/>
  <c r="D10" i="10"/>
  <c r="C10" i="10"/>
  <c r="I15" i="20" s="1"/>
  <c r="C11" i="10"/>
  <c r="H24" i="20"/>
  <c r="H22" i="20"/>
  <c r="E20" i="10"/>
  <c r="D20" i="10"/>
  <c r="C20" i="10"/>
  <c r="E19" i="10"/>
  <c r="D19" i="10"/>
  <c r="C19" i="10"/>
  <c r="H17" i="20"/>
  <c r="J17" i="20" s="1"/>
  <c r="H16" i="20"/>
  <c r="H15" i="20"/>
  <c r="J15" i="20" s="1"/>
  <c r="K11" i="20"/>
  <c r="K10" i="20"/>
  <c r="K9" i="20"/>
  <c r="I11" i="20"/>
  <c r="I10" i="20"/>
  <c r="I9" i="20"/>
  <c r="H11" i="20"/>
  <c r="H10" i="20"/>
  <c r="H9" i="20"/>
  <c r="C57" i="6"/>
  <c r="E47" i="6"/>
  <c r="E46" i="6"/>
  <c r="D27" i="6"/>
  <c r="D26" i="6"/>
  <c r="C12" i="6"/>
  <c r="C5" i="18"/>
  <c r="C4" i="18"/>
  <c r="C6" i="17"/>
  <c r="C9" i="17" s="1"/>
  <c r="C19" i="17" s="1"/>
  <c r="G23" i="17" s="1"/>
  <c r="D17" i="10"/>
  <c r="D18" i="10" s="1"/>
  <c r="E17" i="10"/>
  <c r="E18" i="10" s="1"/>
  <c r="C17" i="10"/>
  <c r="C18" i="10" s="1"/>
  <c r="D56" i="13"/>
  <c r="E56" i="13"/>
  <c r="C56" i="13"/>
  <c r="D55" i="13"/>
  <c r="E55" i="13"/>
  <c r="C55" i="13"/>
  <c r="D11" i="10" l="1"/>
  <c r="I16" i="20"/>
  <c r="L9" i="20"/>
  <c r="I22" i="20"/>
  <c r="M9" i="20"/>
  <c r="J9" i="20"/>
  <c r="L10" i="20"/>
  <c r="I23" i="20"/>
  <c r="M10" i="20"/>
  <c r="J10" i="20"/>
  <c r="L11" i="20"/>
  <c r="I24" i="20"/>
  <c r="M11" i="20"/>
  <c r="J11" i="20"/>
  <c r="K15" i="20"/>
  <c r="K16" i="20"/>
  <c r="K17" i="20"/>
  <c r="C49" i="6"/>
  <c r="C29" i="6"/>
  <c r="E21" i="10"/>
  <c r="E22" i="10" s="1"/>
  <c r="D21" i="10"/>
  <c r="D22" i="10" s="1"/>
  <c r="G4" i="17"/>
  <c r="G5" i="17" s="1"/>
  <c r="E11" i="7"/>
  <c r="H23" i="20" l="1"/>
  <c r="J16" i="20"/>
  <c r="F8" i="7"/>
  <c r="F9" i="7"/>
  <c r="F10" i="7"/>
  <c r="F11" i="7"/>
  <c r="F12" i="7"/>
  <c r="F13" i="7"/>
  <c r="F14" i="7"/>
  <c r="F15" i="7"/>
  <c r="F16" i="7"/>
  <c r="F17" i="7"/>
  <c r="F18" i="7"/>
  <c r="F19" i="7"/>
  <c r="F20" i="7"/>
  <c r="F21" i="7"/>
  <c r="F22" i="7"/>
  <c r="F23" i="7"/>
  <c r="F24" i="7"/>
  <c r="F25" i="7"/>
  <c r="F26" i="7"/>
  <c r="F27" i="7"/>
  <c r="F28" i="7"/>
  <c r="F29" i="7"/>
  <c r="F30" i="7"/>
  <c r="F31" i="7"/>
  <c r="F32" i="7"/>
  <c r="F33" i="7"/>
  <c r="F34" i="7"/>
  <c r="F35" i="7"/>
  <c r="F36" i="7"/>
  <c r="F37" i="7"/>
  <c r="F38" i="7"/>
  <c r="F39" i="7"/>
  <c r="F40" i="7"/>
  <c r="F41" i="7"/>
  <c r="F42" i="7"/>
  <c r="F43" i="7"/>
  <c r="F44" i="7"/>
  <c r="F45" i="7"/>
  <c r="F46" i="7"/>
  <c r="F47" i="7"/>
  <c r="F48" i="7"/>
  <c r="F49" i="7"/>
  <c r="F50" i="7"/>
  <c r="F51" i="7"/>
  <c r="F52" i="7"/>
  <c r="F53" i="7"/>
  <c r="F54" i="7"/>
  <c r="F55" i="7"/>
  <c r="F56" i="7"/>
  <c r="F57" i="7"/>
  <c r="F58" i="7"/>
  <c r="F59" i="7"/>
  <c r="F60" i="7"/>
  <c r="F61" i="7"/>
  <c r="F62" i="7"/>
  <c r="F63" i="7"/>
  <c r="F64" i="7"/>
  <c r="F65" i="7"/>
  <c r="F66" i="7"/>
  <c r="F67" i="7"/>
  <c r="F68" i="7"/>
  <c r="F69" i="7"/>
  <c r="F70" i="7"/>
  <c r="F71" i="7"/>
  <c r="F72" i="7"/>
  <c r="F73" i="7"/>
  <c r="F74" i="7"/>
  <c r="F75" i="7"/>
  <c r="F76" i="7"/>
  <c r="F77" i="7"/>
  <c r="F78" i="7"/>
  <c r="F79" i="7"/>
  <c r="F80" i="7"/>
  <c r="F81" i="7"/>
  <c r="F82" i="7"/>
  <c r="F83" i="7"/>
  <c r="F84" i="7"/>
  <c r="F85" i="7"/>
  <c r="F86" i="7"/>
  <c r="F87" i="7"/>
  <c r="F88" i="7"/>
  <c r="F89" i="7"/>
  <c r="F90" i="7"/>
  <c r="F91" i="7"/>
  <c r="F92" i="7"/>
  <c r="F93" i="7"/>
  <c r="F94" i="7"/>
  <c r="F95" i="7"/>
  <c r="F96" i="7"/>
  <c r="F97" i="7"/>
  <c r="F98" i="7"/>
  <c r="F99" i="7"/>
  <c r="F100" i="7"/>
  <c r="F101" i="7"/>
  <c r="F102" i="7"/>
  <c r="F103" i="7"/>
  <c r="F104" i="7"/>
  <c r="F105" i="7"/>
  <c r="F106" i="7"/>
  <c r="F107" i="7"/>
  <c r="F108" i="7"/>
  <c r="F109" i="7"/>
  <c r="F110" i="7"/>
  <c r="F111" i="7"/>
  <c r="F112" i="7"/>
  <c r="F113" i="7"/>
  <c r="F114" i="7"/>
  <c r="F115" i="7"/>
  <c r="F116" i="7"/>
  <c r="F117" i="7"/>
  <c r="F118" i="7"/>
  <c r="F119" i="7"/>
  <c r="F120" i="7"/>
  <c r="F121" i="7"/>
  <c r="F122" i="7"/>
  <c r="F123" i="7"/>
  <c r="F124" i="7"/>
  <c r="F125" i="7"/>
  <c r="F126" i="7"/>
  <c r="F127" i="7"/>
  <c r="F128" i="7"/>
  <c r="F129" i="7"/>
  <c r="F130" i="7"/>
  <c r="F131" i="7"/>
  <c r="F132" i="7"/>
  <c r="F133" i="7"/>
  <c r="F134" i="7"/>
  <c r="F135" i="7"/>
  <c r="F136" i="7"/>
  <c r="F137" i="7"/>
  <c r="F138" i="7"/>
  <c r="F139" i="7"/>
  <c r="F140" i="7"/>
  <c r="F141" i="7"/>
  <c r="F142" i="7"/>
  <c r="F143" i="7"/>
  <c r="F144" i="7"/>
  <c r="F145" i="7"/>
  <c r="F146" i="7"/>
  <c r="F147" i="7"/>
  <c r="F148" i="7"/>
  <c r="F149" i="7"/>
  <c r="F150" i="7"/>
  <c r="F151" i="7"/>
  <c r="F152" i="7"/>
  <c r="F153" i="7"/>
  <c r="F154" i="7"/>
  <c r="F155" i="7"/>
  <c r="F7" i="7"/>
  <c r="E8" i="7"/>
  <c r="E9" i="7"/>
  <c r="E10" i="7"/>
  <c r="E12" i="7"/>
  <c r="E13" i="7"/>
  <c r="E14" i="7"/>
  <c r="E15" i="7"/>
  <c r="E16" i="7"/>
  <c r="E17" i="7"/>
  <c r="E18" i="7"/>
  <c r="E19" i="7"/>
  <c r="E20" i="7"/>
  <c r="E21" i="7"/>
  <c r="E22" i="7"/>
  <c r="E23" i="7"/>
  <c r="E24" i="7"/>
  <c r="E25" i="7"/>
  <c r="E26" i="7"/>
  <c r="E27" i="7"/>
  <c r="E28" i="7"/>
  <c r="E29" i="7"/>
  <c r="E30" i="7"/>
  <c r="E31" i="7"/>
  <c r="E32" i="7"/>
  <c r="E33" i="7"/>
  <c r="E34" i="7"/>
  <c r="E35" i="7"/>
  <c r="E36" i="7"/>
  <c r="E37" i="7"/>
  <c r="E38" i="7"/>
  <c r="E39" i="7"/>
  <c r="E40" i="7"/>
  <c r="E41" i="7"/>
  <c r="E42" i="7"/>
  <c r="E43" i="7"/>
  <c r="E44" i="7"/>
  <c r="E45" i="7"/>
  <c r="E46" i="7"/>
  <c r="E47" i="7"/>
  <c r="E48" i="7"/>
  <c r="E49" i="7"/>
  <c r="E50" i="7"/>
  <c r="E51" i="7"/>
  <c r="E52" i="7"/>
  <c r="E53" i="7"/>
  <c r="E54" i="7"/>
  <c r="E55" i="7"/>
  <c r="E56" i="7"/>
  <c r="E57" i="7"/>
  <c r="E58" i="7"/>
  <c r="E59" i="7"/>
  <c r="E60" i="7"/>
  <c r="E61" i="7"/>
  <c r="E62" i="7"/>
  <c r="E63" i="7"/>
  <c r="E64" i="7"/>
  <c r="E65" i="7"/>
  <c r="E66" i="7"/>
  <c r="E67" i="7"/>
  <c r="E68" i="7"/>
  <c r="E69" i="7"/>
  <c r="E70" i="7"/>
  <c r="E71" i="7"/>
  <c r="E72" i="7"/>
  <c r="E73" i="7"/>
  <c r="E74" i="7"/>
  <c r="E75" i="7"/>
  <c r="E76" i="7"/>
  <c r="E77" i="7"/>
  <c r="E78" i="7"/>
  <c r="E79" i="7"/>
  <c r="E80" i="7"/>
  <c r="E81" i="7"/>
  <c r="E82" i="7"/>
  <c r="E83" i="7"/>
  <c r="E84" i="7"/>
  <c r="E85" i="7"/>
  <c r="E86" i="7"/>
  <c r="E87" i="7"/>
  <c r="E88" i="7"/>
  <c r="E89" i="7"/>
  <c r="E90" i="7"/>
  <c r="E91" i="7"/>
  <c r="E92" i="7"/>
  <c r="E93" i="7"/>
  <c r="E94" i="7"/>
  <c r="E95" i="7"/>
  <c r="E96" i="7"/>
  <c r="E97" i="7"/>
  <c r="E98" i="7"/>
  <c r="E99" i="7"/>
  <c r="E100" i="7"/>
  <c r="E101" i="7"/>
  <c r="E102" i="7"/>
  <c r="E103" i="7"/>
  <c r="E104" i="7"/>
  <c r="E105" i="7"/>
  <c r="E106" i="7"/>
  <c r="E107" i="7"/>
  <c r="E108" i="7"/>
  <c r="E109" i="7"/>
  <c r="E110" i="7"/>
  <c r="E111" i="7"/>
  <c r="E112" i="7"/>
  <c r="E113" i="7"/>
  <c r="E114" i="7"/>
  <c r="E115" i="7"/>
  <c r="E116" i="7"/>
  <c r="E117" i="7"/>
  <c r="E118" i="7"/>
  <c r="E119" i="7"/>
  <c r="E120" i="7"/>
  <c r="E121" i="7"/>
  <c r="E122" i="7"/>
  <c r="E123" i="7"/>
  <c r="E124" i="7"/>
  <c r="E125" i="7"/>
  <c r="E126" i="7"/>
  <c r="E127" i="7"/>
  <c r="E128" i="7"/>
  <c r="E129" i="7"/>
  <c r="E130" i="7"/>
  <c r="E131" i="7"/>
  <c r="E132" i="7"/>
  <c r="E133" i="7"/>
  <c r="E134" i="7"/>
  <c r="E135" i="7"/>
  <c r="E136" i="7"/>
  <c r="E137" i="7"/>
  <c r="E138" i="7"/>
  <c r="E139" i="7"/>
  <c r="E140" i="7"/>
  <c r="E141" i="7"/>
  <c r="E142" i="7"/>
  <c r="E143" i="7"/>
  <c r="E144" i="7"/>
  <c r="E145" i="7"/>
  <c r="E146" i="7"/>
  <c r="E147" i="7"/>
  <c r="E148" i="7"/>
  <c r="E149" i="7"/>
  <c r="E150" i="7"/>
  <c r="E151" i="7"/>
  <c r="E152" i="7"/>
  <c r="E153" i="7"/>
  <c r="E154" i="7"/>
  <c r="E155" i="7"/>
  <c r="E7" i="7"/>
  <c r="D51" i="13" l="1"/>
  <c r="E51" i="13"/>
  <c r="D47" i="13"/>
  <c r="E47" i="13"/>
  <c r="D43" i="13"/>
  <c r="E43" i="13"/>
  <c r="D37" i="13"/>
  <c r="E37" i="13"/>
  <c r="D32" i="13"/>
  <c r="E32" i="13"/>
  <c r="D26" i="13"/>
  <c r="E26" i="13"/>
  <c r="D17" i="13"/>
  <c r="E17" i="13"/>
  <c r="D7" i="13"/>
  <c r="E7" i="13"/>
  <c r="E11" i="10"/>
  <c r="C11" i="18"/>
  <c r="C13" i="18" s="1"/>
  <c r="C8" i="18"/>
  <c r="C10" i="18"/>
  <c r="C23" i="16"/>
  <c r="C26" i="16" s="1"/>
  <c r="C9" i="18" s="1"/>
  <c r="C14" i="18" s="1"/>
  <c r="C51" i="13"/>
  <c r="C47" i="13"/>
  <c r="C43" i="13"/>
  <c r="C37" i="13"/>
  <c r="C32" i="13"/>
  <c r="C26" i="13"/>
  <c r="C17" i="13"/>
  <c r="C7" i="13"/>
  <c r="C21" i="10"/>
  <c r="C22" i="10" s="1"/>
  <c r="E68" i="4"/>
  <c r="D10" i="3" s="1"/>
  <c r="F68" i="4"/>
  <c r="D11" i="3" s="1"/>
  <c r="D68" i="4"/>
  <c r="D9" i="3" s="1"/>
  <c r="E57" i="4"/>
  <c r="F57" i="4"/>
  <c r="D57" i="4"/>
  <c r="E45" i="4"/>
  <c r="E70" i="4" s="1"/>
  <c r="F45" i="4"/>
  <c r="F70" i="4" s="1"/>
  <c r="D27" i="12"/>
  <c r="E27" i="12"/>
  <c r="D45" i="4"/>
  <c r="D70" i="4" s="1"/>
  <c r="C27" i="12"/>
  <c r="E34" i="4"/>
  <c r="C10" i="3" s="1"/>
  <c r="F34" i="4"/>
  <c r="C11" i="3" s="1"/>
  <c r="D34" i="4"/>
  <c r="C9" i="3" s="1"/>
  <c r="D15" i="3" s="1"/>
  <c r="D20" i="12"/>
  <c r="D29" i="12" s="1"/>
  <c r="D31" i="12" s="1"/>
  <c r="E20" i="12"/>
  <c r="E29" i="12" s="1"/>
  <c r="E31" i="12" s="1"/>
  <c r="E21" i="4"/>
  <c r="F21" i="4"/>
  <c r="C20" i="12"/>
  <c r="C29" i="12" s="1"/>
  <c r="C31" i="12" s="1"/>
  <c r="D21" i="4"/>
  <c r="D9" i="12"/>
  <c r="D11" i="12" s="1"/>
  <c r="E9" i="12"/>
  <c r="E11" i="12" s="1"/>
  <c r="C9" i="12"/>
  <c r="C11" i="12" s="1"/>
  <c r="E9" i="3"/>
  <c r="E15" i="3" s="1"/>
  <c r="E11" i="3" l="1"/>
  <c r="E17" i="3" s="1"/>
  <c r="E10" i="3"/>
  <c r="E16" i="3" s="1"/>
  <c r="E20" i="13"/>
  <c r="D18" i="13"/>
  <c r="E22" i="13"/>
  <c r="E27" i="13" s="1"/>
  <c r="E39" i="13" s="1"/>
  <c r="D20" i="13"/>
  <c r="D22" i="13"/>
  <c r="D27" i="13" s="1"/>
  <c r="D39" i="13" s="1"/>
  <c r="E18" i="13"/>
  <c r="C18" i="13"/>
  <c r="C20" i="13"/>
  <c r="C22" i="13"/>
  <c r="C27" i="13" s="1"/>
  <c r="C39" i="13" s="1"/>
  <c r="D16" i="3"/>
  <c r="C16" i="3"/>
  <c r="C17" i="3"/>
  <c r="D17" i="3"/>
  <c r="C15" i="3"/>
  <c r="D36" i="4"/>
  <c r="F36" i="4"/>
  <c r="E36" i="4"/>
</calcChain>
</file>

<file path=xl/sharedStrings.xml><?xml version="1.0" encoding="utf-8"?>
<sst xmlns="http://schemas.openxmlformats.org/spreadsheetml/2006/main" count="618" uniqueCount="546">
  <si>
    <t>BITS PILANI - PILANI CAMPUS</t>
  </si>
  <si>
    <t>COURSE</t>
  </si>
  <si>
    <t>FIN F315: FINANCIAL MANAGEMENT</t>
  </si>
  <si>
    <t>ASSIGNMENT</t>
  </si>
  <si>
    <t>Corporate Governance, Corporate Finance and Capital Structure Analysis</t>
  </si>
  <si>
    <t>SUBMITTED TO</t>
  </si>
  <si>
    <t>Prof. Aditya Sharma &amp; Prof. Arya Kumar</t>
  </si>
  <si>
    <t>COMPANY  I</t>
  </si>
  <si>
    <t>NTPC Ltd</t>
  </si>
  <si>
    <t>BOND ISIN</t>
  </si>
  <si>
    <t>INE733E07JW2</t>
  </si>
  <si>
    <t>COMPANY  II</t>
  </si>
  <si>
    <t>Kalpataru Projects International Ltd</t>
  </si>
  <si>
    <t>PREPARED BY</t>
  </si>
  <si>
    <t>CAPITAL STRUCTURE ANALYSIS</t>
  </si>
  <si>
    <t>COMPANY 1 - NTPC Ltd</t>
  </si>
  <si>
    <t>Date</t>
  </si>
  <si>
    <t>NIFTY_Close</t>
  </si>
  <si>
    <t>NTPC_Close</t>
  </si>
  <si>
    <t>NIFTY_Return</t>
  </si>
  <si>
    <t>NTPC_Return</t>
  </si>
  <si>
    <t>28-04-2023</t>
  </si>
  <si>
    <t xml:space="preserve">  </t>
  </si>
  <si>
    <t>19-05-2023</t>
  </si>
  <si>
    <t>26-05-2023</t>
  </si>
  <si>
    <t>16-06-2023</t>
  </si>
  <si>
    <t>23-06-2023</t>
  </si>
  <si>
    <t>30-06-2023</t>
  </si>
  <si>
    <t>14-07-2023</t>
  </si>
  <si>
    <t>21-07-2023</t>
  </si>
  <si>
    <t>28-07-2023</t>
  </si>
  <si>
    <t>18-08-2023</t>
  </si>
  <si>
    <t>25-08-2023</t>
  </si>
  <si>
    <t>15-09-2023</t>
  </si>
  <si>
    <t>22-09-2023</t>
  </si>
  <si>
    <t>29-09-2023</t>
  </si>
  <si>
    <t>13-10-2023</t>
  </si>
  <si>
    <t>20-10-2023</t>
  </si>
  <si>
    <t>27-10-2023</t>
  </si>
  <si>
    <t>17-11-2023</t>
  </si>
  <si>
    <t>24-11-2023</t>
  </si>
  <si>
    <t>15-12-2023</t>
  </si>
  <si>
    <t>22-12-2023</t>
  </si>
  <si>
    <t>29-12-2023</t>
  </si>
  <si>
    <t>25-01-2024</t>
  </si>
  <si>
    <t>16-02-2024</t>
  </si>
  <si>
    <t>23-02-2024</t>
  </si>
  <si>
    <t>15-03-2024</t>
  </si>
  <si>
    <t>22-03-2024</t>
  </si>
  <si>
    <t>28-03-2024</t>
  </si>
  <si>
    <t>19-04-2024</t>
  </si>
  <si>
    <t>26-04-2024</t>
  </si>
  <si>
    <t>24-05-2024</t>
  </si>
  <si>
    <t>31-05-2024</t>
  </si>
  <si>
    <t>14-06-2024</t>
  </si>
  <si>
    <t>21-06-2024</t>
  </si>
  <si>
    <t>28-06-2024</t>
  </si>
  <si>
    <t>19-07-2024</t>
  </si>
  <si>
    <t>26-07-2024</t>
  </si>
  <si>
    <t>16-08-2024</t>
  </si>
  <si>
    <t>23-08-2024</t>
  </si>
  <si>
    <t>30-08-2024</t>
  </si>
  <si>
    <t>13-09-2024</t>
  </si>
  <si>
    <t>20-09-2024</t>
  </si>
  <si>
    <t>27-09-2024</t>
  </si>
  <si>
    <t>18-10-2024</t>
  </si>
  <si>
    <t>25-10-2024</t>
  </si>
  <si>
    <t>14-11-2024</t>
  </si>
  <si>
    <t>22-11-2024</t>
  </si>
  <si>
    <t>29-11-2024</t>
  </si>
  <si>
    <t>13-12-2024</t>
  </si>
  <si>
    <t>20-12-2024</t>
  </si>
  <si>
    <t>27-12-2024</t>
  </si>
  <si>
    <t>17-01-2025</t>
  </si>
  <si>
    <t>24-01-2025</t>
  </si>
  <si>
    <t>14-02-2025</t>
  </si>
  <si>
    <t>21-02-2025</t>
  </si>
  <si>
    <t>28-02-2025</t>
  </si>
  <si>
    <t>13-03-2025</t>
  </si>
  <si>
    <t>21-03-2025</t>
  </si>
  <si>
    <t>28-03-2025</t>
  </si>
  <si>
    <t>17-04-2025</t>
  </si>
  <si>
    <t>25-04-2025</t>
  </si>
  <si>
    <t>16-05-2025</t>
  </si>
  <si>
    <t>23-05-2025</t>
  </si>
  <si>
    <t>30-05-2025</t>
  </si>
  <si>
    <t>13-06-2025</t>
  </si>
  <si>
    <t>20-06-2025</t>
  </si>
  <si>
    <t>27-06-2025</t>
  </si>
  <si>
    <t>18-07-2025</t>
  </si>
  <si>
    <t>25-07-2025</t>
  </si>
  <si>
    <t>14-08-2025</t>
  </si>
  <si>
    <t>22-08-2025</t>
  </si>
  <si>
    <t>29-08-2025</t>
  </si>
  <si>
    <t>19-09-2025</t>
  </si>
  <si>
    <t>26-09-2025</t>
  </si>
  <si>
    <t>17-10-2025</t>
  </si>
  <si>
    <t>24-10-2025</t>
  </si>
  <si>
    <t>31-10-2025</t>
  </si>
  <si>
    <t>14-11-2025</t>
  </si>
  <si>
    <t>21-11-2025</t>
  </si>
  <si>
    <t>28-11-2025</t>
  </si>
  <si>
    <t>19-12-2025</t>
  </si>
  <si>
    <t>26-12-2025</t>
  </si>
  <si>
    <t>16-01-2026</t>
  </si>
  <si>
    <t>23-01-2026</t>
  </si>
  <si>
    <t>30-01-2026</t>
  </si>
  <si>
    <t>13-02-2026</t>
  </si>
  <si>
    <t>20-02-2026</t>
  </si>
  <si>
    <t>27-02-2026</t>
  </si>
  <si>
    <t>13-03-2026</t>
  </si>
  <si>
    <t>20-03-2026</t>
  </si>
  <si>
    <t>27-03-2026</t>
  </si>
  <si>
    <t>LINEAR REGRESSION</t>
  </si>
  <si>
    <t>SUMMARY OUTPUT</t>
  </si>
  <si>
    <t>Regression Statistics</t>
  </si>
  <si>
    <t>Multiple R</t>
  </si>
  <si>
    <t>R Square</t>
  </si>
  <si>
    <t>Adjusted R Square</t>
  </si>
  <si>
    <t>Standard Error</t>
  </si>
  <si>
    <t>Observations</t>
  </si>
  <si>
    <t>ANOVA</t>
  </si>
  <si>
    <t> </t>
  </si>
  <si>
    <t>df</t>
  </si>
  <si>
    <t>SS</t>
  </si>
  <si>
    <t>MS</t>
  </si>
  <si>
    <t>F</t>
  </si>
  <si>
    <t>Significance F</t>
  </si>
  <si>
    <t>Regression</t>
  </si>
  <si>
    <t>Residual</t>
  </si>
  <si>
    <t>Total</t>
  </si>
  <si>
    <t>Coefficients</t>
  </si>
  <si>
    <t>t Stat</t>
  </si>
  <si>
    <t>P-value</t>
  </si>
  <si>
    <t>Lower 95%</t>
  </si>
  <si>
    <t>Upper 95%</t>
  </si>
  <si>
    <t>Lower 95.0%</t>
  </si>
  <si>
    <t>Upper 95.0%</t>
  </si>
  <si>
    <t>Intercept</t>
  </si>
  <si>
    <t>X Variable 1</t>
  </si>
  <si>
    <t>Beta (β)</t>
  </si>
  <si>
    <t>Risk-Free Rate (Rf​)</t>
  </si>
  <si>
    <t xml:space="preserve"> Taken from "https://data.rbi.org.in/#/dbie/reports/Statistics/Financial%20Market/Government%20Securities%20Market" for 10-Yr Indian G-Sec.</t>
  </si>
  <si>
    <t>Expected Market Return (Rm​)</t>
  </si>
  <si>
    <t>Historical NIFTY 50 average return taken from "https://www.niftyindices.com/"</t>
  </si>
  <si>
    <t>Cost of Equity (Ke​)</t>
  </si>
  <si>
    <t>A (Metric)</t>
  </si>
  <si>
    <t>B (Value)</t>
  </si>
  <si>
    <t>Yield Spread Analysis:</t>
  </si>
  <si>
    <t>Settlement Date</t>
  </si>
  <si>
    <t>Current 10-Yr Government Bond Yield</t>
  </si>
  <si>
    <t>Maturity Date</t>
  </si>
  <si>
    <t>NTPC Bond YTM</t>
  </si>
  <si>
    <t>Coupon Rate (ANNUAL)</t>
  </si>
  <si>
    <t>Yield Spread</t>
  </si>
  <si>
    <t>Price (per ₹100 FV)</t>
  </si>
  <si>
    <t>Redemption (per ₹100)</t>
  </si>
  <si>
    <t>Coupon Frequency</t>
  </si>
  <si>
    <t>Yield to Maturity (YTM)</t>
  </si>
  <si>
    <t>Issuer: NTPC Limited</t>
  </si>
  <si>
    <t>ISIN</t>
  </si>
  <si>
    <t>B. Risk of Credit: The main point is that NTPC is a "Maharatna" Central Public Sector Enterprise (CPSE) that the Government of India backs, and the bond has a perfect "AAA" credit rating. There is no "credit risk premium" here that normally raises corporate yields because the market sees NTPC's default risk as almost the same as the government's.</t>
  </si>
  <si>
    <t>Bond Type</t>
  </si>
  <si>
    <t>Secured, Tax-Free Corporate Bond</t>
  </si>
  <si>
    <t>Credit Rating</t>
  </si>
  <si>
    <t>CRISIL AAA / ICRA AAA</t>
  </si>
  <si>
    <t>Face Value ( ₹ )</t>
  </si>
  <si>
    <t>C. Liquidity: Tax-free bonds are bought mainly by High Net Worth Individuals (HNIs) and institutions who tend to buy and hold till maturity. That means lower liquidity (fewer trades) in the secondary market. But with demand much higher than supply, buyers are prepared to pay a high upfront premium (trading at ₹1,179 against face value of ₹1,000), bringing down the effective yield to 5.68%.</t>
  </si>
  <si>
    <t>Coupon Rate (Paid Annually)</t>
  </si>
  <si>
    <t>Last Traded Price   (₹)        (last traded on April 20,2026)</t>
  </si>
  <si>
    <t>Last Traded Yield (YTM)</t>
  </si>
  <si>
    <t>Pre-Tax Cost of Debt (Kd): 5.68%: The pre-tax cost of debt is simply the current YTM on the company's publicly traded debt. This is because the YTM represents the current market-required rate of return, reflecting today's inflation, risk, and time value of value.</t>
  </si>
  <si>
    <t>Premium vs. Discount Analysis:</t>
  </si>
  <si>
    <r>
      <t>Status:</t>
    </r>
    <r>
      <rPr>
        <sz val="14"/>
        <color theme="1"/>
        <rFont val="Calibri"/>
        <family val="2"/>
      </rPr>
      <t xml:space="preserve"> Trading at a </t>
    </r>
    <r>
      <rPr>
        <b/>
        <sz val="14"/>
        <color theme="1"/>
        <rFont val="Calibri"/>
        <family val="2"/>
      </rPr>
      <t>Premium</t>
    </r>
    <r>
      <rPr>
        <sz val="14"/>
        <color theme="1"/>
        <rFont val="Calibri"/>
        <family val="2"/>
      </rPr>
      <t>.</t>
    </r>
  </si>
  <si>
    <r>
      <t>Explanation</t>
    </r>
    <r>
      <rPr>
        <sz val="12"/>
        <color rgb="FF000000"/>
        <rFont val="Calibri"/>
        <family val="2"/>
      </rPr>
      <t>:"The bond is trading at a premium because its Last Traded Price (₹1,138.3) is higher than its Face Value (₹1,000), and its YTM (5.68%) is lower than the Coupon Rate (7.62%). Investors are willing to pay an upfront premium because this is a Tax-Free Bond, allowing them to keep the entire 7.62% interest without tax deductions, which is highly attractive in the current interest rate environment."</t>
    </r>
  </si>
  <si>
    <r>
      <t>Pre-Tax Cost of Debt (</t>
    </r>
    <r>
      <rPr>
        <b/>
        <sz val="14"/>
        <color rgb="FF000000"/>
        <rFont val="Arial"/>
        <family val="2"/>
      </rPr>
      <t>Kd</t>
    </r>
    <r>
      <rPr>
        <sz val="14"/>
        <color rgb="FF000000"/>
        <rFont val="Calibri"/>
        <family val="2"/>
      </rPr>
      <t>)</t>
    </r>
    <r>
      <rPr>
        <b/>
        <sz val="14"/>
        <color rgb="FF000000"/>
        <rFont val="Calibri"/>
        <family val="2"/>
      </rPr>
      <t xml:space="preserve"> = YTM</t>
    </r>
  </si>
  <si>
    <r>
      <t>Debt-to-Equity Ratio:</t>
    </r>
    <r>
      <rPr>
        <sz val="16"/>
        <color rgb="FF000000"/>
        <rFont val="Calibri"/>
        <family val="2"/>
      </rPr>
      <t xml:space="preserve"> </t>
    </r>
  </si>
  <si>
    <t>TAKEN FROM NTPC BALANCE SHEET</t>
  </si>
  <si>
    <r>
      <t>Weight of Debt (Wd):</t>
    </r>
    <r>
      <rPr>
        <sz val="16"/>
        <color rgb="FF000000"/>
        <rFont val="Calibri"/>
        <family val="2"/>
      </rPr>
      <t xml:space="preserve"> = (D/E) / (1 + (D/E))</t>
    </r>
  </si>
  <si>
    <r>
      <t>Weight of Equity (We):</t>
    </r>
    <r>
      <rPr>
        <sz val="16"/>
        <color rgb="FF000000"/>
        <rFont val="Calibri"/>
        <family val="2"/>
      </rPr>
      <t xml:space="preserve"> = 1 / (1 + (D/E))</t>
    </r>
  </si>
  <si>
    <t>Metric</t>
  </si>
  <si>
    <t>Value</t>
  </si>
  <si>
    <t>Source/Formula</t>
  </si>
  <si>
    <t>Weight of Equity (We)</t>
  </si>
  <si>
    <t>calculated</t>
  </si>
  <si>
    <t>Linked from Shest Company 1 - Cost of Equity</t>
  </si>
  <si>
    <t>Weight of Debt (Wd)</t>
  </si>
  <si>
    <r>
      <t>Pre-Tax Cost of Debt (</t>
    </r>
    <r>
      <rPr>
        <sz val="16"/>
        <color theme="1"/>
        <rFont val="Arial"/>
        <family val="2"/>
      </rPr>
      <t>Kd</t>
    </r>
    <r>
      <rPr>
        <sz val="16"/>
        <color theme="1"/>
        <rFont val="Calibri"/>
        <family val="2"/>
      </rPr>
      <t>)</t>
    </r>
  </si>
  <si>
    <t>Linked from Sheet Company 1 - Cost of Debt</t>
  </si>
  <si>
    <r>
      <t>Corporate Tax Rate (</t>
    </r>
    <r>
      <rPr>
        <sz val="16"/>
        <color theme="1"/>
        <rFont val="Arial"/>
        <family val="2"/>
      </rPr>
      <t>T</t>
    </r>
    <r>
      <rPr>
        <sz val="16"/>
        <color theme="1"/>
        <rFont val="Calibri"/>
        <family val="2"/>
      </rPr>
      <t>)</t>
    </r>
  </si>
  <si>
    <t>calculated from income statement present in yahoo finance</t>
  </si>
  <si>
    <t>After-Tax Cost of Debt</t>
  </si>
  <si>
    <t>Kd * (1 - T)</t>
  </si>
  <si>
    <t>WACC</t>
  </si>
  <si>
    <t>(We * Ke) + (Wd * After-Tax Kd)</t>
  </si>
  <si>
    <t>KALPATARU PROJECTS INTERNATIONAL Ltd</t>
  </si>
  <si>
    <t>PART I- CORPORATE GOVERNANCE</t>
  </si>
  <si>
    <t>Q1. Is it a family-run business?</t>
  </si>
  <si>
    <t>Yes - promoter/family-influenced rather than a dispersed ownership structure.</t>
  </si>
  <si>
    <t>Q2. Size of Board</t>
  </si>
  <si>
    <t>8 Members (2 Executive + 4 Independent + 2 Non Executive)</t>
  </si>
  <si>
    <t>Q3. Is the Chairman of the Board also the top manager of the firm (i.e. whether it’s a case of CEO Duality)</t>
  </si>
  <si>
    <t xml:space="preserve">No - Chairman is not the CEO </t>
  </si>
  <si>
    <t>Q4. If CEO duality is not the case, mention the same and briefly highlight its impact on the firm’s decision-making for your company</t>
  </si>
  <si>
    <r>
      <rPr>
        <b/>
        <sz val="12"/>
        <color theme="1"/>
        <rFont val="Verdana"/>
        <family val="2"/>
      </rPr>
      <t>More responsibility:</t>
    </r>
    <r>
      <rPr>
        <sz val="12"/>
        <color theme="1"/>
        <rFont val="Verdana"/>
        <family val="2"/>
      </rPr>
      <t xml:space="preserve"> The MD and CEO have to explain big capital investments or strategic changes to an independent Chairman, which makes decision-making more disciplined and lowers the risk of "reckless" growth.
</t>
    </r>
    <r>
      <rPr>
        <b/>
        <sz val="12"/>
        <color theme="1"/>
        <rFont val="Verdana"/>
        <family val="2"/>
      </rPr>
      <t xml:space="preserve">
Strategic Stability:</t>
    </r>
    <r>
      <rPr>
        <b/>
        <i/>
        <sz val="12"/>
        <color theme="1"/>
        <rFont val="Verdana"/>
        <family val="2"/>
      </rPr>
      <t xml:space="preserve"> </t>
    </r>
    <r>
      <rPr>
        <sz val="12"/>
        <color theme="1"/>
        <rFont val="Verdana"/>
        <family val="2"/>
      </rPr>
      <t xml:space="preserve">The split lets the Chairman focus on long-term governance and stakeholder relations while the CEO focuses on day-to-day operations. This leads to more balanced and long-term growth.
</t>
    </r>
    <r>
      <rPr>
        <b/>
        <i/>
        <sz val="12"/>
        <color theme="1"/>
        <rFont val="Verdana"/>
        <family val="2"/>
      </rPr>
      <t xml:space="preserve">
</t>
    </r>
    <r>
      <rPr>
        <b/>
        <sz val="12"/>
        <color theme="1"/>
        <rFont val="Verdana"/>
        <family val="2"/>
      </rPr>
      <t>Potential for slower execution:</t>
    </r>
    <r>
      <rPr>
        <b/>
        <i/>
        <sz val="12"/>
        <color theme="1"/>
        <rFont val="Verdana"/>
        <family val="2"/>
      </rPr>
      <t xml:space="preserve"> </t>
    </r>
    <r>
      <rPr>
        <sz val="12"/>
        <color theme="1"/>
        <rFont val="Verdana"/>
        <family val="2"/>
      </rPr>
      <t>The need for board alignment between two different leaders might make a company more cautious when making big purchases than a company with a single command structure.</t>
    </r>
  </si>
  <si>
    <t>Q5. Gender Diversity on the Board of Directors</t>
  </si>
  <si>
    <t>7 males and 1 female - Low female representation in the BoD.</t>
  </si>
  <si>
    <t>Q6. Number of independent directors</t>
  </si>
  <si>
    <t>4 Independent Directors - Mr. Dhananjay Mungale, Mr. Bimal Tanna, Dr. Shailendra Raj Mehta, Ms. Raksha Kothari</t>
  </si>
  <si>
    <t xml:space="preserve">Q7. Brief background of executive and non-executive directors – age, experience, qualification, competence, etc. </t>
  </si>
  <si>
    <t>Name</t>
  </si>
  <si>
    <t>Age</t>
  </si>
  <si>
    <t>Post</t>
  </si>
  <si>
    <t>Qualification</t>
  </si>
  <si>
    <t>Experience &amp; competence</t>
  </si>
  <si>
    <t>Mr. Mofatraj P. Munot</t>
  </si>
  <si>
    <t>Non-Executive Chairman</t>
  </si>
  <si>
    <t>Matriculation</t>
  </si>
  <si>
    <t>He was the first person in his family to start a business and the founder of the Kalpataru Group in 1969. A visionary in Indian real estate and infrastructure with more than 50 years of experience leading the industry.</t>
  </si>
  <si>
    <t>Mr. Parag Munot</t>
  </si>
  <si>
    <t>Promoter Director</t>
  </si>
  <si>
    <t>M.S. (Industrial Admin, Carnegie Mellon)</t>
  </si>
  <si>
    <t>More than 33 years of experience in real estate. As the MD of Kalpataru Limited (the flagship), he is in charge of the group's marketing, strategic growth, and entry into new regional markets.</t>
  </si>
  <si>
    <t>Mr. Manish Mohnot</t>
  </si>
  <si>
    <t>MD and CEO</t>
  </si>
  <si>
    <t>CA, Cost Accountant, Advanced Management (Harvard)</t>
  </si>
  <si>
    <t>More than 27 years in the energy and infrastructure sectors. Used to be a Director at KPMG. Famous for turning KPIL into an international EPC giant with few assets through global acquisitions.</t>
  </si>
  <si>
    <t>Mr. Shailendra K. Tripathi</t>
  </si>
  <si>
    <t>Deputy MD</t>
  </si>
  <si>
    <t>B.E. (Civil Engineering)</t>
  </si>
  <si>
    <t>For almost 40 years, he has worked on heavy civil infrastructure. An expert at carrying out big projects like airports, metros, and highways. Before that, he was in charge of the infrastructure division at JMC Projects.</t>
  </si>
  <si>
    <t>Q8. Any serious (potentially impactful) lawsuits filed against the firm?</t>
  </si>
  <si>
    <t>There are no major lawsuits against Kalpataru Projects International Ltd that could seriously hurt its corporate governance structure. The company deals with everyday disputes in the EPC industry, like arbitration, contracts, and taxes.
The only major governance issue is the World Bank's temporary ban on the company in 2020 for fraudulent behavior. This does not seem to have long-term effects.
The recent GST disputes are more about following the rules than serious wrongdoing, and the company has been actively seeking legal solutions.</t>
  </si>
  <si>
    <t>Q9. Auditor of the company and the auditor’s experience regarding the truthfulness and reliability of the accounting practices of the company</t>
  </si>
  <si>
    <t>Statutory Auditor: M/s BSR &amp; Co L.L.P issued and "unmodified opinion" for FY25, signaling a very high degree of truthfulness and realibility in accounting practiices of the company.</t>
  </si>
  <si>
    <t>Q10. Is information asymmetry a potential contention between the board of directors and the top management?</t>
  </si>
  <si>
    <t>Kalpataru Projects International Ltd has some information asymmetry because their projects are complicated. But it is well-controlled by independent directors, audit oversight, and regulatory disclosures, and it doesn't cause a lot of problems between the board and top management.</t>
  </si>
  <si>
    <t>PART II- CORPORATE FINANCE</t>
  </si>
  <si>
    <t xml:space="preserve"> </t>
  </si>
  <si>
    <t>CONSOLIDATED BALANCE SHEET - THREE-YEAR SUMMARY</t>
  </si>
  <si>
    <t>PARTICULARS (IN CRORES)</t>
  </si>
  <si>
    <t>FY 23</t>
  </si>
  <si>
    <t>FY 24</t>
  </si>
  <si>
    <t>FY25</t>
  </si>
  <si>
    <t>ASSETS</t>
  </si>
  <si>
    <t>NON CURRENT ASSETS</t>
  </si>
  <si>
    <t>Property, Plant and Equipments</t>
  </si>
  <si>
    <t>Capital Work in Progress</t>
  </si>
  <si>
    <t>Right of Use Assets</t>
  </si>
  <si>
    <t>Goodwil</t>
  </si>
  <si>
    <t>Other Intangible Assets</t>
  </si>
  <si>
    <t>Investments</t>
  </si>
  <si>
    <t>Trade Receivables</t>
  </si>
  <si>
    <t>Others</t>
  </si>
  <si>
    <t>Deferred Tax Assets (net)</t>
  </si>
  <si>
    <t>Non-Current Tax Assets (net)</t>
  </si>
  <si>
    <t>Other Non-Current Assets</t>
  </si>
  <si>
    <t>CURRENT ASSETS</t>
  </si>
  <si>
    <t>Inventories</t>
  </si>
  <si>
    <t>Cash and Cash Equivalents</t>
  </si>
  <si>
    <t>Bank Balances Other than (iii) above</t>
  </si>
  <si>
    <t>Loans</t>
  </si>
  <si>
    <t>Current Tax Assets (net)</t>
  </si>
  <si>
    <t>Other Current Assets</t>
  </si>
  <si>
    <t>Asset classified as held for sale</t>
  </si>
  <si>
    <t>TOTAL ASSETS</t>
  </si>
  <si>
    <t>EQUITY &amp; LIABILITIES</t>
  </si>
  <si>
    <t>EQUITY</t>
  </si>
  <si>
    <t>Equity Share Capital</t>
  </si>
  <si>
    <t>Other Equity</t>
  </si>
  <si>
    <t>Non-Controlling Interests</t>
  </si>
  <si>
    <t>LIABILITIES</t>
  </si>
  <si>
    <t>NON CURRENT LIABILITIES</t>
  </si>
  <si>
    <t>Borrowings</t>
  </si>
  <si>
    <t>Lease Liabilities</t>
  </si>
  <si>
    <t>Total outstanding dues of micro enterprises and small enterprises</t>
  </si>
  <si>
    <t>Total outstanding dues of creditors other than micro enterprises and small enterprises</t>
  </si>
  <si>
    <t>Other Financial Liabilities</t>
  </si>
  <si>
    <t>Provisions</t>
  </si>
  <si>
    <t>Deferred Tax Liabilities (net)</t>
  </si>
  <si>
    <t>Other Non-Current Liabilities</t>
  </si>
  <si>
    <t>CURRENT LIABILITIES</t>
  </si>
  <si>
    <t>Current Tax Liabilities (net)</t>
  </si>
  <si>
    <t>Liabilities directly associated with assets held for sale</t>
  </si>
  <si>
    <t>TOTAL EQUITY AND LIABILITIES</t>
  </si>
  <si>
    <t>CONSOLIDATED STATEMENT OF PROFIT AND LOSS — THREE-YEAR SUMMARY</t>
  </si>
  <si>
    <t>Particulars</t>
  </si>
  <si>
    <t>FY 2022-23</t>
  </si>
  <si>
    <t>FY 2023-24</t>
  </si>
  <si>
    <t>FY 2024-25</t>
  </si>
  <si>
    <t>Revenue from Operations</t>
  </si>
  <si>
    <t>Other Income</t>
  </si>
  <si>
    <t>TOTAL INCOME</t>
  </si>
  <si>
    <t>EXPENSES</t>
  </si>
  <si>
    <t>Cost of Materials Consumed</t>
  </si>
  <si>
    <t>Changes in Inventories of Finished Goods and Work in Progress</t>
  </si>
  <si>
    <t>Erection, Sub-Contracting and Other Project Expenses</t>
  </si>
  <si>
    <t>Employee Benefits Expenses</t>
  </si>
  <si>
    <t>Finance Costs</t>
  </si>
  <si>
    <t>Depreciation and Amortisation Expenses</t>
  </si>
  <si>
    <t>Expected Credit Losses Provision for Loans and Advances given to JV</t>
  </si>
  <si>
    <t>Other Expenses</t>
  </si>
  <si>
    <t>TOTAL EXPENSES</t>
  </si>
  <si>
    <t>Profit Before Share of Profit / (Loss) of Joint Venture and Exceptional Item</t>
  </si>
  <si>
    <t>Share of Profit / (Loss) from Joint Venture</t>
  </si>
  <si>
    <t>Profit Before Exceptional Item and Tax</t>
  </si>
  <si>
    <t>Exceptional Items - Gain / (Loss) (net)</t>
  </si>
  <si>
    <t>Profit Before Tax</t>
  </si>
  <si>
    <t>Tax Expenses</t>
  </si>
  <si>
    <t>Current Tax</t>
  </si>
  <si>
    <t>Deferred Tax</t>
  </si>
  <si>
    <t>TOTAL TAX EXPENSES</t>
  </si>
  <si>
    <t>PROFIT FOR THE YEAR</t>
  </si>
  <si>
    <t>OTHER COMPREHENSIVE INCOME</t>
  </si>
  <si>
    <t>Items that will not be reclassified subsequently to Profit or Loss</t>
  </si>
  <si>
    <t>Actuarial Gain / (Loss) on Defined Plan Liability / Re-measurement</t>
  </si>
  <si>
    <t>Income tax on Actuarial Gain / (Loss)</t>
  </si>
  <si>
    <t>Items that will be reclassified subsequently to Profit or Loss</t>
  </si>
  <si>
    <t>Exchange difference in translating foreign operations</t>
  </si>
  <si>
    <t>Gain / (Loss) on hedging instruments</t>
  </si>
  <si>
    <t>Income tax on Exchange differences / hedging instruments</t>
  </si>
  <si>
    <t>Total Other Comprehensive Income</t>
  </si>
  <si>
    <t>TOTAL COMPREHENSIVE INCOME FOR THE YEAR</t>
  </si>
  <si>
    <t>Profit for the year attributable to</t>
  </si>
  <si>
    <t xml:space="preserve">  Owners of the Company</t>
  </si>
  <si>
    <t xml:space="preserve">  Non-controlling interests</t>
  </si>
  <si>
    <t>Total Other Comprehensive Income attributable to</t>
  </si>
  <si>
    <t>TOTAL OTHER COMPREHENSIVE INCOME FOR THE YEAR</t>
  </si>
  <si>
    <t>Total Comprehensive Income attributable to</t>
  </si>
  <si>
    <t>Earnings per Equity Share (of ₹ 2 each)</t>
  </si>
  <si>
    <t>Basic and Diluted (₹)</t>
  </si>
  <si>
    <t>EBIT</t>
  </si>
  <si>
    <t xml:space="preserve">Effective tax rate </t>
  </si>
  <si>
    <t>CONSOLIDATED STATEMENT OF CASH FLOW — THREE-YEAR SUMMARY</t>
  </si>
  <si>
    <t>Particulars (Rs. in Crores)</t>
  </si>
  <si>
    <t>FY 2023</t>
  </si>
  <si>
    <t>FY 2024</t>
  </si>
  <si>
    <t>FY 2025 (Latest)</t>
  </si>
  <si>
    <t>A. CASH FLOW FROM OPERATING ACTIVITIES</t>
  </si>
  <si>
    <t>Net Profit Before Tax</t>
  </si>
  <si>
    <t>Adjustments (Depreciation, Amortization, Interest)</t>
  </si>
  <si>
    <t>Operating Profit Before Working Capital Changes</t>
  </si>
  <si>
    <t>Adjustments for Working Capital Changes</t>
  </si>
  <si>
    <t>Cash Generated from Operations</t>
  </si>
  <si>
    <t>Direct Taxes Paid (Net of Refunds)</t>
  </si>
  <si>
    <t>Net Cash Flow from Operating Activities (A)</t>
  </si>
  <si>
    <t>B. CASH FLOW FROM INVESTING ACTIVITIES</t>
  </si>
  <si>
    <t>Purchase of Property, Plant &amp; Equip (CapEx)</t>
  </si>
  <si>
    <t>Proceeds from Sale of Non-Core Assets / PP&amp;E</t>
  </si>
  <si>
    <t>Investments in Subsidiaries/JVs</t>
  </si>
  <si>
    <t>Interest &amp; Dividends Received</t>
  </si>
  <si>
    <t>Net Cash Flow from / (Used in) Investing Activities (B)</t>
  </si>
  <si>
    <t>C. CASH FLOW FROM FINANCING ACTIVITIES</t>
  </si>
  <si>
    <t>Proceeds from Issue of Equity (QIP)</t>
  </si>
  <si>
    <t>Net Proceeds / (Repayment) of Long &amp; Short Term Borrowings</t>
  </si>
  <si>
    <t>Interest &amp; Finance Costs Paid</t>
  </si>
  <si>
    <t>Dividends Paid</t>
  </si>
  <si>
    <t>Net Cash Flow from / (Used in) Financing Activities (C)</t>
  </si>
  <si>
    <t>NET INCREASE / (DECREASE) IN CASH &amp; CASH EQUIVALENTS (A+B+C)</t>
  </si>
  <si>
    <t>Cash &amp; Cash Equivalents at the Beginning of the Year</t>
  </si>
  <si>
    <t>Cash &amp; Cash Equivalents at the End of the Year</t>
  </si>
  <si>
    <t>A. WORKING CAPITAL ANALYSIS</t>
  </si>
  <si>
    <t>YEAR</t>
  </si>
  <si>
    <t>CURRENT ASSETS (IN CR)</t>
  </si>
  <si>
    <t>CURRENT LIABILITIES (IN CR)</t>
  </si>
  <si>
    <t>NET WORKING CAPITAL (IN CR)</t>
  </si>
  <si>
    <t>CURRENT RATIO</t>
  </si>
  <si>
    <t>QUICK RATIO</t>
  </si>
  <si>
    <t>WORKING CAPITAL TURNOVER</t>
  </si>
  <si>
    <t>INFERENCE FROM</t>
  </si>
  <si>
    <t>NET WORKING CAPITAL</t>
  </si>
  <si>
    <t>Over the past three years, the company's net working capital has steadily gone up, from ₹3151 Cr in FY2023 to ₹4567 Cr in FY2025. This means that the company has more cash on hand and is putting more money into short-term assets to help run the business.</t>
  </si>
  <si>
    <t>CURRENT RATIO ANALYSIS</t>
  </si>
  <si>
    <t>The current ratio stays stable at about 1.25 throughout the period, which means that the company has enough cash on hand to meet its short-term obligations. But the ratio isn't too high, which means that current assets are being used well.</t>
  </si>
  <si>
    <t>QUICK RATIO ANALYSIS</t>
  </si>
  <si>
    <t>The quick ratio is going down in FY2025 and is now below 1. This means that liquid assets (not including inventory) may not be enough to pay off short-term debts. This means that the company may need to rely more on inventory or receivables to get cash.</t>
  </si>
  <si>
    <t>WORKING CAPITAL TURNOVER ANALYSIS</t>
  </si>
  <si>
    <t>The working capital turnover ratio went up from FY2023 to FY2024, which means that the company was better at using its working capital. But in FY2025, it went down, which means that the increase in working capital wasn't matched by a proportional increase in revenue, which made it a little less efficient.</t>
  </si>
  <si>
    <t>OVERALL INTERPRETATION</t>
  </si>
  <si>
    <t>In general, the company has a stable liquidity position and working capital has grown at a steady rate over the years. The current ratio stays the same, but the quick ratio and working capital turnover both go down in FY2025. This means that more money is being tied up in working capital components like receivables or inventory. This shows how the EPC business needs a lot of working capital because cash flows are affected by project execution cycles.</t>
  </si>
  <si>
    <t>Q. How does the company currently fulfil its working capital requirements?</t>
  </si>
  <si>
    <t>The company gets the money it needs to run its business by using a mix of trade payables, short-term loans, and cash flows from within the company. Because the company works on projects, it needs a lot of trade credit and receivables management to pay for its daily operations. The current ratio is moderate, and the working capital is growing, which suggests that the company is taking a balanced approach to both internal and external short-term financing.</t>
  </si>
  <si>
    <t>B. Capital Expenditure(CapEx) Analysis</t>
  </si>
  <si>
    <t>1. CAPEX CALCULATIONS (Rs. Crores)</t>
  </si>
  <si>
    <t>FY 25</t>
  </si>
  <si>
    <t>Calculation Components</t>
  </si>
  <si>
    <t>Total Capital Expenditure (CapEx)</t>
  </si>
  <si>
    <t>CapEx as % of Revenue</t>
  </si>
  <si>
    <t>2. RETURN ON INVESTED CAPITAL (ROIC) CALCULATIONS</t>
  </si>
  <si>
    <t>Earnings Before Interest &amp; Taxes (EBIT)</t>
  </si>
  <si>
    <t>Effective Tax Rate (T)</t>
  </si>
  <si>
    <t>Net Operating Profit After Tax (NOPAT)</t>
  </si>
  <si>
    <t>Total Debt</t>
  </si>
  <si>
    <t>Total Equity</t>
  </si>
  <si>
    <t>Total Invested Capital</t>
  </si>
  <si>
    <t>Return on Invested Capital (ROIC)</t>
  </si>
  <si>
    <t>3. MAJOR PROJECTS &amp; CAPEX CATEGORIZATION</t>
  </si>
  <si>
    <t>CapEx Category</t>
  </si>
  <si>
    <t>Major Projects Identified</t>
  </si>
  <si>
    <t>Strategic Purpose</t>
  </si>
  <si>
    <t>Diversification (New Markets/Products)</t>
  </si>
  <si>
    <t>Saudi Aramco Master Gas System EPC Project</t>
  </si>
  <si>
    <t>A US$ 900 million gas pipeline network in Saudi Arabia, representing a landmark global expansion into high-value Oil &amp; Gas infrastructure.</t>
  </si>
  <si>
    <t>Expansion (Same Line)</t>
  </si>
  <si>
    <t>Water Supply (Jal Jeevan Mission) &amp; T&amp;D Expansion</t>
  </si>
  <si>
    <t>Large-scale domestic infrastructure involving pipelines and treatment plants, serving as a core revenue driver for the company’s Water segment.</t>
  </si>
  <si>
    <t>Global HVDC Power Transmission Links</t>
  </si>
  <si>
    <t>Technically complex high-voltage projects in international markets, establishing KPIL as a leader in advanced renewable energy integration and grid modernization.</t>
  </si>
  <si>
    <t>Underground and Elevated Metro Projects</t>
  </si>
  <si>
    <t>Construction of metro rail systems across major Indian cities, leveraging specialized civil engineering and tunneling capabilities to enhance urban connectivity.</t>
  </si>
  <si>
    <t>R&amp;D and Intangibles</t>
  </si>
  <si>
    <t>Design Centre of Excellence (DCOE)</t>
  </si>
  <si>
    <t>A strategic investment in digital twin and 3D modeling technology to improve project efficiency and reduce execution risks through engineering innovation.</t>
  </si>
  <si>
    <t>4. CAPEX ANALYSIS</t>
  </si>
  <si>
    <r>
      <rPr>
        <b/>
        <sz val="11"/>
        <color rgb="FF000000"/>
        <rFont val="Calibri"/>
        <family val="2"/>
        <scheme val="minor"/>
      </rPr>
      <t>Expansion of Core Segments</t>
    </r>
    <r>
      <rPr>
        <sz val="11"/>
        <color rgb="FF000000"/>
        <rFont val="Calibri"/>
        <family val="2"/>
        <scheme val="minor"/>
      </rPr>
      <t xml:space="preserve">: CapEx was driven primarily by massive equipment deployment and capacity building for the </t>
    </r>
    <r>
      <rPr>
        <b/>
        <sz val="11"/>
        <color rgb="FF000000"/>
        <rFont val="Calibri"/>
        <family val="2"/>
        <scheme val="minor"/>
      </rPr>
      <t xml:space="preserve">Jal Jeevan Mission (Water Supply) </t>
    </r>
    <r>
      <rPr>
        <sz val="11"/>
        <color rgb="FF000000"/>
        <rFont val="Calibri"/>
        <family val="2"/>
        <scheme val="minor"/>
      </rPr>
      <t>and domestic Power T&amp;D projects to fulfill the growing domestic order book.</t>
    </r>
  </si>
  <si>
    <r>
      <rPr>
        <b/>
        <sz val="11"/>
        <color rgb="FF000000"/>
        <rFont val="Calibri"/>
        <family val="2"/>
        <scheme val="minor"/>
      </rPr>
      <t xml:space="preserve">Rationalization &amp; Diversification: </t>
    </r>
    <r>
      <rPr>
        <sz val="11"/>
        <color rgb="FF000000"/>
        <rFont val="Calibri"/>
        <family val="2"/>
        <scheme val="minor"/>
      </rPr>
      <t xml:space="preserve"> The year featured negative </t>
    </r>
    <r>
      <rPr>
        <i/>
        <sz val="11"/>
        <color rgb="FF000000"/>
        <rFont val="Calibri"/>
        <family val="2"/>
        <scheme val="minor"/>
      </rPr>
      <t>net</t>
    </r>
    <r>
      <rPr>
        <sz val="11"/>
        <color rgb="FF000000"/>
        <rFont val="Calibri"/>
        <family val="2"/>
        <scheme val="minor"/>
      </rPr>
      <t xml:space="preserve"> CapEx due to the strategic sale of ₹775 Cr in non-core assets. The gross spending was redirected toward diversification, acquiring specialized heavy machinery for new </t>
    </r>
    <r>
      <rPr>
        <b/>
        <sz val="11"/>
        <color rgb="FF000000"/>
        <rFont val="Calibri"/>
        <family val="2"/>
        <scheme val="minor"/>
      </rPr>
      <t>Underground Metro</t>
    </r>
    <r>
      <rPr>
        <sz val="11"/>
        <color rgb="FF000000"/>
        <rFont val="Calibri"/>
        <family val="2"/>
        <scheme val="minor"/>
      </rPr>
      <t xml:space="preserve"> projects and early-stage requirements for Middle East oil &amp; gas contracts.</t>
    </r>
  </si>
  <si>
    <r>
      <rPr>
        <b/>
        <sz val="11"/>
        <color rgb="FF000000"/>
        <rFont val="Calibri"/>
        <family val="2"/>
        <scheme val="minor"/>
      </rPr>
      <t>High-Complexity Global Scale-Up &amp; R&amp;D:</t>
    </r>
    <r>
      <rPr>
        <sz val="11"/>
        <color rgb="FF000000"/>
        <rFont val="Calibri"/>
        <family val="2"/>
        <scheme val="minor"/>
      </rPr>
      <t xml:space="preserve"> A major surge in CapEx was driven by the execution of the landmark </t>
    </r>
    <r>
      <rPr>
        <b/>
        <sz val="11"/>
        <color rgb="FF000000"/>
        <rFont val="Calibri"/>
        <family val="2"/>
        <scheme val="minor"/>
      </rPr>
      <t>US$ 900MILLION Saudi Aramco EPC Pipeline</t>
    </r>
    <r>
      <rPr>
        <sz val="11"/>
        <color rgb="FF000000"/>
        <rFont val="Calibri"/>
        <family val="2"/>
        <scheme val="minor"/>
      </rPr>
      <t xml:space="preserve"> and global </t>
    </r>
    <r>
      <rPr>
        <b/>
        <sz val="11"/>
        <color rgb="FF000000"/>
        <rFont val="Calibri"/>
        <family val="2"/>
        <scheme val="minor"/>
      </rPr>
      <t>HVDC transmission links</t>
    </r>
    <r>
      <rPr>
        <sz val="11"/>
        <color rgb="FF000000"/>
        <rFont val="Calibri"/>
        <family val="2"/>
        <scheme val="minor"/>
      </rPr>
      <t xml:space="preserve">. Capital was also invested in R&amp;D and digital engineering through the </t>
    </r>
    <r>
      <rPr>
        <b/>
        <sz val="11"/>
        <color rgb="FF000000"/>
        <rFont val="Calibri"/>
        <family val="2"/>
        <scheme val="minor"/>
      </rPr>
      <t>Design Centre of Excellence (DCOE)</t>
    </r>
    <r>
      <rPr>
        <sz val="11"/>
        <color rgb="FF000000"/>
        <rFont val="Calibri"/>
        <family val="2"/>
        <scheme val="minor"/>
      </rPr>
      <t>.</t>
    </r>
  </si>
  <si>
    <t>5. MAJOR SOURCES OF CAPITAL FOR CAPEX</t>
  </si>
  <si>
    <t>Funding Source</t>
  </si>
  <si>
    <t>Application to CapEx</t>
  </si>
  <si>
    <t>Internal Accruals (CFO)</t>
  </si>
  <si>
    <t>Routine 'Replacement' and 'R&amp;D' CapEx are funded purely through operations.</t>
  </si>
  <si>
    <t>Asset Monetization (Equity Raising QIP)</t>
  </si>
  <si>
    <t>The Rs 1,000 Cr QIP funded the 'Expansion' CapEx into Saudi Arabia without adding debt.</t>
  </si>
  <si>
    <t>KALPATARU PROJECTS INTERNATIONAL LIMITED</t>
  </si>
  <si>
    <t>C. Capital Structure Analysis</t>
  </si>
  <si>
    <t>Quarterly Capital Structure Table</t>
  </si>
  <si>
    <t>Capital Structure</t>
  </si>
  <si>
    <t>Quarter</t>
  </si>
  <si>
    <t>Revenue</t>
  </si>
  <si>
    <t>Ebitda</t>
  </si>
  <si>
    <t>Net Profit</t>
  </si>
  <si>
    <t>Year</t>
  </si>
  <si>
    <t>Cash</t>
  </si>
  <si>
    <t>Net Debt</t>
  </si>
  <si>
    <t>Equity</t>
  </si>
  <si>
    <t>Debt/Equity</t>
  </si>
  <si>
    <t>Debt/Capital</t>
  </si>
  <si>
    <t>Q1 FY23</t>
  </si>
  <si>
    <t>FY23</t>
  </si>
  <si>
    <t>Q2 FY23</t>
  </si>
  <si>
    <t>FY24</t>
  </si>
  <si>
    <t>Q3 FY23</t>
  </si>
  <si>
    <t>Q4 FY23</t>
  </si>
  <si>
    <t>Q1 FY24</t>
  </si>
  <si>
    <t>Cash Flow vs Capex</t>
  </si>
  <si>
    <t>Q2 FY24</t>
  </si>
  <si>
    <t>CFO</t>
  </si>
  <si>
    <t>CapEx</t>
  </si>
  <si>
    <t>CFO/CapEx</t>
  </si>
  <si>
    <t>Free Cash Flow</t>
  </si>
  <si>
    <t>Q3 FY24</t>
  </si>
  <si>
    <t>Q4 FY24</t>
  </si>
  <si>
    <t>Q1 FY25</t>
  </si>
  <si>
    <t>Q2 FY25</t>
  </si>
  <si>
    <t>Q3 FY25</t>
  </si>
  <si>
    <t>NOTE: CapEx has been adjusted to absolute values for ratio computation to ensure meaningful comparison across periods.</t>
  </si>
  <si>
    <t>Q4 FY25</t>
  </si>
  <si>
    <t>Linkage Analysis</t>
  </si>
  <si>
    <t>Change in Debt</t>
  </si>
  <si>
    <t>1. Capital Structure Overview</t>
  </si>
  <si>
    <t>The capital structure of Kalpataru Projects International Ltd for FY2023 to FY2025 shows that the company is moderately and steadily increasing its leverage. From FY2023 to FY2025, total debt went up from ₹3786 Cr to ₹4313 Cr, and equity went up a lot from ₹4694 Cr to ₹6469 Cr. Because of this, the Debt/Equity ratio went down from 0.81x in FY2023 to 0.67x in FY2025. This shows that the balance sheet is getting stronger and the company is relying less on debt to pay for things.</t>
  </si>
  <si>
    <t>2. Major Sources of Funding</t>
  </si>
  <si>
    <t>The company gets most of its money from a mix of debt and equity. Debt includes both short-term and long-term loans, while equity includes share capital, reserves, and interests that don't control the company. The growing equity base indicates robust internal accruals and retained earnings, whereas debt persists in facilitating capital-intensive operations characteristic of EPC firms.</t>
  </si>
  <si>
    <t>3. Capital Structure Ratios Analysis</t>
  </si>
  <si>
    <t>The falling Debt/Equity ratio (0.81 → 0.78 → 0.67) and Debt/Capital ratio (0.45 → 0.44 → 0.40) show that the company is slowly paying off its debts. This shows that the company's finances are getting better and that it is moving toward a structure that is funded more by equity. The trend indicates prudent financial management and diminishing financial risk over time.</t>
  </si>
  <si>
    <t>4. Link between Financing and CapEx</t>
  </si>
  <si>
    <t>The company's choices about how to pay for things are partly linked to how much it needs to spend on capital. In FY2025, CapEx goes up to ₹530 Cr, and debt goes up to ₹305 Cr. This shows that some of the money for expansion comes from loans. In FY2024, on the other hand, debt rose even though CapEx was reported to be negative (meaning that the company made more money from selling assets than it spent on investments). This suggests that the company needed money for other operational or investment needs. In FY2023, CapEx was paid for without taking on more debt, as shown by a drop in borrowings. In general, there is a relationship between CapEx and financing, but it is not always clear, which suggests that the company uses both internal and external funding strategies.</t>
  </si>
  <si>
    <t>5. CFO vs CapEx</t>
  </si>
  <si>
    <t>The company's operating cash flows are always higher than what it needs to spend on capital. The CFO/CapEx ratios are above 1 in FY2023 and FY2025, which means that the company has enough cash coming in to pay for investments. In FY2024, the negative CapEx shows that investing activities brought in more money than they spent, so the ratio doesn't mean anything. Overall, the company's ability to pay for its capital expenditures with its own money is shown by the strong growth in operating cash flows.</t>
  </si>
  <si>
    <t>6. Free Cash Flow Analysis</t>
  </si>
  <si>
    <t>7. Final Conclusion</t>
  </si>
  <si>
    <t>Over the period, free cash flow has been going up steadily, going from ₹184.5 Cr in FY2023 to ₹620 Cr in FY2025. The very high free cash flow in FY2024 is due to negative CapEx, which shows net inflows from investing activities instead of normal capital expenditures. Aside from this one-time event, the company has consistently increased its free cash flow, which shows that its operations are becoming more efficient and its finances are becoming more flexible.</t>
  </si>
  <si>
    <t>In general, the company has a balanced and improving capital structure with a low level of debt. Debt is used to help the business grow, but the falling leverage ratios show that the business is becoming more financially stable. The company's operating cash flows are strong and usually enough to pay for capital expenses, which means it doesn't have to rely on outside financing as much. The fact that CapEx is negative in FY2024 suggests that the company should either sell off some of its assets or make changes to its investments. Overall, the company has a financing strategy that will last because it makes a lot of money on its own.</t>
  </si>
  <si>
    <t>D. WACC and Growth Rate Estimation</t>
  </si>
  <si>
    <t>COST OF EQUITY CALCULATION</t>
  </si>
  <si>
    <t>SOURCE</t>
  </si>
  <si>
    <t>Risk Free Rate</t>
  </si>
  <si>
    <t>RBI Rate</t>
  </si>
  <si>
    <t>Beta</t>
  </si>
  <si>
    <t>MoneyControl</t>
  </si>
  <si>
    <t>Market Risk Premium</t>
  </si>
  <si>
    <t>Avearge Equity Risk Premium for Indian Market</t>
  </si>
  <si>
    <t>Cost of Equity</t>
  </si>
  <si>
    <t>Using CAPM : Risk Free Rate + Beta*Market Risk Premium</t>
  </si>
  <si>
    <t>COST OF DEBT CALCULATION</t>
  </si>
  <si>
    <t>Interest Expense</t>
  </si>
  <si>
    <t>Annual Report</t>
  </si>
  <si>
    <t>Total Borrowings</t>
  </si>
  <si>
    <t>Pre-Tax Cost of Debt</t>
  </si>
  <si>
    <t>Interest Expense/Borrowings</t>
  </si>
  <si>
    <t>Tax Rate</t>
  </si>
  <si>
    <t>Calculated in P&amp;L Statement as Effective Tax Rate</t>
  </si>
  <si>
    <t>Pre-Tax Cost of Debt * (1 - Tax Rate)</t>
  </si>
  <si>
    <t>WEIGHTS CALCULATION</t>
  </si>
  <si>
    <t>TOTAL</t>
  </si>
  <si>
    <t>WEIGHTS</t>
  </si>
  <si>
    <t>Number of outstanding shares as on March 31, 2025</t>
  </si>
  <si>
    <t>Price per share as on March 31, 2025</t>
  </si>
  <si>
    <t>NSE</t>
  </si>
  <si>
    <t>Market Value of Equity (in crore)</t>
  </si>
  <si>
    <t>Weighted Average Cost of Capital(WACC)</t>
  </si>
  <si>
    <t>(Weight of Equity*Cost of Equity) + (Weight of Debt*After-Tax Cost of Debt)</t>
  </si>
  <si>
    <t>`</t>
  </si>
  <si>
    <r>
      <rPr>
        <b/>
        <sz val="18"/>
        <color rgb="FF000000"/>
        <rFont val="Calibri"/>
        <family val="2"/>
      </rPr>
      <t>*Note</t>
    </r>
    <r>
      <rPr>
        <sz val="18"/>
        <color rgb="FF000000"/>
        <rFont val="Calibri"/>
        <family val="2"/>
      </rPr>
      <t>: Items like "Trade Payables" (Total outstanding dues of micro/small/other enterprises) and "Other Financial Liabilities" have been excluded because these are generally operational in nature and do not carry an explicit interest rate in the same way debt does.</t>
    </r>
  </si>
  <si>
    <t>SUSTAINABLE GROWTH RATE CALCULATION</t>
  </si>
  <si>
    <r>
      <rPr>
        <b/>
        <sz val="16"/>
        <color rgb="FF000000"/>
        <rFont val="Calibri"/>
        <family val="2"/>
      </rPr>
      <t>NOTE:</t>
    </r>
    <r>
      <rPr>
        <sz val="16"/>
        <color rgb="FF000000"/>
        <rFont val="Calibri"/>
        <family val="2"/>
      </rPr>
      <t xml:space="preserve"> The growth rate has been estimated using the sustainable growth rate model, calculated as the product of return on equity (ROE) and the retention ratio. This reflects the firm’s ability to grow using internally generated funds without altering its capital structure.</t>
    </r>
  </si>
  <si>
    <t>ROE</t>
  </si>
  <si>
    <t>DIVIDEND PAYOUT RATIO</t>
  </si>
  <si>
    <t>RETENTION RATIO</t>
  </si>
  <si>
    <t>GROWTH RATE</t>
  </si>
  <si>
    <t>Lifecycle Stage: Late Growth / Transition-to-Maturity</t>
  </si>
  <si>
    <t>The company seems to be in the growth stage of its corporate lifecycle because its estimated sustainable growth rate is about 18.13%. A high growth rate means that the company is putting a lot of its profits back into the business and making enough money to support growth. The company's relatively high retention ratio backs this up even more, since it is putting reinvestment ahead of paying dividends. Also, the fact that revenues are going up, cash flows are getting better, and leverage is being kept under control, as seen in earlier analysis, shows that the company is in an expansion phase rather than a maturity phase.</t>
  </si>
  <si>
    <r>
      <t>Sustained Top-Line Momentum (Sales):</t>
    </r>
    <r>
      <rPr>
        <sz val="18"/>
        <color rgb="FF000000"/>
        <rFont val="Calibri"/>
        <family val="2"/>
      </rPr>
      <t xml:space="preserve"> KPIL continues to scale like a growth-stage firm. It maintains a robust 10-year Revenue CAGR of 12% (with a 3-year CAGR of ~15%). This momentum is intact, evidenced by a 13.7% jump in FY25 and aggressive management targets of 20% for FY26.
</t>
    </r>
    <r>
      <rPr>
        <b/>
        <sz val="18"/>
        <color rgb="FF000000"/>
        <rFont val="Calibri"/>
        <family val="2"/>
      </rPr>
      <t xml:space="preserve">
Bottom-Line Stabilization (Profit/EPS):</t>
    </r>
    <r>
      <rPr>
        <sz val="18"/>
        <color rgb="FF000000"/>
        <rFont val="Calibri"/>
        <family val="2"/>
      </rPr>
      <t xml:space="preserve"> While the historical 10-year PAT CAGR is an impressive 17%, recent short-term (3-year) net income growth has stabilized into the single digits. This reflects a business model maturing from explosive, early-stage profit expansion to predictable, steady-state cash generation.</t>
    </r>
  </si>
  <si>
    <t>Degree of Operating Leverage</t>
  </si>
  <si>
    <t>FY 2023-24 (INR Cr)</t>
  </si>
  <si>
    <t>FY 2024-25 (INR Cr)</t>
  </si>
  <si>
    <t>% Change</t>
  </si>
  <si>
    <t>Gross Revenue</t>
  </si>
  <si>
    <t>Normal PBIT (EBIT)</t>
  </si>
  <si>
    <t>DOL</t>
  </si>
  <si>
    <t>Calculated as the percentage change in EBIT divided by the percentage change in Sales.</t>
  </si>
  <si>
    <t>Interpretation: For every 1% increase in revenue, KPIL's operating profit increases by approximately 1.08%. This indicates a relatively low DOL at the consolidated level, suggesting that a significant portion of its costs are variable (typical for EPC businesses).</t>
  </si>
  <si>
    <t>Degree of Financial Leverage</t>
  </si>
  <si>
    <t xml:space="preserve">	
FY 2024-25 (INR Cr)</t>
  </si>
  <si>
    <t>Profit Before Tax (PBT)</t>
  </si>
  <si>
    <t>DFL</t>
  </si>
  <si>
    <t>Calculated as EBIT / PBT</t>
  </si>
  <si>
    <t>Interpretation: A DFL of 1.70 indicates that KPIL uses a moderate amount of fixed-interest debt to amplify its earnings. For every 1% change in EBIT, the company's PBT will change by 1.70%.</t>
  </si>
  <si>
    <t>DATA</t>
  </si>
  <si>
    <t>WEEKLY CLOSING PRICE FOR COMPANY 1 (NTPC Ltd) AND NIFTY 50</t>
  </si>
  <si>
    <t>https://www.nseindia.com/get-quote/equity/NTPC/NTPC-Limited , https://finance.yahoo.com/quote/%5ENSEI/history/?period1=1682640000&amp;period2=1775779200&amp;frequency=1wk</t>
  </si>
  <si>
    <t>BOND DATA FOR ISIN: INE733E07JW2</t>
  </si>
  <si>
    <t>https://www.indiabonds.com/bond-directory/INE733E07JW2-ntpc-limited/</t>
  </si>
  <si>
    <t>DEBT TO EQUITY RATIO FOR NTPC: CALCULATED FROM TOTAL DEBT AND EQUITY TAKEN FROM</t>
  </si>
  <si>
    <t>https://finance.yahoo.com/quote/NTPC.NS/balance-sheet/</t>
  </si>
  <si>
    <t>TAX RATE FOR NTPC LTD: CALCULATED FROM TOTAL DEBT AND EQUITY TAKEN FROM</t>
  </si>
  <si>
    <t xml:space="preserve">https://finance.yahoo.com/quote/NTPC.NS/financials/ </t>
  </si>
  <si>
    <t>COMPANY 2 (KALPATARU PROJECTS INTERNATIONAL Ltd) CONSOLIDATED BALANCE SHEET, P&amp;L STATEMENT AND CASH FLOW STATEMENT</t>
  </si>
  <si>
    <t>https://kalpataruprojects.com/investors/financials/annual-reports/annual-reports</t>
  </si>
  <si>
    <r>
      <rPr>
        <b/>
        <sz val="11"/>
        <color theme="1"/>
        <rFont val="Verdana"/>
        <family val="2"/>
      </rPr>
      <t xml:space="preserve">NOTE: </t>
    </r>
    <r>
      <rPr>
        <sz val="11"/>
        <color theme="1"/>
        <rFont val="Verdana"/>
        <family val="2"/>
      </rPr>
      <t>FOR THE CORPORATE FINANCE ANALYSIS OF KPIL (COMPANY 2) WE HAVE TAKEN ANNUAL REPORTS FOR FY 2022-23, FY 2023-24, AND FY 2024-25 AS THEY HAVE NOT UPLOADED THE ANNUAL REPORTS FOR THE YEAR 2025-26.</t>
    </r>
  </si>
  <si>
    <r>
      <rPr>
        <b/>
        <sz val="11"/>
        <color theme="1"/>
        <rFont val="Verdana"/>
        <family val="2"/>
      </rPr>
      <t>NOTE:</t>
    </r>
    <r>
      <rPr>
        <sz val="11"/>
        <color theme="1"/>
        <rFont val="Verdana"/>
        <family val="2"/>
      </rPr>
      <t xml:space="preserve"> CFO refers to cash flow from operating activities</t>
    </r>
  </si>
  <si>
    <t>A. Market Conditions (The Tax-Free Problem): Usually, corporate bonds have a positive yield spread, which means they pay more than government bonds. But NTPC's spread is negative, at -1.42%. This strange thing is only happening because of how taxes work in the market. The NTPC bond is a "Tax-Free Bond," which means that investors get to keep all of the interest. For an investor in the highest tax bracket, a 5.68% tax-free yield is about the same as a 7.00% taxable yield. This makes it very competitive with the taxable 7.1% G-Sec.</t>
  </si>
  <si>
    <r>
      <rPr>
        <b/>
        <sz val="16"/>
        <color rgb="FF000000"/>
        <rFont val="Calibri"/>
        <family val="2"/>
      </rPr>
      <t>Note:</t>
    </r>
    <r>
      <rPr>
        <sz val="16"/>
        <color rgb="FF000000"/>
        <rFont val="Calibri"/>
        <family val="2"/>
      </rPr>
      <t xml:space="preserve"> Because the specific bond analysed is a tax-free bond to the investor, it carries a very low pre-tax yield of 5.68%. Applying the standard corporate tax shield (1-T) to this already low yield results in a highly optimized WACC of 7.34%.</t>
    </r>
  </si>
  <si>
    <t>NAME - DRISHYA MUSADDI</t>
  </si>
  <si>
    <t>STUDENT ID - 2023A7PS0663P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</si>
</sst>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000"/>
  </numFmts>
  <fonts count="96" x14ac:knownFonts="1">
    <font>
      <sz val="11"/>
      <color theme="1"/>
      <name val="Calibri"/>
      <family val="2"/>
      <scheme val="minor"/>
    </font>
    <font>
      <b/>
      <sz val="18"/>
      <color theme="1"/>
      <name val="Times New Roman"/>
      <family val="1"/>
    </font>
    <font>
      <sz val="15"/>
      <color theme="1"/>
      <name val="Calibri"/>
      <family val="2"/>
      <scheme val="minor"/>
    </font>
    <font>
      <sz val="12"/>
      <color theme="1"/>
      <name val="Verdana"/>
      <family val="2"/>
    </font>
    <font>
      <b/>
      <sz val="12"/>
      <color theme="1"/>
      <name val="Verdana"/>
      <family val="2"/>
    </font>
    <font>
      <b/>
      <i/>
      <sz val="12"/>
      <color theme="1"/>
      <name val="Verdana"/>
      <family val="2"/>
    </font>
    <font>
      <b/>
      <sz val="20"/>
      <color theme="1"/>
      <name val="Verdana"/>
      <family val="2"/>
    </font>
    <font>
      <b/>
      <sz val="18"/>
      <color theme="1"/>
      <name val="Verdana"/>
      <family val="2"/>
    </font>
    <font>
      <b/>
      <sz val="20"/>
      <color theme="1"/>
      <name val="Verdana"/>
      <family val="2"/>
    </font>
    <font>
      <sz val="12"/>
      <color theme="1"/>
      <name val="Verdana"/>
      <family val="2"/>
    </font>
    <font>
      <b/>
      <sz val="14"/>
      <color theme="1"/>
      <name val="Verdana"/>
      <family val="2"/>
    </font>
    <font>
      <sz val="11"/>
      <color theme="1"/>
      <name val="Verdana"/>
      <family val="2"/>
    </font>
    <font>
      <b/>
      <sz val="14"/>
      <color theme="1"/>
      <name val="Verdana"/>
      <family val="2"/>
    </font>
    <font>
      <sz val="11"/>
      <color rgb="FF000000"/>
      <name val="Calibri"/>
      <family val="2"/>
    </font>
    <font>
      <i/>
      <sz val="9"/>
      <name val="Arial"/>
      <family val="2"/>
    </font>
    <font>
      <sz val="10"/>
      <name val="Arial"/>
      <family val="2"/>
    </font>
    <font>
      <b/>
      <sz val="10"/>
      <name val="Arial"/>
      <family val="2"/>
    </font>
    <font>
      <sz val="11"/>
      <name val="Calibri"/>
      <family val="2"/>
    </font>
    <font>
      <b/>
      <sz val="12"/>
      <color rgb="FFFFFFFF"/>
      <name val="Calibri"/>
      <family val="2"/>
    </font>
    <font>
      <b/>
      <sz val="11"/>
      <name val="Calibri"/>
      <family val="2"/>
    </font>
    <font>
      <b/>
      <sz val="12"/>
      <color theme="0"/>
      <name val="Verdana"/>
      <family val="2"/>
    </font>
    <font>
      <sz val="10"/>
      <color theme="1"/>
      <name val="Arial"/>
      <family val="2"/>
    </font>
    <font>
      <sz val="11"/>
      <color rgb="FF000000"/>
      <name val="Calibri"/>
      <family val="2"/>
    </font>
    <font>
      <i/>
      <sz val="11"/>
      <color rgb="FF000000"/>
      <name val="Calibri"/>
      <family val="2"/>
    </font>
    <font>
      <b/>
      <sz val="11"/>
      <color rgb="FF000000"/>
      <name val="Calibri"/>
      <family val="2"/>
    </font>
    <font>
      <b/>
      <sz val="11"/>
      <color rgb="FFFFFFFF"/>
      <name val="Calibri"/>
      <family val="2"/>
    </font>
    <font>
      <b/>
      <sz val="11"/>
      <color rgb="FFFFFFFF"/>
      <name val="Arial"/>
      <family val="2"/>
    </font>
    <font>
      <b/>
      <i/>
      <sz val="14"/>
      <color theme="1"/>
      <name val="Verdana"/>
      <family val="2"/>
    </font>
    <font>
      <b/>
      <sz val="16"/>
      <color rgb="FFFFFFFF"/>
      <name val="Arial"/>
      <family val="2"/>
    </font>
    <font>
      <b/>
      <sz val="14"/>
      <color rgb="FFFFFFFF"/>
      <name val="Arial"/>
      <family val="2"/>
    </font>
    <font>
      <sz val="12"/>
      <name val="Arial"/>
      <family val="2"/>
    </font>
    <font>
      <b/>
      <sz val="12"/>
      <name val="Arial"/>
      <family val="2"/>
    </font>
    <font>
      <sz val="12"/>
      <color rgb="FF000000"/>
      <name val="Calibri"/>
      <family val="2"/>
    </font>
    <font>
      <i/>
      <sz val="12"/>
      <name val="Arial"/>
      <family val="2"/>
    </font>
    <font>
      <b/>
      <sz val="20"/>
      <color theme="0"/>
      <name val="Arial"/>
      <family val="2"/>
    </font>
    <font>
      <b/>
      <sz val="11"/>
      <color theme="1"/>
      <name val="Calibri"/>
      <family val="2"/>
      <scheme val="minor"/>
    </font>
    <font>
      <sz val="12"/>
      <color theme="1"/>
      <name val="Calibri"/>
      <family val="2"/>
      <scheme val="minor"/>
    </font>
    <font>
      <b/>
      <sz val="20"/>
      <color theme="1"/>
      <name val="Calibri"/>
      <family val="2"/>
      <scheme val="minor"/>
    </font>
    <font>
      <sz val="24"/>
      <color theme="1"/>
      <name val="Verdana"/>
      <family val="2"/>
    </font>
    <font>
      <b/>
      <sz val="12"/>
      <color rgb="FF000000"/>
      <name val="Calibri"/>
      <family val="2"/>
    </font>
    <font>
      <sz val="12"/>
      <color rgb="FF000000"/>
      <name val="Arial"/>
      <family val="2"/>
    </font>
    <font>
      <sz val="16"/>
      <color theme="1"/>
      <name val="Verdana"/>
      <family val="2"/>
    </font>
    <font>
      <sz val="11"/>
      <name val="Calibri"/>
      <family val="2"/>
    </font>
    <font>
      <sz val="16"/>
      <color theme="0"/>
      <name val="Verdana"/>
      <family val="2"/>
    </font>
    <font>
      <b/>
      <sz val="16"/>
      <color rgb="FFFFFFFF"/>
      <name val="Calibri"/>
      <family val="2"/>
    </font>
    <font>
      <sz val="14"/>
      <color rgb="FF000000"/>
      <name val="Calibri"/>
      <family val="2"/>
    </font>
    <font>
      <b/>
      <sz val="14"/>
      <color rgb="FF000000"/>
      <name val="Calibri"/>
      <family val="2"/>
    </font>
    <font>
      <b/>
      <sz val="14"/>
      <color rgb="FF000000"/>
      <name val="Arial"/>
      <family val="2"/>
    </font>
    <font>
      <b/>
      <sz val="11"/>
      <name val="Calibri"/>
      <family val="2"/>
    </font>
    <font>
      <b/>
      <sz val="11"/>
      <color theme="1"/>
      <name val="Calibri"/>
      <family val="2"/>
    </font>
    <font>
      <sz val="14"/>
      <color theme="1"/>
      <name val="Calibri"/>
      <family val="2"/>
    </font>
    <font>
      <b/>
      <sz val="14"/>
      <color theme="1"/>
      <name val="Calibri"/>
      <family val="2"/>
    </font>
    <font>
      <b/>
      <sz val="12"/>
      <color rgb="FF000000"/>
      <name val="Calibri"/>
      <family val="2"/>
    </font>
    <font>
      <sz val="12"/>
      <color rgb="FF000000"/>
      <name val="Calibri"/>
      <family val="2"/>
    </font>
    <font>
      <sz val="16"/>
      <color rgb="FF000000"/>
      <name val="Calibri"/>
      <family val="2"/>
    </font>
    <font>
      <sz val="16"/>
      <color rgb="FF000000"/>
      <name val="Calibri"/>
      <family val="2"/>
    </font>
    <font>
      <b/>
      <sz val="16"/>
      <color rgb="FF000000"/>
      <name val="Calibri"/>
      <family val="2"/>
    </font>
    <font>
      <u/>
      <sz val="11"/>
      <color theme="10"/>
      <name val="Calibri"/>
      <family val="2"/>
      <scheme val="minor"/>
    </font>
    <font>
      <sz val="16"/>
      <color theme="1"/>
      <name val="Arial"/>
      <family val="2"/>
    </font>
    <font>
      <sz val="16"/>
      <color theme="1"/>
      <name val="Calibri"/>
      <family val="2"/>
    </font>
    <font>
      <sz val="16"/>
      <color rgb="FF242424"/>
      <name val="Aptos Narrow"/>
      <family val="2"/>
    </font>
    <font>
      <b/>
      <sz val="14"/>
      <color theme="1"/>
      <name val="Calibri"/>
      <family val="2"/>
    </font>
    <font>
      <b/>
      <sz val="12"/>
      <color theme="1"/>
      <name val="Arial"/>
      <family val="2"/>
    </font>
    <font>
      <b/>
      <sz val="12"/>
      <color theme="1"/>
      <name val="Calibri"/>
      <family val="2"/>
      <scheme val="minor"/>
    </font>
    <font>
      <b/>
      <sz val="20"/>
      <color theme="0"/>
      <name val="Arial"/>
      <family val="2"/>
    </font>
    <font>
      <b/>
      <sz val="16"/>
      <color rgb="FFFFFFFF"/>
      <name val="Arial"/>
      <family val="2"/>
    </font>
    <font>
      <sz val="14"/>
      <color theme="1"/>
      <name val="Calibri"/>
      <family val="2"/>
      <scheme val="minor"/>
    </font>
    <font>
      <sz val="11"/>
      <color rgb="FF000000"/>
      <name val="Verdana"/>
      <family val="2"/>
    </font>
    <font>
      <sz val="11"/>
      <color theme="1"/>
      <name val="Verdana"/>
      <family val="2"/>
    </font>
    <font>
      <b/>
      <sz val="18"/>
      <color rgb="FF242424"/>
      <name val="Aptos Narrow"/>
      <family val="2"/>
    </font>
    <font>
      <b/>
      <sz val="18"/>
      <color theme="1"/>
      <name val="Calibri"/>
      <family val="2"/>
      <scheme val="minor"/>
    </font>
    <font>
      <b/>
      <sz val="20"/>
      <color rgb="FF17365D"/>
      <name val="Verdana"/>
      <family val="2"/>
    </font>
    <font>
      <b/>
      <i/>
      <sz val="14"/>
      <color rgb="FF17365D"/>
      <name val="Verdana"/>
      <family val="2"/>
    </font>
    <font>
      <sz val="18"/>
      <color rgb="FF000000"/>
      <name val="Calibri"/>
      <family val="2"/>
    </font>
    <font>
      <b/>
      <sz val="18"/>
      <color rgb="FF000000"/>
      <name val="Calibri"/>
      <family val="2"/>
    </font>
    <font>
      <sz val="18"/>
      <color theme="1"/>
      <name val="Calibri"/>
      <family val="2"/>
      <scheme val="minor"/>
    </font>
    <font>
      <u/>
      <sz val="18"/>
      <color theme="10"/>
      <name val="Calibri"/>
      <family val="2"/>
      <scheme val="minor"/>
    </font>
    <font>
      <u/>
      <sz val="18"/>
      <color theme="1"/>
      <name val="Calibri"/>
      <family val="2"/>
      <scheme val="minor"/>
    </font>
    <font>
      <b/>
      <sz val="26"/>
      <color rgb="FF17365D"/>
      <name val="Verdana"/>
      <family val="2"/>
    </font>
    <font>
      <b/>
      <sz val="11"/>
      <color theme="1"/>
      <name val="Verdana"/>
      <family val="2"/>
    </font>
    <font>
      <sz val="11"/>
      <color rgb="FF000000"/>
      <name val="Calibri"/>
      <family val="2"/>
      <scheme val="minor"/>
    </font>
    <font>
      <b/>
      <sz val="11"/>
      <color rgb="FF000000"/>
      <name val="Calibri"/>
      <family val="2"/>
      <scheme val="minor"/>
    </font>
    <font>
      <i/>
      <sz val="11"/>
      <color rgb="FF000000"/>
      <name val="Calibri"/>
      <family val="2"/>
      <scheme val="minor"/>
    </font>
    <font>
      <b/>
      <sz val="11"/>
      <color rgb="FF000000"/>
      <name val="Calibri"/>
      <family val="2"/>
      <scheme val="minor"/>
    </font>
    <font>
      <sz val="11"/>
      <color theme="0"/>
      <name val="Calibri"/>
      <family val="2"/>
    </font>
    <font>
      <sz val="18"/>
      <color rgb="FF242424"/>
      <name val="Aptos Narrow"/>
      <family val="2"/>
    </font>
    <font>
      <b/>
      <u/>
      <sz val="12"/>
      <color theme="10"/>
      <name val="Calibri"/>
      <family val="2"/>
      <scheme val="minor"/>
    </font>
    <font>
      <b/>
      <sz val="14"/>
      <name val="Calibri"/>
      <family val="2"/>
    </font>
    <font>
      <b/>
      <sz val="14"/>
      <color rgb="FF000000"/>
      <name val="Calibri"/>
      <family val="2"/>
      <scheme val="minor"/>
    </font>
    <font>
      <b/>
      <sz val="12"/>
      <name val="Calibri"/>
      <family val="2"/>
    </font>
    <font>
      <sz val="11"/>
      <color theme="0"/>
      <name val="Verdana"/>
      <family val="2"/>
    </font>
    <font>
      <b/>
      <u/>
      <sz val="18"/>
      <color theme="10"/>
      <name val="Calibri"/>
      <family val="2"/>
      <scheme val="minor"/>
    </font>
    <font>
      <b/>
      <sz val="36"/>
      <color theme="1"/>
      <name val="Times New Roman"/>
      <family val="1"/>
    </font>
    <font>
      <b/>
      <sz val="22"/>
      <color theme="1"/>
      <name val="Calibri"/>
      <family val="2"/>
      <scheme val="minor"/>
    </font>
    <font>
      <b/>
      <sz val="28"/>
      <color theme="1"/>
      <name val="Calibri"/>
      <family val="2"/>
      <scheme val="minor"/>
    </font>
    <font>
      <b/>
      <sz val="24"/>
      <color theme="1"/>
      <name val="Calibri"/>
      <family val="2"/>
      <scheme val="minor"/>
    </font>
  </fonts>
  <fills count="40">
    <fill>
      <patternFill patternType="none"/>
    </fill>
    <fill>
      <patternFill patternType="gray125"/>
    </fill>
    <fill>
      <patternFill patternType="solid">
        <fgColor theme="4"/>
        <bgColor indexed="64"/>
      </patternFill>
    </fill>
    <fill>
      <patternFill patternType="solid">
        <fgColor theme="5" tint="0.59999389629810485"/>
        <bgColor indexed="64"/>
      </patternFill>
    </fill>
    <fill>
      <patternFill patternType="solid">
        <fgColor rgb="FFFFFF00"/>
        <bgColor indexed="64"/>
      </patternFill>
    </fill>
    <fill>
      <patternFill patternType="solid">
        <fgColor theme="6" tint="0.59999389629810485"/>
        <bgColor indexed="64"/>
      </patternFill>
    </fill>
    <fill>
      <patternFill patternType="solid">
        <fgColor theme="0"/>
        <bgColor indexed="64"/>
      </patternFill>
    </fill>
    <fill>
      <patternFill patternType="solid">
        <fgColor theme="4" tint="0.59999389629810485"/>
        <bgColor indexed="64"/>
      </patternFill>
    </fill>
    <fill>
      <patternFill patternType="solid">
        <fgColor theme="1" tint="0.34998626667073579"/>
        <bgColor indexed="64"/>
      </patternFill>
    </fill>
    <fill>
      <patternFill patternType="solid">
        <fgColor theme="2" tint="-0.249977111117893"/>
        <bgColor indexed="64"/>
      </patternFill>
    </fill>
    <fill>
      <patternFill patternType="solid">
        <fgColor rgb="FF1F3864"/>
        <bgColor rgb="FF333333"/>
      </patternFill>
    </fill>
    <fill>
      <patternFill patternType="solid">
        <fgColor rgb="FFD9D9D9"/>
        <bgColor rgb="FFD6E4F0"/>
      </patternFill>
    </fill>
    <fill>
      <patternFill patternType="solid">
        <fgColor rgb="FFD6E4F0"/>
        <bgColor rgb="FFD9D9D9"/>
      </patternFill>
    </fill>
    <fill>
      <patternFill patternType="solid">
        <fgColor rgb="FFEBF3FB"/>
        <bgColor rgb="FFFFFFFF"/>
      </patternFill>
    </fill>
    <fill>
      <patternFill patternType="solid">
        <fgColor rgb="FF4472C4"/>
        <bgColor rgb="FF4472C4"/>
      </patternFill>
    </fill>
    <fill>
      <patternFill patternType="solid">
        <fgColor rgb="FFD9E1F2"/>
        <bgColor rgb="FFD9E1F2"/>
      </patternFill>
    </fill>
    <fill>
      <patternFill patternType="solid">
        <fgColor theme="1"/>
        <bgColor indexed="64"/>
      </patternFill>
    </fill>
    <fill>
      <patternFill patternType="solid">
        <fgColor theme="2" tint="-9.9978637043366805E-2"/>
        <bgColor indexed="64"/>
      </patternFill>
    </fill>
    <fill>
      <patternFill patternType="solid">
        <fgColor rgb="FF000000"/>
        <bgColor rgb="FF000000"/>
      </patternFill>
    </fill>
    <fill>
      <patternFill patternType="solid">
        <fgColor rgb="FF8EA9DB"/>
        <bgColor rgb="FF000000"/>
      </patternFill>
    </fill>
    <fill>
      <patternFill patternType="solid">
        <fgColor theme="8"/>
        <bgColor indexed="64"/>
      </patternFill>
    </fill>
    <fill>
      <patternFill patternType="solid">
        <fgColor theme="8" tint="-0.499984740745262"/>
        <bgColor indexed="64"/>
      </patternFill>
    </fill>
    <fill>
      <patternFill patternType="solid">
        <fgColor rgb="FF92D050"/>
        <bgColor indexed="64"/>
      </patternFill>
    </fill>
    <fill>
      <patternFill patternType="solid">
        <fgColor theme="9" tint="0.79998168889431442"/>
        <bgColor indexed="64"/>
      </patternFill>
    </fill>
    <fill>
      <patternFill patternType="solid">
        <fgColor theme="4" tint="-0.249977111117893"/>
        <bgColor indexed="64"/>
      </patternFill>
    </fill>
    <fill>
      <patternFill patternType="solid">
        <fgColor theme="4" tint="0.79998168889431442"/>
        <bgColor indexed="64"/>
      </patternFill>
    </fill>
    <fill>
      <patternFill patternType="solid">
        <fgColor theme="4"/>
        <bgColor rgb="FF305496"/>
      </patternFill>
    </fill>
    <fill>
      <patternFill patternType="solid">
        <fgColor theme="4" tint="0.79998168889431442"/>
        <bgColor rgb="FF4472C4"/>
      </patternFill>
    </fill>
    <fill>
      <patternFill patternType="solid">
        <fgColor theme="4" tint="0.39997558519241921"/>
        <bgColor indexed="64"/>
      </patternFill>
    </fill>
    <fill>
      <patternFill patternType="solid">
        <fgColor rgb="FF5B9BD5"/>
        <bgColor indexed="64"/>
      </patternFill>
    </fill>
    <fill>
      <patternFill patternType="solid">
        <fgColor rgb="FFDDEBF7"/>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rgb="FFFFC000"/>
        <bgColor indexed="64"/>
      </patternFill>
    </fill>
    <fill>
      <patternFill patternType="solid">
        <fgColor theme="9"/>
        <bgColor indexed="64"/>
      </patternFill>
    </fill>
    <fill>
      <patternFill patternType="solid">
        <fgColor theme="8" tint="0.59999389629810485"/>
        <bgColor indexed="64"/>
      </patternFill>
    </fill>
    <fill>
      <patternFill patternType="solid">
        <fgColor theme="7" tint="0.39997558519241921"/>
        <bgColor indexed="64"/>
      </patternFill>
    </fill>
    <fill>
      <patternFill patternType="solid">
        <fgColor theme="7"/>
        <bgColor indexed="64"/>
      </patternFill>
    </fill>
    <fill>
      <patternFill patternType="solid">
        <fgColor theme="5" tint="0.79998168889431442"/>
        <bgColor indexed="64"/>
      </patternFill>
    </fill>
    <fill>
      <patternFill patternType="solid">
        <fgColor theme="5"/>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indexed="64"/>
      </left>
      <right/>
      <top/>
      <bottom style="thin">
        <color indexed="64"/>
      </bottom>
      <diagonal/>
    </border>
    <border>
      <left style="thin">
        <color rgb="FF000000"/>
      </left>
      <right style="thin">
        <color rgb="FF000000"/>
      </right>
      <top style="thin">
        <color rgb="FF000000"/>
      </top>
      <bottom/>
      <diagonal/>
    </border>
    <border>
      <left/>
      <right/>
      <top style="thin">
        <color indexed="64"/>
      </top>
      <bottom style="thin">
        <color indexed="64"/>
      </bottom>
      <diagonal/>
    </border>
    <border>
      <left style="thin">
        <color rgb="FFCCCCCC"/>
      </left>
      <right style="thin">
        <color rgb="FFCCCCCC"/>
      </right>
      <top style="thin">
        <color rgb="FFCCCCCC"/>
      </top>
      <bottom style="thin">
        <color rgb="FFCCCCCC"/>
      </bottom>
      <diagonal/>
    </border>
    <border>
      <left/>
      <right style="thin">
        <color rgb="FFCCCCCC"/>
      </right>
      <top style="thin">
        <color rgb="FFCCCCCC"/>
      </top>
      <bottom style="thin">
        <color rgb="FFCCCCCC"/>
      </bottom>
      <diagonal/>
    </border>
    <border>
      <left/>
      <right style="thin">
        <color rgb="FFCCCCCC"/>
      </right>
      <top/>
      <bottom style="thin">
        <color rgb="FFCCCCCC"/>
      </bottom>
      <diagonal/>
    </border>
    <border>
      <left style="thin">
        <color rgb="FFCCCCCC"/>
      </left>
      <right style="thin">
        <color rgb="FFCCCCCC"/>
      </right>
      <top/>
      <bottom style="thin">
        <color rgb="FFCCCCCC"/>
      </bottom>
      <diagonal/>
    </border>
    <border>
      <left/>
      <right style="thin">
        <color rgb="FFCCCCCC"/>
      </right>
      <top style="thin">
        <color rgb="FFCCCCCC"/>
      </top>
      <bottom/>
      <diagonal/>
    </border>
    <border>
      <left style="thin">
        <color rgb="FFCCCCCC"/>
      </left>
      <right style="thin">
        <color rgb="FFCCCCCC"/>
      </right>
      <top style="thin">
        <color rgb="FFCCCCCC"/>
      </top>
      <bottom/>
      <diagonal/>
    </border>
    <border>
      <left/>
      <right/>
      <top style="medium">
        <color indexed="64"/>
      </top>
      <bottom style="thin">
        <color indexed="64"/>
      </bottom>
      <diagonal/>
    </border>
    <border>
      <left/>
      <right/>
      <top/>
      <bottom style="medium">
        <color indexed="64"/>
      </bottom>
      <diagonal/>
    </border>
    <border>
      <left/>
      <right/>
      <top/>
      <bottom style="medium">
        <color rgb="FFFFFFFF"/>
      </bottom>
      <diagonal/>
    </border>
    <border>
      <left style="thin">
        <color indexed="64"/>
      </left>
      <right style="thin">
        <color indexed="64"/>
      </right>
      <top/>
      <bottom/>
      <diagonal/>
    </border>
    <border>
      <left style="medium">
        <color rgb="FF000000"/>
      </left>
      <right style="thin">
        <color indexed="64"/>
      </right>
      <top style="medium">
        <color rgb="FF000000"/>
      </top>
      <bottom style="thin">
        <color indexed="64"/>
      </bottom>
      <diagonal/>
    </border>
    <border>
      <left/>
      <right style="thin">
        <color indexed="64"/>
      </right>
      <top style="medium">
        <color rgb="FF000000"/>
      </top>
      <bottom style="thin">
        <color indexed="64"/>
      </bottom>
      <diagonal/>
    </border>
    <border>
      <left/>
      <right style="medium">
        <color rgb="FF000000"/>
      </right>
      <top style="medium">
        <color rgb="FF000000"/>
      </top>
      <bottom style="thin">
        <color indexed="64"/>
      </bottom>
      <diagonal/>
    </border>
    <border>
      <left style="medium">
        <color rgb="FF000000"/>
      </left>
      <right style="thin">
        <color indexed="64"/>
      </right>
      <top/>
      <bottom style="thin">
        <color indexed="64"/>
      </bottom>
      <diagonal/>
    </border>
    <border>
      <left/>
      <right style="medium">
        <color rgb="FF000000"/>
      </right>
      <top/>
      <bottom style="thin">
        <color indexed="64"/>
      </bottom>
      <diagonal/>
    </border>
    <border>
      <left style="medium">
        <color rgb="FF000000"/>
      </left>
      <right style="thin">
        <color indexed="64"/>
      </right>
      <top/>
      <bottom style="medium">
        <color rgb="FF000000"/>
      </bottom>
      <diagonal/>
    </border>
    <border>
      <left/>
      <right style="thin">
        <color indexed="64"/>
      </right>
      <top/>
      <bottom style="medium">
        <color rgb="FF000000"/>
      </bottom>
      <diagonal/>
    </border>
    <border>
      <left/>
      <right style="medium">
        <color rgb="FF000000"/>
      </right>
      <top/>
      <bottom style="medium">
        <color rgb="FF000000"/>
      </bottom>
      <diagonal/>
    </border>
    <border>
      <left style="thin">
        <color rgb="FF000000"/>
      </left>
      <right style="thin">
        <color rgb="FF000000"/>
      </right>
      <top/>
      <bottom style="thin">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indexed="64"/>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bottom/>
      <diagonal/>
    </border>
    <border>
      <left style="thin">
        <color rgb="FF000000"/>
      </left>
      <right style="thin">
        <color rgb="FF000000"/>
      </right>
      <top/>
      <bottom/>
      <diagonal/>
    </border>
    <border>
      <left style="medium">
        <color rgb="FF000000"/>
      </left>
      <right/>
      <top style="medium">
        <color rgb="FF000000"/>
      </top>
      <bottom/>
      <diagonal/>
    </border>
    <border>
      <left/>
      <right style="medium">
        <color rgb="FF000000"/>
      </right>
      <top style="medium">
        <color rgb="FF000000"/>
      </top>
      <bottom/>
      <diagonal/>
    </border>
    <border>
      <left/>
      <right/>
      <top/>
      <bottom style="thin">
        <color indexed="64"/>
      </bottom>
      <diagonal/>
    </border>
    <border>
      <left style="thin">
        <color indexed="64"/>
      </left>
      <right style="thin">
        <color indexed="64"/>
      </right>
      <top style="thin">
        <color indexed="64"/>
      </top>
      <bottom/>
      <diagonal/>
    </border>
    <border>
      <left style="thin">
        <color rgb="FF000000"/>
      </left>
      <right style="medium">
        <color rgb="FF000000"/>
      </right>
      <top style="medium">
        <color rgb="FF000000"/>
      </top>
      <bottom style="medium">
        <color rgb="FF000000"/>
      </bottom>
      <diagonal/>
    </border>
    <border>
      <left style="thin">
        <color rgb="FF000000"/>
      </left>
      <right style="medium">
        <color rgb="FF000000"/>
      </right>
      <top style="medium">
        <color rgb="FF000000"/>
      </top>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s>
  <cellStyleXfs count="2">
    <xf numFmtId="0" fontId="0" fillId="0" borderId="0"/>
    <xf numFmtId="0" fontId="57" fillId="0" borderId="0" applyNumberFormat="0" applyFill="0" applyBorder="0" applyAlignment="0" applyProtection="0"/>
  </cellStyleXfs>
  <cellXfs count="337">
    <xf numFmtId="0" fontId="0" fillId="0" borderId="0" xfId="0"/>
    <xf numFmtId="0" fontId="2" fillId="0" borderId="0" xfId="0" applyFont="1"/>
    <xf numFmtId="0" fontId="1" fillId="6" borderId="0" xfId="0" applyFont="1" applyFill="1" applyAlignment="1">
      <alignment horizontal="center"/>
    </xf>
    <xf numFmtId="0" fontId="3" fillId="0" borderId="0" xfId="0" applyFont="1"/>
    <xf numFmtId="0" fontId="3" fillId="0" borderId="0" xfId="0" applyFont="1" applyAlignment="1">
      <alignment horizontal="center" vertical="center"/>
    </xf>
    <xf numFmtId="0" fontId="3" fillId="0" borderId="0" xfId="0" applyFont="1" applyAlignment="1">
      <alignment wrapText="1"/>
    </xf>
    <xf numFmtId="0" fontId="5" fillId="7" borderId="0" xfId="0" applyFont="1" applyFill="1" applyAlignment="1">
      <alignment horizontal="center" vertical="center"/>
    </xf>
    <xf numFmtId="0" fontId="3" fillId="0" borderId="0" xfId="0" applyFont="1" applyAlignment="1">
      <alignment horizontal="center"/>
    </xf>
    <xf numFmtId="0" fontId="3" fillId="0" borderId="0" xfId="0" applyFont="1" applyAlignment="1">
      <alignment horizontal="center" wrapText="1"/>
    </xf>
    <xf numFmtId="2" fontId="3" fillId="0" borderId="0" xfId="0" applyNumberFormat="1" applyFont="1" applyAlignment="1">
      <alignment horizontal="center"/>
    </xf>
    <xf numFmtId="0" fontId="3" fillId="9" borderId="0" xfId="0" applyFont="1" applyFill="1" applyAlignment="1">
      <alignment horizontal="center"/>
    </xf>
    <xf numFmtId="0" fontId="4" fillId="8" borderId="0" xfId="0" applyFont="1" applyFill="1" applyAlignment="1">
      <alignment horizontal="center"/>
    </xf>
    <xf numFmtId="0" fontId="3" fillId="8" borderId="0" xfId="0" applyFont="1" applyFill="1"/>
    <xf numFmtId="0" fontId="9" fillId="0" borderId="0" xfId="0" applyFont="1" applyAlignment="1">
      <alignment horizontal="left" wrapText="1"/>
    </xf>
    <xf numFmtId="0" fontId="3" fillId="9" borderId="0" xfId="0" applyFont="1" applyFill="1"/>
    <xf numFmtId="0" fontId="10" fillId="8" borderId="0" xfId="0" applyFont="1" applyFill="1"/>
    <xf numFmtId="0" fontId="10" fillId="9" borderId="0" xfId="0" applyFont="1" applyFill="1"/>
    <xf numFmtId="0" fontId="9" fillId="8" borderId="0" xfId="0" applyFont="1" applyFill="1"/>
    <xf numFmtId="0" fontId="11" fillId="5" borderId="0" xfId="0" applyFont="1" applyFill="1"/>
    <xf numFmtId="0" fontId="3" fillId="5" borderId="0" xfId="0" applyFont="1" applyFill="1"/>
    <xf numFmtId="0" fontId="13" fillId="0" borderId="0" xfId="0" applyFont="1"/>
    <xf numFmtId="0" fontId="11" fillId="5" borderId="0" xfId="0" applyFont="1" applyFill="1" applyAlignment="1">
      <alignment horizontal="left" wrapText="1"/>
    </xf>
    <xf numFmtId="0" fontId="18" fillId="14" borderId="1" xfId="0" applyFont="1" applyFill="1" applyBorder="1" applyAlignment="1">
      <alignment wrapText="1"/>
    </xf>
    <xf numFmtId="0" fontId="18" fillId="14" borderId="2" xfId="0" applyFont="1" applyFill="1" applyBorder="1" applyAlignment="1">
      <alignment wrapText="1"/>
    </xf>
    <xf numFmtId="0" fontId="19" fillId="15" borderId="3" xfId="0" applyFont="1" applyFill="1" applyBorder="1" applyAlignment="1">
      <alignment wrapText="1"/>
    </xf>
    <xf numFmtId="0" fontId="17" fillId="15" borderId="4" xfId="0" applyFont="1" applyFill="1" applyBorder="1" applyAlignment="1">
      <alignment wrapText="1"/>
    </xf>
    <xf numFmtId="0" fontId="17" fillId="0" borderId="3" xfId="0" applyFont="1" applyBorder="1" applyAlignment="1">
      <alignment wrapText="1"/>
    </xf>
    <xf numFmtId="0" fontId="17" fillId="0" borderId="4" xfId="0" applyFont="1" applyBorder="1" applyAlignment="1">
      <alignment wrapText="1"/>
    </xf>
    <xf numFmtId="4" fontId="17" fillId="0" borderId="4" xfId="0" applyNumberFormat="1" applyFont="1" applyBorder="1" applyAlignment="1">
      <alignment wrapText="1"/>
    </xf>
    <xf numFmtId="0" fontId="19" fillId="0" borderId="3" xfId="0" applyFont="1" applyBorder="1" applyAlignment="1">
      <alignment wrapText="1"/>
    </xf>
    <xf numFmtId="0" fontId="19" fillId="0" borderId="4" xfId="0" applyFont="1" applyBorder="1" applyAlignment="1">
      <alignment wrapText="1"/>
    </xf>
    <xf numFmtId="4" fontId="19" fillId="0" borderId="4" xfId="0" applyNumberFormat="1" applyFont="1" applyBorder="1" applyAlignment="1">
      <alignment wrapText="1"/>
    </xf>
    <xf numFmtId="0" fontId="19" fillId="15" borderId="1" xfId="0" applyFont="1" applyFill="1" applyBorder="1" applyAlignment="1">
      <alignment wrapText="1"/>
    </xf>
    <xf numFmtId="0" fontId="17" fillId="15" borderId="2" xfId="0" applyFont="1" applyFill="1" applyBorder="1" applyAlignment="1">
      <alignment wrapText="1"/>
    </xf>
    <xf numFmtId="0" fontId="15" fillId="0" borderId="0" xfId="0" applyFont="1" applyAlignment="1">
      <alignment wrapText="1"/>
    </xf>
    <xf numFmtId="0" fontId="9" fillId="5" borderId="0" xfId="0" applyFont="1" applyFill="1" applyAlignment="1">
      <alignment horizontal="right"/>
    </xf>
    <xf numFmtId="0" fontId="4" fillId="9" borderId="0" xfId="0" applyFont="1" applyFill="1" applyAlignment="1">
      <alignment horizontal="right"/>
    </xf>
    <xf numFmtId="0" fontId="17" fillId="0" borderId="5" xfId="0" applyFont="1" applyBorder="1" applyAlignment="1">
      <alignment wrapText="1"/>
    </xf>
    <xf numFmtId="0" fontId="17" fillId="15" borderId="5" xfId="0" applyFont="1" applyFill="1" applyBorder="1" applyAlignment="1">
      <alignment wrapText="1"/>
    </xf>
    <xf numFmtId="0" fontId="19" fillId="6" borderId="6" xfId="0" applyFont="1" applyFill="1" applyBorder="1" applyAlignment="1">
      <alignment wrapText="1"/>
    </xf>
    <xf numFmtId="0" fontId="17" fillId="15" borderId="7" xfId="0" applyFont="1" applyFill="1" applyBorder="1" applyAlignment="1">
      <alignment wrapText="1"/>
    </xf>
    <xf numFmtId="0" fontId="19" fillId="0" borderId="7" xfId="0" applyFont="1" applyBorder="1" applyAlignment="1">
      <alignment wrapText="1"/>
    </xf>
    <xf numFmtId="0" fontId="17" fillId="0" borderId="6" xfId="0" applyFont="1" applyBorder="1" applyAlignment="1">
      <alignment wrapText="1"/>
    </xf>
    <xf numFmtId="0" fontId="17" fillId="15" borderId="8" xfId="0" applyFont="1" applyFill="1" applyBorder="1" applyAlignment="1">
      <alignment wrapText="1"/>
    </xf>
    <xf numFmtId="0" fontId="4" fillId="5" borderId="0" xfId="0" applyFont="1" applyFill="1"/>
    <xf numFmtId="0" fontId="4" fillId="8" borderId="0" xfId="0" applyFont="1" applyFill="1"/>
    <xf numFmtId="2" fontId="4" fillId="8" borderId="0" xfId="0" applyNumberFormat="1" applyFont="1" applyFill="1"/>
    <xf numFmtId="10" fontId="17" fillId="0" borderId="4" xfId="0" applyNumberFormat="1" applyFont="1" applyBorder="1" applyAlignment="1">
      <alignment wrapText="1"/>
    </xf>
    <xf numFmtId="0" fontId="20" fillId="16" borderId="0" xfId="0" applyFont="1" applyFill="1" applyAlignment="1">
      <alignment horizontal="center"/>
    </xf>
    <xf numFmtId="0" fontId="14" fillId="0" borderId="0" xfId="0" applyFont="1"/>
    <xf numFmtId="0" fontId="3" fillId="17" borderId="0" xfId="0" applyFont="1" applyFill="1" applyAlignment="1">
      <alignment horizontal="center"/>
    </xf>
    <xf numFmtId="2" fontId="3" fillId="17" borderId="0" xfId="0" applyNumberFormat="1" applyFont="1" applyFill="1" applyAlignment="1">
      <alignment horizontal="center"/>
    </xf>
    <xf numFmtId="0" fontId="21" fillId="0" borderId="10" xfId="0" applyFont="1" applyBorder="1" applyAlignment="1">
      <alignment readingOrder="1"/>
    </xf>
    <xf numFmtId="0" fontId="21" fillId="0" borderId="11" xfId="0" applyFont="1" applyBorder="1" applyAlignment="1">
      <alignment readingOrder="1"/>
    </xf>
    <xf numFmtId="0" fontId="21" fillId="0" borderId="14" xfId="0" applyFont="1" applyBorder="1" applyAlignment="1">
      <alignment readingOrder="1"/>
    </xf>
    <xf numFmtId="0" fontId="22" fillId="0" borderId="0" xfId="0" applyFont="1"/>
    <xf numFmtId="0" fontId="25" fillId="18" borderId="18" xfId="0" applyFont="1" applyFill="1" applyBorder="1"/>
    <xf numFmtId="14" fontId="21" fillId="0" borderId="10" xfId="0" applyNumberFormat="1" applyFont="1" applyBorder="1" applyAlignment="1">
      <alignment readingOrder="1"/>
    </xf>
    <xf numFmtId="10" fontId="21" fillId="0" borderId="10" xfId="0" applyNumberFormat="1" applyFont="1" applyBorder="1" applyAlignment="1">
      <alignment readingOrder="1"/>
    </xf>
    <xf numFmtId="10" fontId="21" fillId="0" borderId="15" xfId="0" applyNumberFormat="1" applyFont="1" applyBorder="1" applyAlignment="1">
      <alignment readingOrder="1"/>
    </xf>
    <xf numFmtId="0" fontId="26" fillId="18" borderId="18" xfId="0" applyFont="1" applyFill="1" applyBorder="1"/>
    <xf numFmtId="4" fontId="16" fillId="6" borderId="0" xfId="0" applyNumberFormat="1" applyFont="1" applyFill="1"/>
    <xf numFmtId="0" fontId="0" fillId="0" borderId="0" xfId="0" applyAlignment="1">
      <alignment horizontal="center" vertical="center"/>
    </xf>
    <xf numFmtId="0" fontId="29" fillId="10" borderId="0" xfId="0" applyFont="1" applyFill="1" applyAlignment="1">
      <alignment horizontal="center" wrapText="1"/>
    </xf>
    <xf numFmtId="0" fontId="29" fillId="10" borderId="0" xfId="0" applyFont="1" applyFill="1" applyAlignment="1">
      <alignment horizontal="left" wrapText="1"/>
    </xf>
    <xf numFmtId="0" fontId="30" fillId="0" borderId="0" xfId="0" applyFont="1" applyAlignment="1">
      <alignment wrapText="1"/>
    </xf>
    <xf numFmtId="4" fontId="30" fillId="0" borderId="0" xfId="0" applyNumberFormat="1" applyFont="1"/>
    <xf numFmtId="0" fontId="30" fillId="0" borderId="0" xfId="0" applyFont="1"/>
    <xf numFmtId="0" fontId="31" fillId="11" borderId="0" xfId="0" applyFont="1" applyFill="1" applyAlignment="1">
      <alignment wrapText="1"/>
    </xf>
    <xf numFmtId="4" fontId="31" fillId="11" borderId="0" xfId="0" applyNumberFormat="1" applyFont="1" applyFill="1"/>
    <xf numFmtId="0" fontId="31" fillId="12" borderId="0" xfId="0" applyFont="1" applyFill="1" applyAlignment="1">
      <alignment wrapText="1"/>
    </xf>
    <xf numFmtId="0" fontId="32" fillId="0" borderId="0" xfId="0" applyFont="1"/>
    <xf numFmtId="0" fontId="31" fillId="11" borderId="0" xfId="0" applyFont="1" applyFill="1"/>
    <xf numFmtId="0" fontId="33" fillId="0" borderId="0" xfId="0" applyFont="1" applyAlignment="1">
      <alignment wrapText="1"/>
    </xf>
    <xf numFmtId="0" fontId="31" fillId="0" borderId="0" xfId="0" applyFont="1" applyAlignment="1">
      <alignment wrapText="1"/>
    </xf>
    <xf numFmtId="0" fontId="31" fillId="13" borderId="0" xfId="0" applyFont="1" applyFill="1"/>
    <xf numFmtId="0" fontId="22" fillId="0" borderId="0" xfId="0" applyFont="1" applyAlignment="1">
      <alignment horizontal="right"/>
    </xf>
    <xf numFmtId="14" fontId="22" fillId="0" borderId="0" xfId="0" applyNumberFormat="1" applyFont="1" applyAlignment="1">
      <alignment horizontal="right"/>
    </xf>
    <xf numFmtId="0" fontId="0" fillId="0" borderId="0" xfId="0" applyAlignment="1">
      <alignment horizontal="right"/>
    </xf>
    <xf numFmtId="0" fontId="22" fillId="0" borderId="0" xfId="0" applyFont="1" applyAlignment="1">
      <alignment horizontal="center"/>
    </xf>
    <xf numFmtId="0" fontId="22" fillId="22" borderId="0" xfId="0" applyFont="1" applyFill="1"/>
    <xf numFmtId="0" fontId="0" fillId="22" borderId="0" xfId="0" applyFill="1"/>
    <xf numFmtId="0" fontId="23" fillId="22" borderId="16" xfId="0" applyFont="1" applyFill="1" applyBorder="1"/>
    <xf numFmtId="0" fontId="23" fillId="22" borderId="0" xfId="0" applyFont="1" applyFill="1"/>
    <xf numFmtId="0" fontId="0" fillId="23" borderId="0" xfId="0" applyFill="1"/>
    <xf numFmtId="0" fontId="22" fillId="23" borderId="0" xfId="0" applyFont="1" applyFill="1"/>
    <xf numFmtId="0" fontId="22" fillId="23" borderId="17" xfId="0" applyFont="1" applyFill="1" applyBorder="1"/>
    <xf numFmtId="0" fontId="23" fillId="23" borderId="16" xfId="0" applyFont="1" applyFill="1" applyBorder="1"/>
    <xf numFmtId="0" fontId="0" fillId="23" borderId="17" xfId="0" applyFill="1" applyBorder="1"/>
    <xf numFmtId="0" fontId="39" fillId="22" borderId="0" xfId="0" applyFont="1" applyFill="1"/>
    <xf numFmtId="0" fontId="32" fillId="23" borderId="0" xfId="0" applyFont="1" applyFill="1"/>
    <xf numFmtId="10" fontId="40" fillId="22" borderId="0" xfId="0" applyNumberFormat="1" applyFont="1" applyFill="1"/>
    <xf numFmtId="9" fontId="32" fillId="23" borderId="0" xfId="0" applyNumberFormat="1" applyFont="1" applyFill="1"/>
    <xf numFmtId="0" fontId="32" fillId="22" borderId="0" xfId="0" applyFont="1" applyFill="1"/>
    <xf numFmtId="0" fontId="36" fillId="23" borderId="0" xfId="0" applyFont="1" applyFill="1"/>
    <xf numFmtId="0" fontId="21" fillId="0" borderId="12" xfId="0" applyFont="1" applyBorder="1" applyAlignment="1">
      <alignment horizontal="center" readingOrder="1"/>
    </xf>
    <xf numFmtId="0" fontId="21" fillId="0" borderId="13" xfId="0" applyFont="1" applyBorder="1" applyAlignment="1">
      <alignment horizontal="center" readingOrder="1"/>
    </xf>
    <xf numFmtId="0" fontId="0" fillId="0" borderId="0" xfId="0" applyAlignment="1">
      <alignment horizontal="left" wrapText="1"/>
    </xf>
    <xf numFmtId="164" fontId="17" fillId="0" borderId="4" xfId="0" applyNumberFormat="1" applyFont="1" applyBorder="1" applyAlignment="1">
      <alignment wrapText="1"/>
    </xf>
    <xf numFmtId="0" fontId="0" fillId="0" borderId="0" xfId="0" applyAlignment="1">
      <alignment horizontal="left"/>
    </xf>
    <xf numFmtId="10" fontId="0" fillId="0" borderId="0" xfId="0" applyNumberFormat="1" applyAlignment="1">
      <alignment horizontal="left"/>
    </xf>
    <xf numFmtId="14" fontId="0" fillId="0" borderId="0" xfId="0" applyNumberFormat="1" applyAlignment="1">
      <alignment horizontal="left"/>
    </xf>
    <xf numFmtId="10" fontId="17" fillId="0" borderId="0" xfId="0" applyNumberFormat="1" applyFont="1" applyAlignment="1">
      <alignment wrapText="1"/>
    </xf>
    <xf numFmtId="0" fontId="41" fillId="0" borderId="0" xfId="0" applyFont="1" applyAlignment="1">
      <alignment horizontal="center"/>
    </xf>
    <xf numFmtId="0" fontId="0" fillId="2" borderId="0" xfId="0" applyFill="1"/>
    <xf numFmtId="0" fontId="0" fillId="2" borderId="0" xfId="0" applyFill="1" applyAlignment="1">
      <alignment horizontal="left"/>
    </xf>
    <xf numFmtId="0" fontId="0" fillId="25" borderId="0" xfId="0" applyFill="1"/>
    <xf numFmtId="0" fontId="0" fillId="25" borderId="0" xfId="0" applyFill="1" applyAlignment="1">
      <alignment horizontal="left"/>
    </xf>
    <xf numFmtId="14" fontId="0" fillId="25" borderId="0" xfId="0" applyNumberFormat="1" applyFill="1" applyAlignment="1">
      <alignment horizontal="left"/>
    </xf>
    <xf numFmtId="10" fontId="0" fillId="25" borderId="0" xfId="0" applyNumberFormat="1" applyFill="1" applyAlignment="1">
      <alignment horizontal="left"/>
    </xf>
    <xf numFmtId="0" fontId="24" fillId="6" borderId="1" xfId="0" applyFont="1" applyFill="1" applyBorder="1" applyAlignment="1">
      <alignment horizontal="center" vertical="center" wrapText="1"/>
    </xf>
    <xf numFmtId="10" fontId="46" fillId="19" borderId="0" xfId="0" applyNumberFormat="1" applyFont="1" applyFill="1"/>
    <xf numFmtId="0" fontId="0" fillId="0" borderId="5" xfId="0" applyBorder="1" applyAlignment="1">
      <alignment horizontal="center" vertical="center"/>
    </xf>
    <xf numFmtId="0" fontId="19" fillId="0" borderId="3" xfId="0" applyFont="1" applyBorder="1" applyAlignment="1">
      <alignment horizontal="center" vertical="center" wrapText="1"/>
    </xf>
    <xf numFmtId="0" fontId="19" fillId="0" borderId="19" xfId="0" applyFont="1" applyBorder="1" applyAlignment="1">
      <alignment horizontal="center" vertical="center" wrapText="1"/>
    </xf>
    <xf numFmtId="0" fontId="48" fillId="0" borderId="5" xfId="0" applyFont="1" applyBorder="1" applyAlignment="1">
      <alignment horizontal="center" vertical="center" wrapText="1"/>
    </xf>
    <xf numFmtId="0" fontId="35" fillId="0" borderId="5" xfId="0" applyFont="1" applyBorder="1" applyAlignment="1">
      <alignment horizontal="center" vertical="center"/>
    </xf>
    <xf numFmtId="0" fontId="17" fillId="0" borderId="0" xfId="0" applyFont="1" applyAlignment="1">
      <alignment horizontal="center" vertical="center" wrapText="1"/>
    </xf>
    <xf numFmtId="0" fontId="0" fillId="0" borderId="0" xfId="0" applyAlignment="1">
      <alignment vertical="center"/>
    </xf>
    <xf numFmtId="0" fontId="17" fillId="0" borderId="23" xfId="0" applyFont="1" applyBorder="1" applyAlignment="1">
      <alignment wrapText="1"/>
    </xf>
    <xf numFmtId="4" fontId="17" fillId="0" borderId="24" xfId="0" applyNumberFormat="1" applyFont="1" applyBorder="1" applyAlignment="1">
      <alignment wrapText="1"/>
    </xf>
    <xf numFmtId="0" fontId="17" fillId="0" borderId="25" xfId="0" applyFont="1" applyBorder="1" applyAlignment="1">
      <alignment wrapText="1"/>
    </xf>
    <xf numFmtId="10" fontId="17" fillId="0" borderId="26" xfId="0" applyNumberFormat="1" applyFont="1" applyBorder="1" applyAlignment="1">
      <alignment wrapText="1"/>
    </xf>
    <xf numFmtId="10" fontId="17" fillId="0" borderId="27" xfId="0" applyNumberFormat="1" applyFont="1" applyBorder="1" applyAlignment="1">
      <alignment wrapText="1"/>
    </xf>
    <xf numFmtId="0" fontId="17" fillId="0" borderId="28" xfId="0" applyFont="1" applyBorder="1" applyAlignment="1">
      <alignment wrapText="1"/>
    </xf>
    <xf numFmtId="0" fontId="49" fillId="26" borderId="0" xfId="0" applyFont="1" applyFill="1"/>
    <xf numFmtId="0" fontId="49" fillId="27" borderId="0" xfId="0" applyFont="1" applyFill="1"/>
    <xf numFmtId="10" fontId="52" fillId="22" borderId="0" xfId="0" applyNumberFormat="1" applyFont="1" applyFill="1"/>
    <xf numFmtId="0" fontId="53" fillId="23" borderId="0" xfId="0" applyFont="1" applyFill="1"/>
    <xf numFmtId="0" fontId="53" fillId="22" borderId="0" xfId="0" applyFont="1" applyFill="1"/>
    <xf numFmtId="0" fontId="22" fillId="7" borderId="0" xfId="0" applyFont="1" applyFill="1"/>
    <xf numFmtId="0" fontId="59" fillId="26" borderId="0" xfId="0" applyFont="1" applyFill="1"/>
    <xf numFmtId="0" fontId="59" fillId="27" borderId="0" xfId="0" applyFont="1" applyFill="1"/>
    <xf numFmtId="10" fontId="59" fillId="27" borderId="0" xfId="0" applyNumberFormat="1" applyFont="1" applyFill="1"/>
    <xf numFmtId="10" fontId="59" fillId="26" borderId="0" xfId="0" applyNumberFormat="1" applyFont="1" applyFill="1"/>
    <xf numFmtId="0" fontId="56" fillId="7" borderId="0" xfId="0" applyFont="1" applyFill="1"/>
    <xf numFmtId="0" fontId="56" fillId="0" borderId="0" xfId="0" applyFont="1"/>
    <xf numFmtId="0" fontId="54" fillId="7" borderId="0" xfId="0" applyFont="1" applyFill="1" applyAlignment="1">
      <alignment horizontal="right" vertical="center"/>
    </xf>
    <xf numFmtId="0" fontId="54" fillId="0" borderId="0" xfId="0" applyFont="1"/>
    <xf numFmtId="0" fontId="60" fillId="7" borderId="0" xfId="0" applyFont="1" applyFill="1"/>
    <xf numFmtId="0" fontId="61" fillId="26" borderId="0" xfId="0" applyFont="1" applyFill="1"/>
    <xf numFmtId="0" fontId="61" fillId="27" borderId="0" xfId="0" applyFont="1" applyFill="1"/>
    <xf numFmtId="0" fontId="61" fillId="26" borderId="0" xfId="0" applyFont="1" applyFill="1" applyAlignment="1">
      <alignment wrapText="1"/>
    </xf>
    <xf numFmtId="0" fontId="66" fillId="0" borderId="0" xfId="0" applyFont="1"/>
    <xf numFmtId="10" fontId="49" fillId="26" borderId="0" xfId="0" applyNumberFormat="1" applyFont="1" applyFill="1"/>
    <xf numFmtId="10" fontId="49" fillId="27" borderId="0" xfId="0" applyNumberFormat="1" applyFont="1" applyFill="1"/>
    <xf numFmtId="0" fontId="68" fillId="0" borderId="0" xfId="0" applyFont="1"/>
    <xf numFmtId="0" fontId="71" fillId="0" borderId="0" xfId="0" applyFont="1" applyAlignment="1">
      <alignment horizontal="center" vertical="center"/>
    </xf>
    <xf numFmtId="0" fontId="70" fillId="9" borderId="33" xfId="0" applyFont="1" applyFill="1" applyBorder="1"/>
    <xf numFmtId="0" fontId="75" fillId="0" borderId="33" xfId="0" applyFont="1" applyBorder="1"/>
    <xf numFmtId="10" fontId="75" fillId="0" borderId="33" xfId="0" applyNumberFormat="1" applyFont="1" applyBorder="1"/>
    <xf numFmtId="0" fontId="75" fillId="31" borderId="33" xfId="0" applyFont="1" applyFill="1" applyBorder="1"/>
    <xf numFmtId="10" fontId="75" fillId="31" borderId="33" xfId="0" applyNumberFormat="1" applyFont="1" applyFill="1" applyBorder="1"/>
    <xf numFmtId="0" fontId="75" fillId="0" borderId="0" xfId="0" applyFont="1"/>
    <xf numFmtId="0" fontId="75" fillId="6" borderId="33" xfId="0" applyFont="1" applyFill="1" applyBorder="1"/>
    <xf numFmtId="10" fontId="75" fillId="6" borderId="33" xfId="0" applyNumberFormat="1" applyFont="1" applyFill="1" applyBorder="1"/>
    <xf numFmtId="2" fontId="75" fillId="0" borderId="33" xfId="0" applyNumberFormat="1" applyFont="1" applyBorder="1"/>
    <xf numFmtId="0" fontId="70" fillId="4" borderId="33" xfId="0" applyFont="1" applyFill="1" applyBorder="1" applyAlignment="1">
      <alignment horizontal="center" vertical="center" wrapText="1"/>
    </xf>
    <xf numFmtId="10" fontId="70" fillId="4" borderId="33" xfId="0" applyNumberFormat="1" applyFont="1" applyFill="1" applyBorder="1" applyAlignment="1">
      <alignment horizontal="center" vertical="center" wrapText="1"/>
    </xf>
    <xf numFmtId="10" fontId="77" fillId="0" borderId="33" xfId="1" applyNumberFormat="1" applyFont="1" applyBorder="1" applyAlignment="1">
      <alignment horizontal="right" wrapText="1"/>
    </xf>
    <xf numFmtId="0" fontId="75" fillId="6" borderId="0" xfId="0" applyFont="1" applyFill="1" applyAlignment="1">
      <alignment horizontal="center" vertical="center" wrapText="1"/>
    </xf>
    <xf numFmtId="0" fontId="17" fillId="0" borderId="0" xfId="0" applyFont="1" applyAlignment="1">
      <alignment wrapText="1"/>
    </xf>
    <xf numFmtId="0" fontId="78" fillId="0" borderId="0" xfId="0" applyFont="1" applyAlignment="1">
      <alignment horizontal="center" vertical="center"/>
    </xf>
    <xf numFmtId="0" fontId="67" fillId="0" borderId="0" xfId="0" applyFont="1"/>
    <xf numFmtId="0" fontId="67" fillId="0" borderId="0" xfId="0" applyFont="1" applyAlignment="1">
      <alignment horizontal="center"/>
    </xf>
    <xf numFmtId="4" fontId="67" fillId="0" borderId="0" xfId="0" applyNumberFormat="1" applyFont="1"/>
    <xf numFmtId="0" fontId="78" fillId="0" borderId="0" xfId="0" applyFont="1" applyAlignment="1">
      <alignment vertical="center"/>
    </xf>
    <xf numFmtId="0" fontId="71" fillId="0" borderId="0" xfId="0" applyFont="1" applyAlignment="1">
      <alignment vertical="center"/>
    </xf>
    <xf numFmtId="0" fontId="72" fillId="0" borderId="0" xfId="0" applyFont="1" applyAlignment="1">
      <alignment vertical="center"/>
    </xf>
    <xf numFmtId="0" fontId="78" fillId="34" borderId="0" xfId="0" applyFont="1" applyFill="1" applyAlignment="1">
      <alignment vertical="center"/>
    </xf>
    <xf numFmtId="0" fontId="71" fillId="34" borderId="0" xfId="0" applyFont="1" applyFill="1" applyAlignment="1">
      <alignment vertical="center"/>
    </xf>
    <xf numFmtId="0" fontId="72" fillId="34" borderId="0" xfId="0" applyFont="1" applyFill="1" applyAlignment="1">
      <alignment vertical="center"/>
    </xf>
    <xf numFmtId="164" fontId="42" fillId="0" borderId="24" xfId="0" applyNumberFormat="1" applyFont="1" applyBorder="1" applyAlignment="1">
      <alignment wrapText="1"/>
    </xf>
    <xf numFmtId="10" fontId="17" fillId="0" borderId="35" xfId="0" applyNumberFormat="1" applyFont="1" applyBorder="1" applyAlignment="1">
      <alignment wrapText="1"/>
    </xf>
    <xf numFmtId="0" fontId="22" fillId="6" borderId="9" xfId="0" applyFont="1" applyFill="1" applyBorder="1" applyAlignment="1">
      <alignment horizontal="center" vertical="center" wrapText="1"/>
    </xf>
    <xf numFmtId="0" fontId="10" fillId="8" borderId="0" xfId="0" applyFont="1" applyFill="1" applyAlignment="1">
      <alignment horizontal="right"/>
    </xf>
    <xf numFmtId="0" fontId="62" fillId="35" borderId="0" xfId="0" applyFont="1" applyFill="1"/>
    <xf numFmtId="4" fontId="63" fillId="35" borderId="0" xfId="0" applyNumberFormat="1" applyFont="1" applyFill="1"/>
    <xf numFmtId="164" fontId="63" fillId="35" borderId="0" xfId="0" applyNumberFormat="1" applyFont="1" applyFill="1"/>
    <xf numFmtId="0" fontId="35" fillId="0" borderId="0" xfId="0" applyFont="1" applyAlignment="1">
      <alignment horizontal="center" vertical="center"/>
    </xf>
    <xf numFmtId="0" fontId="22" fillId="6" borderId="20" xfId="0" applyFont="1" applyFill="1" applyBorder="1" applyAlignment="1">
      <alignment wrapText="1"/>
    </xf>
    <xf numFmtId="10" fontId="22" fillId="6" borderId="21" xfId="0" applyNumberFormat="1" applyFont="1" applyFill="1" applyBorder="1" applyAlignment="1">
      <alignment wrapText="1"/>
    </xf>
    <xf numFmtId="10" fontId="22" fillId="6" borderId="22" xfId="0" applyNumberFormat="1" applyFont="1" applyFill="1" applyBorder="1" applyAlignment="1">
      <alignment wrapText="1"/>
    </xf>
    <xf numFmtId="0" fontId="17" fillId="0" borderId="38" xfId="0" applyFont="1" applyBorder="1" applyAlignment="1">
      <alignment horizontal="center" vertical="center" wrapText="1"/>
    </xf>
    <xf numFmtId="0" fontId="84" fillId="24" borderId="31" xfId="0" applyFont="1" applyFill="1" applyBorder="1" applyAlignment="1">
      <alignment horizontal="center" vertical="center" wrapText="1"/>
    </xf>
    <xf numFmtId="0" fontId="84" fillId="24" borderId="32" xfId="0" applyFont="1" applyFill="1" applyBorder="1" applyAlignment="1">
      <alignment horizontal="center" vertical="center" wrapText="1"/>
    </xf>
    <xf numFmtId="0" fontId="35" fillId="24" borderId="28" xfId="0" applyFont="1" applyFill="1" applyBorder="1" applyAlignment="1">
      <alignment horizontal="center" vertical="center"/>
    </xf>
    <xf numFmtId="0" fontId="35" fillId="24" borderId="5" xfId="0" applyFont="1" applyFill="1" applyBorder="1" applyAlignment="1">
      <alignment horizontal="center" vertical="center"/>
    </xf>
    <xf numFmtId="0" fontId="84" fillId="24" borderId="5" xfId="0" applyFont="1" applyFill="1" applyBorder="1" applyAlignment="1">
      <alignment horizontal="center" wrapText="1"/>
    </xf>
    <xf numFmtId="0" fontId="68" fillId="0" borderId="0" xfId="0" applyFont="1" applyAlignment="1">
      <alignment wrapText="1"/>
    </xf>
    <xf numFmtId="0" fontId="75" fillId="0" borderId="33" xfId="0" applyFont="1" applyBorder="1" applyAlignment="1">
      <alignment wrapText="1"/>
    </xf>
    <xf numFmtId="0" fontId="70" fillId="9" borderId="29" xfId="0" applyFont="1" applyFill="1" applyBorder="1"/>
    <xf numFmtId="4" fontId="75" fillId="0" borderId="29" xfId="0" applyNumberFormat="1" applyFont="1" applyBorder="1"/>
    <xf numFmtId="0" fontId="75" fillId="0" borderId="6" xfId="0" applyFont="1" applyBorder="1"/>
    <xf numFmtId="0" fontId="70" fillId="9" borderId="40" xfId="0" applyFont="1" applyFill="1" applyBorder="1"/>
    <xf numFmtId="0" fontId="70" fillId="9" borderId="6" xfId="0" applyFont="1" applyFill="1" applyBorder="1"/>
    <xf numFmtId="2" fontId="75" fillId="0" borderId="33" xfId="0" applyNumberFormat="1" applyFont="1" applyBorder="1" applyAlignment="1">
      <alignment horizontal="center" vertical="center" wrapText="1"/>
    </xf>
    <xf numFmtId="0" fontId="76" fillId="0" borderId="40" xfId="1" applyFont="1" applyBorder="1" applyAlignment="1">
      <alignment horizontal="right"/>
    </xf>
    <xf numFmtId="0" fontId="76" fillId="0" borderId="41" xfId="1" applyFont="1" applyBorder="1" applyAlignment="1">
      <alignment horizontal="right"/>
    </xf>
    <xf numFmtId="0" fontId="75" fillId="0" borderId="5" xfId="0" applyFont="1" applyBorder="1" applyAlignment="1">
      <alignment horizontal="right"/>
    </xf>
    <xf numFmtId="0" fontId="55" fillId="6" borderId="0" xfId="0" applyFont="1" applyFill="1" applyAlignment="1">
      <alignment horizontal="center" vertical="center" wrapText="1"/>
    </xf>
    <xf numFmtId="0" fontId="75" fillId="0" borderId="5" xfId="0" applyFont="1" applyBorder="1"/>
    <xf numFmtId="0" fontId="75" fillId="0" borderId="8" xfId="0" applyFont="1" applyBorder="1"/>
    <xf numFmtId="0" fontId="73" fillId="6" borderId="0" xfId="0" applyFont="1" applyFill="1" applyAlignment="1">
      <alignment horizontal="center" vertical="center" wrapText="1"/>
    </xf>
    <xf numFmtId="10" fontId="75" fillId="0" borderId="8" xfId="0" applyNumberFormat="1" applyFont="1" applyBorder="1"/>
    <xf numFmtId="10" fontId="75" fillId="0" borderId="5" xfId="0" applyNumberFormat="1" applyFont="1" applyBorder="1"/>
    <xf numFmtId="0" fontId="3" fillId="7" borderId="0" xfId="0" applyFont="1" applyFill="1" applyAlignment="1">
      <alignment horizontal="center" vertical="center" wrapText="1"/>
    </xf>
    <xf numFmtId="0" fontId="3" fillId="0" borderId="0" xfId="0" applyFont="1" applyAlignment="1">
      <alignment horizontal="center" vertical="center" wrapText="1"/>
    </xf>
    <xf numFmtId="0" fontId="3" fillId="7" borderId="0" xfId="0" applyFont="1" applyFill="1" applyAlignment="1">
      <alignment horizontal="center" vertical="center"/>
    </xf>
    <xf numFmtId="0" fontId="17" fillId="0" borderId="0" xfId="0" applyFont="1" applyAlignment="1">
      <alignment horizontal="center" wrapText="1"/>
    </xf>
    <xf numFmtId="0" fontId="17" fillId="0" borderId="5" xfId="0" applyFont="1" applyBorder="1" applyAlignment="1">
      <alignment horizontal="center" vertical="center" wrapText="1"/>
    </xf>
    <xf numFmtId="0" fontId="68" fillId="0" borderId="0" xfId="0" applyFont="1" applyAlignment="1">
      <alignment horizontal="center"/>
    </xf>
    <xf numFmtId="0" fontId="75" fillId="0" borderId="33" xfId="0" applyFont="1" applyBorder="1" applyAlignment="1">
      <alignment horizontal="center" vertical="center" wrapText="1"/>
    </xf>
    <xf numFmtId="0" fontId="75" fillId="0" borderId="33" xfId="0" applyFont="1" applyBorder="1" applyAlignment="1">
      <alignment horizontal="center"/>
    </xf>
    <xf numFmtId="0" fontId="86" fillId="7" borderId="0" xfId="1" applyFont="1" applyFill="1" applyAlignment="1">
      <alignment horizontal="right"/>
    </xf>
    <xf numFmtId="0" fontId="89" fillId="20" borderId="1" xfId="0" applyFont="1" applyFill="1" applyBorder="1" applyAlignment="1">
      <alignment horizontal="center" wrapText="1"/>
    </xf>
    <xf numFmtId="0" fontId="89" fillId="20" borderId="2" xfId="0" applyFont="1" applyFill="1" applyBorder="1" applyAlignment="1">
      <alignment horizontal="center" wrapText="1"/>
    </xf>
    <xf numFmtId="0" fontId="87" fillId="24" borderId="39" xfId="0" applyFont="1" applyFill="1" applyBorder="1" applyAlignment="1">
      <alignment horizontal="center" wrapText="1"/>
    </xf>
    <xf numFmtId="0" fontId="88" fillId="24" borderId="5" xfId="0" applyFont="1" applyFill="1" applyBorder="1" applyAlignment="1">
      <alignment horizontal="center" vertical="center"/>
    </xf>
    <xf numFmtId="0" fontId="89" fillId="24" borderId="19" xfId="0" applyFont="1" applyFill="1" applyBorder="1" applyAlignment="1">
      <alignment horizontal="center" wrapText="1"/>
    </xf>
    <xf numFmtId="165" fontId="67" fillId="0" borderId="0" xfId="0" applyNumberFormat="1" applyFont="1"/>
    <xf numFmtId="0" fontId="90" fillId="0" borderId="0" xfId="0" applyFont="1"/>
    <xf numFmtId="0" fontId="68" fillId="38" borderId="0" xfId="0" applyFont="1" applyFill="1"/>
    <xf numFmtId="0" fontId="11" fillId="0" borderId="0" xfId="0" applyFont="1" applyAlignment="1">
      <alignment wrapText="1"/>
    </xf>
    <xf numFmtId="0" fontId="6" fillId="24" borderId="0" xfId="0" applyFont="1" applyFill="1" applyAlignment="1">
      <alignment horizontal="center"/>
    </xf>
    <xf numFmtId="0" fontId="37" fillId="24" borderId="0" xfId="0" applyFont="1" applyFill="1" applyAlignment="1">
      <alignment horizontal="center"/>
    </xf>
    <xf numFmtId="0" fontId="35" fillId="24" borderId="0" xfId="0" applyFont="1" applyFill="1" applyAlignment="1">
      <alignment horizontal="center"/>
    </xf>
    <xf numFmtId="0" fontId="38" fillId="22" borderId="0" xfId="0" applyFont="1" applyFill="1" applyAlignment="1">
      <alignment horizontal="center"/>
    </xf>
    <xf numFmtId="0" fontId="39" fillId="22" borderId="0" xfId="0" applyFont="1" applyFill="1" applyAlignment="1">
      <alignment horizontal="center"/>
    </xf>
    <xf numFmtId="0" fontId="39" fillId="23" borderId="0" xfId="0" applyFont="1" applyFill="1" applyAlignment="1">
      <alignment horizontal="center" wrapText="1"/>
    </xf>
    <xf numFmtId="0" fontId="44" fillId="18" borderId="0" xfId="0" applyFont="1" applyFill="1" applyAlignment="1">
      <alignment horizontal="center"/>
    </xf>
    <xf numFmtId="0" fontId="39" fillId="27" borderId="0" xfId="0" applyFont="1" applyFill="1" applyAlignment="1">
      <alignment horizontal="center" vertical="top" wrapText="1"/>
    </xf>
    <xf numFmtId="0" fontId="24" fillId="27" borderId="0" xfId="0" applyFont="1" applyFill="1" applyAlignment="1">
      <alignment horizontal="center" vertical="top" wrapText="1"/>
    </xf>
    <xf numFmtId="0" fontId="35" fillId="29" borderId="0" xfId="0" applyFont="1" applyFill="1" applyAlignment="1">
      <alignment horizontal="center" vertical="top" wrapText="1"/>
    </xf>
    <xf numFmtId="0" fontId="35" fillId="30" borderId="0" xfId="0" applyFont="1" applyFill="1" applyAlignment="1">
      <alignment horizontal="center" vertical="top" wrapText="1"/>
    </xf>
    <xf numFmtId="0" fontId="46" fillId="19" borderId="0" xfId="0" applyFont="1" applyFill="1" applyAlignment="1">
      <alignment horizontal="center"/>
    </xf>
    <xf numFmtId="0" fontId="43" fillId="16" borderId="0" xfId="0" applyFont="1" applyFill="1" applyAlignment="1">
      <alignment horizontal="center"/>
    </xf>
    <xf numFmtId="0" fontId="51" fillId="26" borderId="0" xfId="0" applyFont="1" applyFill="1" applyAlignment="1">
      <alignment horizontal="center" wrapText="1"/>
    </xf>
    <xf numFmtId="0" fontId="44" fillId="18" borderId="0" xfId="0" applyFont="1" applyFill="1" applyAlignment="1">
      <alignment horizontal="center" wrapText="1"/>
    </xf>
    <xf numFmtId="0" fontId="54" fillId="32" borderId="0" xfId="0" applyFont="1" applyFill="1" applyAlignment="1">
      <alignment horizontal="center" wrapText="1"/>
    </xf>
    <xf numFmtId="0" fontId="55" fillId="32" borderId="0" xfId="0" applyFont="1" applyFill="1" applyAlignment="1">
      <alignment horizontal="center" wrapText="1"/>
    </xf>
    <xf numFmtId="0" fontId="3" fillId="0" borderId="0" xfId="0" applyFont="1" applyAlignment="1">
      <alignment horizontal="center" vertical="center"/>
    </xf>
    <xf numFmtId="0" fontId="6" fillId="2" borderId="0" xfId="0" applyFont="1" applyFill="1" applyAlignment="1">
      <alignment horizontal="center" vertical="center"/>
    </xf>
    <xf numFmtId="0" fontId="7" fillId="2" borderId="0" xfId="0" applyFont="1" applyFill="1" applyAlignment="1">
      <alignment horizontal="center" vertical="center"/>
    </xf>
    <xf numFmtId="0" fontId="4" fillId="2" borderId="0" xfId="0" applyFont="1" applyFill="1" applyAlignment="1">
      <alignment horizontal="center" vertical="center"/>
    </xf>
    <xf numFmtId="0" fontId="3" fillId="7" borderId="0" xfId="0" applyFont="1" applyFill="1" applyAlignment="1">
      <alignment horizontal="center" vertical="center"/>
    </xf>
    <xf numFmtId="0" fontId="4" fillId="2" borderId="0" xfId="0" applyFont="1" applyFill="1" applyAlignment="1">
      <alignment horizontal="center" vertical="center" wrapText="1"/>
    </xf>
    <xf numFmtId="0" fontId="3" fillId="7" borderId="0" xfId="0" applyFont="1" applyFill="1" applyAlignment="1">
      <alignment horizontal="center" vertical="center" wrapText="1"/>
    </xf>
    <xf numFmtId="0" fontId="3" fillId="0" borderId="0" xfId="0" applyFont="1" applyAlignment="1">
      <alignment horizontal="center" vertical="center" wrapText="1"/>
    </xf>
    <xf numFmtId="0" fontId="10" fillId="8" borderId="0" xfId="0" applyFont="1" applyFill="1" applyAlignment="1">
      <alignment horizontal="left" wrapText="1"/>
    </xf>
    <xf numFmtId="0" fontId="6" fillId="8" borderId="0" xfId="0" applyFont="1" applyFill="1" applyAlignment="1">
      <alignment horizontal="center"/>
    </xf>
    <xf numFmtId="0" fontId="8" fillId="8" borderId="0" xfId="0" applyFont="1" applyFill="1" applyAlignment="1">
      <alignment horizontal="center"/>
    </xf>
    <xf numFmtId="0" fontId="8" fillId="8" borderId="0" xfId="0" applyFont="1" applyFill="1" applyAlignment="1">
      <alignment horizontal="center" wrapText="1"/>
    </xf>
    <xf numFmtId="0" fontId="12" fillId="8" borderId="0" xfId="0" applyFont="1" applyFill="1" applyAlignment="1">
      <alignment horizontal="center"/>
    </xf>
    <xf numFmtId="0" fontId="28" fillId="10" borderId="0" xfId="0" applyFont="1" applyFill="1" applyAlignment="1">
      <alignment horizontal="center"/>
    </xf>
    <xf numFmtId="0" fontId="34" fillId="21" borderId="0" xfId="0" applyFont="1" applyFill="1" applyAlignment="1">
      <alignment horizontal="center"/>
    </xf>
    <xf numFmtId="0" fontId="65" fillId="20" borderId="0" xfId="0" applyFont="1" applyFill="1" applyAlignment="1">
      <alignment horizontal="center"/>
    </xf>
    <xf numFmtId="0" fontId="64" fillId="20" borderId="0" xfId="0" applyFont="1" applyFill="1" applyAlignment="1">
      <alignment horizontal="center" wrapText="1"/>
    </xf>
    <xf numFmtId="0" fontId="5" fillId="8" borderId="0" xfId="0" applyFont="1" applyFill="1" applyAlignment="1">
      <alignment horizontal="center" vertical="center"/>
    </xf>
    <xf numFmtId="0" fontId="3" fillId="9" borderId="0" xfId="0" applyFont="1" applyFill="1" applyAlignment="1">
      <alignment horizontal="center" vertical="center" wrapText="1"/>
    </xf>
    <xf numFmtId="0" fontId="4" fillId="8" borderId="0" xfId="0" applyFont="1" applyFill="1" applyAlignment="1">
      <alignment horizontal="center" vertical="center"/>
    </xf>
    <xf numFmtId="0" fontId="5" fillId="8" borderId="0" xfId="0" applyFont="1" applyFill="1" applyAlignment="1">
      <alignment horizontal="center" vertical="center" wrapText="1"/>
    </xf>
    <xf numFmtId="0" fontId="5" fillId="8" borderId="0" xfId="0" applyFont="1" applyFill="1" applyAlignment="1">
      <alignment horizontal="center"/>
    </xf>
    <xf numFmtId="0" fontId="18" fillId="14" borderId="0" xfId="0" applyFont="1" applyFill="1" applyAlignment="1">
      <alignment wrapText="1"/>
    </xf>
    <xf numFmtId="0" fontId="17" fillId="0" borderId="0" xfId="0" applyFont="1" applyAlignment="1">
      <alignment horizontal="center" wrapText="1"/>
    </xf>
    <xf numFmtId="0" fontId="6" fillId="20" borderId="0" xfId="0" applyFont="1" applyFill="1" applyAlignment="1">
      <alignment horizontal="center"/>
    </xf>
    <xf numFmtId="0" fontId="27" fillId="20" borderId="0" xfId="0" applyFont="1" applyFill="1" applyAlignment="1">
      <alignment horizontal="center"/>
    </xf>
    <xf numFmtId="0" fontId="84" fillId="24" borderId="36" xfId="0" applyFont="1" applyFill="1" applyBorder="1" applyAlignment="1">
      <alignment horizontal="center" vertical="center" wrapText="1"/>
    </xf>
    <xf numFmtId="0" fontId="84" fillId="24" borderId="37" xfId="0" applyFont="1" applyFill="1" applyBorder="1" applyAlignment="1">
      <alignment horizontal="center" vertical="center" wrapText="1"/>
    </xf>
    <xf numFmtId="0" fontId="80" fillId="0" borderId="5" xfId="0" applyFont="1" applyBorder="1" applyAlignment="1">
      <alignment horizontal="center" vertical="center" wrapText="1"/>
    </xf>
    <xf numFmtId="0" fontId="0" fillId="0" borderId="5" xfId="0" applyBorder="1" applyAlignment="1">
      <alignment horizontal="center" vertical="center" wrapText="1"/>
    </xf>
    <xf numFmtId="0" fontId="83" fillId="0" borderId="5" xfId="0" applyFont="1" applyBorder="1" applyAlignment="1">
      <alignment horizontal="center" vertical="center" wrapText="1"/>
    </xf>
    <xf numFmtId="0" fontId="22" fillId="6" borderId="8" xfId="0" applyFont="1" applyFill="1" applyBorder="1" applyAlignment="1">
      <alignment horizontal="center" vertical="center" wrapText="1"/>
    </xf>
    <xf numFmtId="0" fontId="17" fillId="0" borderId="5" xfId="0" applyFont="1" applyBorder="1" applyAlignment="1">
      <alignment horizontal="center" vertical="center" wrapText="1"/>
    </xf>
    <xf numFmtId="0" fontId="17" fillId="0" borderId="0" xfId="0" applyFont="1" applyAlignment="1">
      <alignment wrapText="1"/>
    </xf>
    <xf numFmtId="0" fontId="17" fillId="0" borderId="28" xfId="0" applyFont="1" applyBorder="1" applyAlignment="1">
      <alignment horizontal="center" vertical="center" wrapText="1"/>
    </xf>
    <xf numFmtId="0" fontId="79" fillId="36" borderId="0" xfId="0" applyFont="1" applyFill="1" applyAlignment="1">
      <alignment horizontal="center" wrapText="1"/>
    </xf>
    <xf numFmtId="0" fontId="67" fillId="23" borderId="0" xfId="0" applyFont="1" applyFill="1" applyAlignment="1">
      <alignment horizontal="center" wrapText="1"/>
    </xf>
    <xf numFmtId="0" fontId="68" fillId="23" borderId="0" xfId="0" applyFont="1" applyFill="1" applyAlignment="1">
      <alignment horizontal="center" wrapText="1"/>
    </xf>
    <xf numFmtId="0" fontId="78" fillId="34" borderId="0" xfId="0" applyFont="1" applyFill="1" applyAlignment="1">
      <alignment horizontal="center" vertical="center"/>
    </xf>
    <xf numFmtId="0" fontId="79" fillId="34" borderId="0" xfId="0" applyFont="1" applyFill="1" applyAlignment="1">
      <alignment horizontal="center"/>
    </xf>
    <xf numFmtId="0" fontId="68" fillId="0" borderId="0" xfId="0" applyFont="1" applyAlignment="1">
      <alignment horizontal="center"/>
    </xf>
    <xf numFmtId="0" fontId="68" fillId="0" borderId="0" xfId="0" applyFont="1" applyAlignment="1">
      <alignment horizontal="center" vertical="center"/>
    </xf>
    <xf numFmtId="0" fontId="71" fillId="34" borderId="0" xfId="0" applyFont="1" applyFill="1" applyAlignment="1">
      <alignment horizontal="center" vertical="center"/>
    </xf>
    <xf numFmtId="0" fontId="72" fillId="34" borderId="0" xfId="0" applyFont="1" applyFill="1" applyAlignment="1">
      <alignment horizontal="center" vertical="center"/>
    </xf>
    <xf numFmtId="0" fontId="11" fillId="36" borderId="0" xfId="0" applyFont="1" applyFill="1" applyAlignment="1">
      <alignment horizontal="center"/>
    </xf>
    <xf numFmtId="0" fontId="68" fillId="36" borderId="0" xfId="0" applyFont="1" applyFill="1" applyAlignment="1">
      <alignment horizontal="center"/>
    </xf>
    <xf numFmtId="0" fontId="68" fillId="0" borderId="0" xfId="0" applyFont="1" applyAlignment="1">
      <alignment horizontal="center" wrapText="1"/>
    </xf>
    <xf numFmtId="0" fontId="75" fillId="28" borderId="0" xfId="0" applyFont="1" applyFill="1" applyAlignment="1">
      <alignment horizontal="center" vertical="center" wrapText="1"/>
    </xf>
    <xf numFmtId="0" fontId="69" fillId="24" borderId="0" xfId="0" applyFont="1" applyFill="1" applyAlignment="1">
      <alignment horizontal="center" vertical="center"/>
    </xf>
    <xf numFmtId="0" fontId="70" fillId="24" borderId="0" xfId="0" applyFont="1" applyFill="1" applyAlignment="1">
      <alignment horizontal="center" vertical="center"/>
    </xf>
    <xf numFmtId="0" fontId="75" fillId="0" borderId="33" xfId="0" applyFont="1" applyBorder="1" applyAlignment="1">
      <alignment horizontal="center"/>
    </xf>
    <xf numFmtId="0" fontId="70" fillId="9" borderId="33" xfId="0" applyFont="1" applyFill="1" applyBorder="1" applyAlignment="1">
      <alignment horizontal="center"/>
    </xf>
    <xf numFmtId="2" fontId="70" fillId="9" borderId="33" xfId="0" applyNumberFormat="1" applyFont="1" applyFill="1" applyBorder="1" applyAlignment="1">
      <alignment horizontal="center" wrapText="1"/>
    </xf>
    <xf numFmtId="2" fontId="70" fillId="9" borderId="33" xfId="0" applyNumberFormat="1" applyFont="1" applyFill="1" applyBorder="1" applyAlignment="1">
      <alignment horizontal="center"/>
    </xf>
    <xf numFmtId="2" fontId="75" fillId="0" borderId="33" xfId="0" applyNumberFormat="1" applyFont="1" applyBorder="1" applyAlignment="1">
      <alignment horizontal="center"/>
    </xf>
    <xf numFmtId="0" fontId="75" fillId="0" borderId="29" xfId="0" applyFont="1" applyBorder="1" applyAlignment="1">
      <alignment horizontal="center"/>
    </xf>
    <xf numFmtId="0" fontId="75" fillId="0" borderId="30" xfId="0" applyFont="1" applyBorder="1" applyAlignment="1">
      <alignment horizontal="center"/>
    </xf>
    <xf numFmtId="2" fontId="75" fillId="0" borderId="29" xfId="0" applyNumberFormat="1" applyFont="1" applyBorder="1" applyAlignment="1">
      <alignment horizontal="center"/>
    </xf>
    <xf numFmtId="2" fontId="75" fillId="0" borderId="30" xfId="0" applyNumberFormat="1" applyFont="1" applyBorder="1" applyAlignment="1">
      <alignment horizontal="center"/>
    </xf>
    <xf numFmtId="0" fontId="75" fillId="0" borderId="33" xfId="0" applyFont="1" applyBorder="1" applyAlignment="1">
      <alignment horizontal="center" vertical="center" wrapText="1"/>
    </xf>
    <xf numFmtId="0" fontId="66" fillId="0" borderId="0" xfId="0" applyFont="1"/>
    <xf numFmtId="0" fontId="70" fillId="4" borderId="34" xfId="0" applyFont="1" applyFill="1" applyBorder="1" applyAlignment="1">
      <alignment horizontal="center" vertical="center" wrapText="1"/>
    </xf>
    <xf numFmtId="0" fontId="70" fillId="4" borderId="0" xfId="0" applyFont="1" applyFill="1" applyAlignment="1">
      <alignment horizontal="center" vertical="center" wrapText="1"/>
    </xf>
    <xf numFmtId="0" fontId="74" fillId="28" borderId="0" xfId="0" applyFont="1" applyFill="1" applyAlignment="1">
      <alignment horizontal="center" vertical="center" wrapText="1"/>
    </xf>
    <xf numFmtId="0" fontId="70" fillId="28" borderId="0" xfId="0" applyFont="1" applyFill="1" applyAlignment="1">
      <alignment horizontal="center" vertical="center" wrapText="1"/>
    </xf>
    <xf numFmtId="0" fontId="73" fillId="33" borderId="0" xfId="0" applyFont="1" applyFill="1" applyAlignment="1">
      <alignment horizontal="center" vertical="center" wrapText="1"/>
    </xf>
    <xf numFmtId="0" fontId="55" fillId="33" borderId="0" xfId="0" applyFont="1" applyFill="1" applyAlignment="1">
      <alignment horizontal="center" vertical="center" wrapText="1"/>
    </xf>
    <xf numFmtId="0" fontId="73" fillId="37" borderId="6" xfId="0" applyFont="1" applyFill="1" applyBorder="1" applyAlignment="1">
      <alignment horizontal="center" vertical="center" wrapText="1"/>
    </xf>
    <xf numFmtId="0" fontId="73" fillId="37" borderId="42" xfId="0" applyFont="1" applyFill="1" applyBorder="1" applyAlignment="1">
      <alignment horizontal="center" vertical="center" wrapText="1"/>
    </xf>
    <xf numFmtId="0" fontId="55" fillId="37" borderId="47" xfId="0" applyFont="1" applyFill="1" applyBorder="1" applyAlignment="1">
      <alignment horizontal="center" vertical="center" wrapText="1"/>
    </xf>
    <xf numFmtId="0" fontId="55" fillId="37" borderId="48" xfId="0" applyFont="1" applyFill="1" applyBorder="1" applyAlignment="1">
      <alignment horizontal="center" vertical="center" wrapText="1"/>
    </xf>
    <xf numFmtId="0" fontId="55" fillId="37" borderId="45" xfId="0" applyFont="1" applyFill="1" applyBorder="1" applyAlignment="1">
      <alignment horizontal="center" vertical="center" wrapText="1"/>
    </xf>
    <xf numFmtId="0" fontId="55" fillId="37" borderId="46" xfId="0" applyFont="1" applyFill="1" applyBorder="1" applyAlignment="1">
      <alignment horizontal="center" vertical="center" wrapText="1"/>
    </xf>
    <xf numFmtId="0" fontId="55" fillId="37" borderId="43" xfId="0" applyFont="1" applyFill="1" applyBorder="1" applyAlignment="1">
      <alignment horizontal="center" vertical="center" wrapText="1"/>
    </xf>
    <xf numFmtId="0" fontId="55" fillId="37" borderId="44" xfId="0" applyFont="1" applyFill="1" applyBorder="1" applyAlignment="1">
      <alignment horizontal="center" vertical="center" wrapText="1"/>
    </xf>
    <xf numFmtId="0" fontId="85" fillId="28" borderId="0" xfId="0" applyFont="1" applyFill="1" applyAlignment="1">
      <alignment horizontal="center" vertical="center" wrapText="1"/>
    </xf>
    <xf numFmtId="0" fontId="76" fillId="0" borderId="33" xfId="1" applyFont="1" applyBorder="1" applyAlignment="1">
      <alignment horizontal="right"/>
    </xf>
    <xf numFmtId="0" fontId="75" fillId="6" borderId="33" xfId="0" applyFont="1" applyFill="1" applyBorder="1" applyAlignment="1">
      <alignment horizontal="right"/>
    </xf>
    <xf numFmtId="0" fontId="75" fillId="31" borderId="33" xfId="0" applyFont="1" applyFill="1" applyBorder="1" applyAlignment="1">
      <alignment horizontal="right"/>
    </xf>
    <xf numFmtId="0" fontId="76" fillId="0" borderId="33" xfId="1" applyFont="1" applyBorder="1" applyAlignment="1">
      <alignment horizontal="right" wrapText="1"/>
    </xf>
    <xf numFmtId="0" fontId="70" fillId="9" borderId="33" xfId="0" applyFont="1" applyFill="1" applyBorder="1"/>
    <xf numFmtId="0" fontId="91" fillId="0" borderId="33" xfId="1" applyFont="1" applyBorder="1" applyAlignment="1">
      <alignment horizontal="right" wrapText="1"/>
    </xf>
    <xf numFmtId="0" fontId="91" fillId="0" borderId="33" xfId="1" applyFont="1" applyBorder="1" applyAlignment="1">
      <alignment horizontal="right"/>
    </xf>
    <xf numFmtId="0" fontId="70" fillId="31" borderId="33" xfId="0" applyFont="1" applyFill="1" applyBorder="1" applyAlignment="1">
      <alignment horizontal="right"/>
    </xf>
    <xf numFmtId="0" fontId="75" fillId="0" borderId="0" xfId="0" applyFont="1"/>
    <xf numFmtId="0" fontId="11" fillId="4" borderId="0" xfId="0" applyFont="1" applyFill="1" applyAlignment="1">
      <alignment horizontal="center" wrapText="1"/>
    </xf>
    <xf numFmtId="0" fontId="68" fillId="39" borderId="0" xfId="0" applyFont="1" applyFill="1" applyAlignment="1">
      <alignment horizontal="center"/>
    </xf>
    <xf numFmtId="0" fontId="67" fillId="39" borderId="0" xfId="0" applyFont="1" applyFill="1" applyAlignment="1">
      <alignment horizontal="center"/>
    </xf>
    <xf numFmtId="0" fontId="68" fillId="38" borderId="0" xfId="0" applyFont="1" applyFill="1" applyAlignment="1">
      <alignment horizontal="center"/>
    </xf>
    <xf numFmtId="0" fontId="57" fillId="38" borderId="0" xfId="1" applyFill="1" applyAlignment="1">
      <alignment horizontal="center" wrapText="1"/>
    </xf>
    <xf numFmtId="0" fontId="68" fillId="38" borderId="0" xfId="0" applyFont="1" applyFill="1" applyAlignment="1">
      <alignment horizontal="center" wrapText="1"/>
    </xf>
    <xf numFmtId="0" fontId="57" fillId="38" borderId="0" xfId="1" applyFill="1" applyAlignment="1">
      <alignment horizontal="center"/>
    </xf>
    <xf numFmtId="0" fontId="92" fillId="2" borderId="0" xfId="0" applyFont="1" applyFill="1" applyAlignment="1">
      <alignment horizontal="center"/>
    </xf>
    <xf numFmtId="0" fontId="93" fillId="3" borderId="0" xfId="0" applyFont="1" applyFill="1" applyAlignment="1">
      <alignment horizontal="center"/>
    </xf>
    <xf numFmtId="0" fontId="94" fillId="9" borderId="0" xfId="0" applyFont="1" applyFill="1" applyAlignment="1">
      <alignment horizontal="center"/>
    </xf>
    <xf numFmtId="0" fontId="95" fillId="9" borderId="0" xfId="0" applyFont="1" applyFill="1" applyAlignment="1">
      <alignment horizontal="center"/>
    </xf>
  </cellXfs>
  <cellStyles count="2">
    <cellStyle name="Hyperlink" xfId="1" builtinId="8"/>
    <cellStyle name="Normal" xfId="0" builtinId="0"/>
  </cellStyles>
  <dxfs count="46">
    <dxf>
      <font>
        <b val="0"/>
        <i val="0"/>
        <strike val="0"/>
        <condense val="0"/>
        <extend val="0"/>
        <outline val="0"/>
        <shadow val="0"/>
        <u val="none"/>
        <vertAlign val="baseline"/>
        <sz val="11"/>
        <color rgb="FF000000"/>
        <name val="Verdana"/>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Verdana"/>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Verdana"/>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Verdana"/>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0"/>
        <name val="Verdana"/>
        <scheme val="none"/>
      </font>
      <fill>
        <patternFill patternType="none">
          <fgColor indexed="64"/>
          <bgColor indexed="65"/>
        </patternFill>
      </fill>
      <alignment horizontal="general" vertical="bottom" textRotation="0" wrapText="0" indent="0" justifyLastLine="0" shrinkToFit="0" readingOrder="0"/>
    </dxf>
    <dxf>
      <font>
        <name val="Verdana"/>
      </font>
    </dxf>
    <dxf>
      <font>
        <b val="0"/>
        <i val="0"/>
        <strike val="0"/>
        <condense val="0"/>
        <extend val="0"/>
        <outline val="0"/>
        <shadow val="0"/>
        <u val="none"/>
        <vertAlign val="baseline"/>
        <sz val="11"/>
        <color rgb="FF000000"/>
        <name val="Verdana"/>
        <scheme val="none"/>
      </font>
      <numFmt numFmtId="0" formatCode="General"/>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Verdana"/>
        <scheme val="none"/>
      </font>
      <fill>
        <patternFill patternType="none">
          <fgColor indexed="64"/>
          <bgColor indexed="65"/>
        </patternFill>
      </fill>
      <alignment horizontal="general" vertical="bottom" textRotation="0" wrapText="0" indent="0" justifyLastLine="0" shrinkToFit="0" readingOrder="0"/>
    </dxf>
    <dxf>
      <font>
        <name val="Verdana"/>
      </font>
    </dxf>
    <dxf>
      <font>
        <b val="0"/>
        <i val="0"/>
        <strike val="0"/>
        <condense val="0"/>
        <extend val="0"/>
        <outline val="0"/>
        <shadow val="0"/>
        <u val="none"/>
        <vertAlign val="baseline"/>
        <sz val="11"/>
        <color rgb="FF000000"/>
        <name val="Verdana"/>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Verdana"/>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0"/>
        <name val="Verdana"/>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Verdana"/>
        <scheme val="none"/>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00"/>
        <name val="Verdana"/>
        <scheme val="none"/>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00"/>
        <name val="Verdana"/>
        <scheme val="none"/>
      </font>
      <fill>
        <patternFill patternType="none">
          <fgColor indexed="64"/>
          <bgColor indexed="65"/>
        </patternFill>
      </fill>
      <alignment horizontal="center" vertical="bottom" textRotation="0" wrapText="0" indent="0" justifyLastLine="0" shrinkToFit="0" readingOrder="0"/>
    </dxf>
    <dxf>
      <font>
        <name val="Verdana"/>
      </font>
      <alignment horizontal="center" vertical="bottom" textRotation="0" wrapText="0" indent="0" justifyLastLine="0" shrinkToFit="0" readingOrder="0"/>
    </dxf>
    <dxf>
      <font>
        <b val="0"/>
        <i val="0"/>
        <strike val="0"/>
        <condense val="0"/>
        <extend val="0"/>
        <outline val="0"/>
        <shadow val="0"/>
        <u val="none"/>
        <vertAlign val="baseline"/>
        <sz val="11"/>
        <color rgb="FF000000"/>
        <name val="Verdana"/>
        <scheme val="none"/>
      </font>
      <fill>
        <patternFill patternType="none">
          <fgColor indexed="64"/>
          <bgColor indexed="65"/>
        </patternFill>
      </fill>
      <alignment horizontal="center" vertical="bottom" textRotation="0" wrapText="0" indent="0" justifyLastLine="0" shrinkToFit="0" readingOrder="0"/>
    </dxf>
    <dxf>
      <font>
        <name val="Verdana"/>
      </font>
      <alignment horizontal="center" vertical="bottom" textRotation="0" wrapText="0" indent="0" justifyLastLine="0" shrinkToFit="0" readingOrder="0"/>
    </dxf>
    <dxf>
      <font>
        <b val="0"/>
        <i val="0"/>
        <strike val="0"/>
        <condense val="0"/>
        <extend val="0"/>
        <outline val="0"/>
        <shadow val="0"/>
        <u val="none"/>
        <vertAlign val="baseline"/>
        <sz val="11"/>
        <color rgb="FF000000"/>
        <name val="Verdana"/>
        <scheme val="none"/>
      </font>
      <numFmt numFmtId="165" formatCode="0.0000"/>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Verdana"/>
        <scheme val="none"/>
      </font>
      <numFmt numFmtId="165" formatCode="0.0000"/>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Verdana"/>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Verdana"/>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Verdana"/>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Verdana"/>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Verdana"/>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Verdana"/>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0"/>
        <name val="Verdana"/>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Verdana"/>
        <family val="2"/>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2"/>
        <color theme="1"/>
        <name val="Verdana"/>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Verdana"/>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Verdana"/>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Verdana"/>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Verdana"/>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0"/>
        <color theme="1"/>
        <name val="Arial"/>
        <charset val="1"/>
        <scheme val="none"/>
      </font>
      <alignment horizontal="general" vertical="bottom" textRotation="0" wrapText="0" indent="0" justifyLastLine="0" shrinkToFit="0" readingOrder="1"/>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theme="1"/>
        <name val="Arial"/>
        <charset val="1"/>
        <scheme val="none"/>
      </font>
      <alignment horizontal="general" vertical="bottom" textRotation="0" wrapText="0" indent="0" justifyLastLine="0" shrinkToFit="0" readingOrder="1"/>
      <border diagonalUp="0" diagonalDown="0">
        <left/>
        <right style="thin">
          <color rgb="FFCCCCCC"/>
        </right>
        <top style="thin">
          <color rgb="FFCCCCCC"/>
        </top>
        <bottom style="thin">
          <color rgb="FFCCCCCC"/>
        </bottom>
        <vertical/>
        <horizontal/>
      </border>
    </dxf>
    <dxf>
      <border outline="0">
        <top style="thin">
          <color rgb="FFCCCCCC"/>
        </top>
      </border>
    </dxf>
    <dxf>
      <border outline="0">
        <left style="thin">
          <color rgb="FF000000"/>
        </left>
        <right style="thin">
          <color rgb="FF000000"/>
        </right>
        <top style="thin">
          <color rgb="FF000000"/>
        </top>
        <bottom style="thin">
          <color rgb="FF000000"/>
        </bottom>
      </border>
    </dxf>
    <dxf>
      <border outline="0">
        <bottom style="thin">
          <color rgb="FFCCCCCC"/>
        </bottom>
      </border>
    </dxf>
    <dxf>
      <font>
        <b val="0"/>
        <i val="0"/>
        <strike val="0"/>
        <condense val="0"/>
        <extend val="0"/>
        <outline val="0"/>
        <shadow val="0"/>
        <u val="none"/>
        <vertAlign val="baseline"/>
        <sz val="10"/>
        <color theme="1"/>
        <name val="Arial"/>
        <charset val="1"/>
        <scheme val="none"/>
      </font>
      <alignment horizontal="center" vertical="bottom" textRotation="0" wrapText="0" indent="0" justifyLastLine="0" shrinkToFit="0" readingOrder="1"/>
      <border diagonalUp="0" diagonalDown="0" outline="0">
        <left style="thin">
          <color rgb="FFCCCCCC"/>
        </left>
        <right style="thin">
          <color rgb="FFCCCCCC"/>
        </right>
        <top/>
        <bottom/>
      </border>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DEBT</a:t>
            </a:r>
            <a:r>
              <a:rPr lang="en-IN" baseline="0"/>
              <a:t> VS EQUITY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tx>
            <c:strRef>
              <c:f>'KPIL - Corporate Finance (C)'!$H$8</c:f>
              <c:strCache>
                <c:ptCount val="1"/>
                <c:pt idx="0">
                  <c:v>Total Debt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'KPIL - Corporate Finance (C)'!$H$9:$H$11</c:f>
              <c:numCache>
                <c:formatCode>General</c:formatCode>
                <c:ptCount val="3"/>
                <c:pt idx="0">
                  <c:v>3786.13</c:v>
                </c:pt>
                <c:pt idx="1">
                  <c:v>4008.2</c:v>
                </c:pt>
                <c:pt idx="2">
                  <c:v>4313.51</c:v>
                </c:pt>
              </c:numCache>
            </c:numRef>
          </c:val>
          <c:extLst>
            <c:ext xmlns:c16="http://schemas.microsoft.com/office/drawing/2014/chart" uri="{C3380CC4-5D6E-409C-BE32-E72D297353CC}">
              <c16:uniqueId val="{00000000-F90A-4DBF-9F6F-2C694A06E50E}"/>
            </c:ext>
          </c:extLst>
        </c:ser>
        <c:ser>
          <c:idx val="1"/>
          <c:order val="1"/>
          <c:tx>
            <c:strRef>
              <c:f>'KPIL - Corporate Finance (C)'!$K$8</c:f>
              <c:strCache>
                <c:ptCount val="1"/>
                <c:pt idx="0">
                  <c:v>Equity</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'KPIL - Corporate Finance (C)'!$K$9:$K$11</c:f>
              <c:numCache>
                <c:formatCode>General</c:formatCode>
                <c:ptCount val="3"/>
                <c:pt idx="0">
                  <c:v>4693.8599999999997</c:v>
                </c:pt>
                <c:pt idx="1">
                  <c:v>5112.8099999999995</c:v>
                </c:pt>
                <c:pt idx="2">
                  <c:v>6468.86</c:v>
                </c:pt>
              </c:numCache>
            </c:numRef>
          </c:val>
          <c:extLst>
            <c:ext xmlns:c16="http://schemas.microsoft.com/office/drawing/2014/chart" uri="{C3380CC4-5D6E-409C-BE32-E72D297353CC}">
              <c16:uniqueId val="{00000001-F90A-4DBF-9F6F-2C694A06E50E}"/>
            </c:ext>
          </c:extLst>
        </c:ser>
        <c:dLbls>
          <c:dLblPos val="outEnd"/>
          <c:showLegendKey val="0"/>
          <c:showVal val="1"/>
          <c:showCatName val="0"/>
          <c:showSerName val="0"/>
          <c:showPercent val="0"/>
          <c:showBubbleSize val="0"/>
        </c:dLbls>
        <c:gapWidth val="219"/>
        <c:overlap val="-27"/>
        <c:axId val="2086418144"/>
        <c:axId val="2086414784"/>
      </c:barChart>
      <c:catAx>
        <c:axId val="20864181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YEAR</a:t>
                </a:r>
              </a:p>
            </c:rich>
          </c:tx>
          <c:layout>
            <c:manualLayout>
              <c:xMode val="edge"/>
              <c:yMode val="edge"/>
              <c:x val="0.45349287510169234"/>
              <c:y val="0.8256621597133320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6414784"/>
        <c:crosses val="autoZero"/>
        <c:auto val="1"/>
        <c:lblAlgn val="ctr"/>
        <c:lblOffset val="100"/>
        <c:noMultiLvlLbl val="0"/>
      </c:catAx>
      <c:valAx>
        <c:axId val="20864147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RUPEES</a:t>
                </a:r>
                <a:r>
                  <a:rPr lang="en-IN" baseline="0"/>
                  <a:t> CRORE</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641814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CFO VS CapEx</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'KPIL - Corporate Finance (C)'!$H$14</c:f>
              <c:strCache>
                <c:ptCount val="1"/>
                <c:pt idx="0">
                  <c:v>CFO</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'KPIL - Corporate Finance (C)'!$H$15:$H$17</c:f>
              <c:numCache>
                <c:formatCode>General</c:formatCode>
                <c:ptCount val="3"/>
                <c:pt idx="0">
                  <c:v>550</c:v>
                </c:pt>
                <c:pt idx="1">
                  <c:v>950</c:v>
                </c:pt>
                <c:pt idx="2" formatCode="#,##0.00">
                  <c:v>1150</c:v>
                </c:pt>
              </c:numCache>
            </c:numRef>
          </c:val>
          <c:smooth val="0"/>
          <c:extLst>
            <c:ext xmlns:c16="http://schemas.microsoft.com/office/drawing/2014/chart" uri="{C3380CC4-5D6E-409C-BE32-E72D297353CC}">
              <c16:uniqueId val="{00000000-80A7-4DA0-AE0F-25FBBC3955A6}"/>
            </c:ext>
          </c:extLst>
        </c:ser>
        <c:ser>
          <c:idx val="1"/>
          <c:order val="1"/>
          <c:tx>
            <c:strRef>
              <c:f>'KPIL - Corporate Finance (C)'!$I$14</c:f>
              <c:strCache>
                <c:ptCount val="1"/>
                <c:pt idx="0">
                  <c:v>CapEx</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'KPIL - Corporate Finance (C)'!$I$15:$I$17</c:f>
              <c:numCache>
                <c:formatCode>General</c:formatCode>
                <c:ptCount val="3"/>
                <c:pt idx="0">
                  <c:v>365.5</c:v>
                </c:pt>
                <c:pt idx="1">
                  <c:v>229.79999999999995</c:v>
                </c:pt>
                <c:pt idx="2">
                  <c:v>530</c:v>
                </c:pt>
              </c:numCache>
            </c:numRef>
          </c:val>
          <c:smooth val="0"/>
          <c:extLst>
            <c:ext xmlns:c16="http://schemas.microsoft.com/office/drawing/2014/chart" uri="{C3380CC4-5D6E-409C-BE32-E72D297353CC}">
              <c16:uniqueId val="{00000001-80A7-4DA0-AE0F-25FBBC3955A6}"/>
            </c:ext>
          </c:extLst>
        </c:ser>
        <c:dLbls>
          <c:dLblPos val="ctr"/>
          <c:showLegendKey val="0"/>
          <c:showVal val="1"/>
          <c:showCatName val="0"/>
          <c:showSerName val="0"/>
          <c:showPercent val="0"/>
          <c:showBubbleSize val="0"/>
        </c:dLbls>
        <c:smooth val="0"/>
        <c:axId val="2074470320"/>
        <c:axId val="2074469840"/>
      </c:lineChart>
      <c:catAx>
        <c:axId val="20744703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YEAR</a:t>
                </a:r>
              </a:p>
            </c:rich>
          </c:tx>
          <c:layout>
            <c:manualLayout>
              <c:xMode val="edge"/>
              <c:yMode val="edge"/>
              <c:x val="0.49760041731872717"/>
              <c:y val="0.8080878779041508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4469840"/>
        <c:crosses val="autoZero"/>
        <c:auto val="1"/>
        <c:lblAlgn val="ctr"/>
        <c:lblOffset val="100"/>
        <c:noMultiLvlLbl val="0"/>
      </c:catAx>
      <c:valAx>
        <c:axId val="20744698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RUPEES CRORE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447032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419100</xdr:colOff>
      <xdr:row>26</xdr:row>
      <xdr:rowOff>30480</xdr:rowOff>
    </xdr:from>
    <xdr:to>
      <xdr:col>12</xdr:col>
      <xdr:colOff>358140</xdr:colOff>
      <xdr:row>40</xdr:row>
      <xdr:rowOff>160020</xdr:rowOff>
    </xdr:to>
    <xdr:graphicFrame macro="">
      <xdr:nvGraphicFramePr>
        <xdr:cNvPr id="7" name="Chart 6">
          <a:extLst>
            <a:ext uri="{FF2B5EF4-FFF2-40B4-BE49-F238E27FC236}">
              <a16:creationId xmlns:a16="http://schemas.microsoft.com/office/drawing/2014/main" id="{34721BAE-9E52-B7AA-DB5D-D8E70DF0A0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411480</xdr:colOff>
      <xdr:row>41</xdr:row>
      <xdr:rowOff>304800</xdr:rowOff>
    </xdr:from>
    <xdr:to>
      <xdr:col>12</xdr:col>
      <xdr:colOff>373380</xdr:colOff>
      <xdr:row>50</xdr:row>
      <xdr:rowOff>186690</xdr:rowOff>
    </xdr:to>
    <xdr:graphicFrame macro="">
      <xdr:nvGraphicFramePr>
        <xdr:cNvPr id="8" name="Chart 7">
          <a:extLst>
            <a:ext uri="{FF2B5EF4-FFF2-40B4-BE49-F238E27FC236}">
              <a16:creationId xmlns:a16="http://schemas.microsoft.com/office/drawing/2014/main" id="{CC59FA79-52CA-38B6-65F1-EFD4799970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97FBF48-DCDC-4678-8514-A7069011862A}" name="Table3" displayName="Table3" ref="B5:F155" totalsRowShown="0" headerRowDxfId="45" dataDxfId="44">
  <autoFilter ref="B5:F155" xr:uid="{997FBF48-DCDC-4678-8514-A7069011862A}"/>
  <tableColumns count="5">
    <tableColumn id="1" xr3:uid="{87A4ADFF-944B-401A-8BC6-9A8F1473F0CC}" name="Date" dataDxfId="43"/>
    <tableColumn id="2" xr3:uid="{FA1B0153-4938-4F43-8F38-2546037BD912}" name="NIFTY_Close" dataDxfId="42"/>
    <tableColumn id="3" xr3:uid="{FF38DCE3-F48A-4F23-84B6-E5DD5C737AD5}" name="NTPC_Close" dataDxfId="41"/>
    <tableColumn id="4" xr3:uid="{83A0F0A3-B5B6-41C4-9228-5B7D46210562}" name="NIFTY_Return" dataDxfId="40"/>
    <tableColumn id="5" xr3:uid="{C025D59D-51C9-4223-999B-C81F0CFE6D95}" name="NTPC_Return" dataDxfId="39"/>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D952621-63AF-4BB4-B3CF-1EAB27ECE3C2}" name="Table4" displayName="Table4" ref="B2:C9" totalsRowShown="0" headerRowDxfId="38" headerRowBorderDxfId="37" tableBorderDxfId="36" totalsRowBorderDxfId="35">
  <autoFilter ref="B2:C9" xr:uid="{0D952621-63AF-4BB4-B3CF-1EAB27ECE3C2}"/>
  <tableColumns count="2">
    <tableColumn id="1" xr3:uid="{2789BBCF-E8A0-404F-BE5F-90F8317159DB}" name="A (Metric)" dataDxfId="34"/>
    <tableColumn id="2" xr3:uid="{8FBA4916-6715-4E71-9FA2-9287784DBE2C}" name="B (Value)" dataDxfId="33"/>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4E9BA49-3CE9-4D3B-8EA4-C54326FD7268}" name="Table1" displayName="Table1" ref="B8:E11" totalsRowShown="0" headerRowDxfId="32" dataDxfId="31">
  <autoFilter ref="B8:E11" xr:uid="{44E9BA49-3CE9-4D3B-8EA4-C54326FD7268}"/>
  <tableColumns count="4">
    <tableColumn id="1" xr3:uid="{243071AB-34F1-4F63-A3A6-10CBFAC38EED}" name="YEAR" dataDxfId="30"/>
    <tableColumn id="2" xr3:uid="{0024A7E7-A6DE-49FA-9208-369A8417DF02}" name="CURRENT ASSETS (IN CR)" dataDxfId="29"/>
    <tableColumn id="3" xr3:uid="{89F49EEF-5687-4FF0-BF35-5FA8891F4209}" name="CURRENT LIABILITIES (IN CR)" dataDxfId="28"/>
    <tableColumn id="4" xr3:uid="{0B4910AD-35C3-40C8-BFC2-D8CDA918827D}" name="NET WORKING CAPITAL (IN CR)" dataDxfId="27">
      <calculatedColumnFormula>Table1[[#This Row],[CURRENT ASSETS (IN CR)]]-Table1[[#This Row],[CURRENT LIABILITIES (IN CR)]]</calculatedColumnFormula>
    </tableColumn>
  </tableColumns>
  <tableStyleInfo name="TableStyleMedium15"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2D5744C-B741-47B8-963C-7ECF7EABA37D}" name="Table2" displayName="Table2" ref="G8:M11" totalsRowShown="0" headerRowDxfId="26" dataDxfId="25">
  <autoFilter ref="G8:M11" xr:uid="{52D5744C-B741-47B8-963C-7ECF7EABA37D}"/>
  <tableColumns count="7">
    <tableColumn id="1" xr3:uid="{41297DED-C331-44F0-AE76-0C084F423A86}" name="Year" dataDxfId="24"/>
    <tableColumn id="2" xr3:uid="{5860F0B5-F863-4BF6-8673-285B606BA1F8}" name="Total Debt" dataDxfId="23"/>
    <tableColumn id="3" xr3:uid="{2DEC4B95-3A2E-460B-8930-8F35BA63BD99}" name="Cash" dataDxfId="22"/>
    <tableColumn id="4" xr3:uid="{4472B250-2FBE-4C06-AA4A-435721A1B26F}" name="Net Debt" dataDxfId="21">
      <calculatedColumnFormula>H9-I9</calculatedColumnFormula>
    </tableColumn>
    <tableColumn id="5" xr3:uid="{31B1ACE7-04C0-42E2-83E9-196FCCC67BA8}" name="Equity" dataDxfId="20"/>
    <tableColumn id="6" xr3:uid="{65CC7775-137D-46CB-8B5D-AACAF1FE1EAA}" name="Debt/Equity" dataDxfId="19">
      <calculatedColumnFormula>H9/K9</calculatedColumnFormula>
    </tableColumn>
    <tableColumn id="7" xr3:uid="{E505B4EB-0686-4944-B45E-7637907CAA4F}" name="Debt/Capital" dataDxfId="18">
      <calculatedColumnFormula>H9/(H9+K9)</calculatedColumnFormula>
    </tableColumn>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E2B7BF4-9400-4232-A989-A634C2C27F14}" name="Table5" displayName="Table5" ref="B8:E20" totalsRowShown="0" headerRowDxfId="17" dataDxfId="16">
  <autoFilter ref="B8:E20" xr:uid="{6E2B7BF4-9400-4232-A989-A634C2C27F14}"/>
  <tableColumns count="4">
    <tableColumn id="1" xr3:uid="{DBB44022-C23F-4354-9C7A-C5C403A3B965}" name="Quarter" dataDxfId="15"/>
    <tableColumn id="3" xr3:uid="{981B26C5-273E-4F06-BC0C-A823BB7A4DE7}" name="Revenue" dataDxfId="14"/>
    <tableColumn id="5" xr3:uid="{7B1DF6E7-59C6-4C62-834C-AD0805B03604}" name="Ebitda" dataDxfId="13"/>
    <tableColumn id="7" xr3:uid="{D1C9C1B4-4792-4C63-B49E-E19C16143A36}" name="Net Profit" dataDxfId="12"/>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DF6E634-E63E-4687-9478-FC15387E1FCA}" name="Table6" displayName="Table6" ref="G14:K17" totalsRowShown="0" headerRowDxfId="11" dataDxfId="10">
  <autoFilter ref="G14:K17" xr:uid="{2DF6E634-E63E-4687-9478-FC15387E1FCA}"/>
  <tableColumns count="5">
    <tableColumn id="1" xr3:uid="{9232AE0E-41F5-4AEB-98C7-94E7E0BFC5C5}" name="Year" dataDxfId="9"/>
    <tableColumn id="2" xr3:uid="{441571CC-4D61-4F94-A1E5-515F84681493}" name="CFO" dataDxfId="8"/>
    <tableColumn id="3" xr3:uid="{75B3643A-1729-4755-8F2D-F0603B5D109D}" name="CapEx" dataDxfId="7"/>
    <tableColumn id="4" xr3:uid="{D89CAE10-2258-4729-BBEB-8BB7B95BB3E2}" name="CFO/CapEx" dataDxfId="6">
      <calculatedColumnFormula>H15/I15</calculatedColumnFormula>
    </tableColumn>
    <tableColumn id="5" xr3:uid="{C5FA1897-A0D2-42B3-83B3-EFBD3FF4E72D}" name="Free Cash Flow" dataDxfId="5">
      <calculatedColumnFormula>H15-I15</calculatedColumnFormula>
    </tableColumn>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81C440C-04BA-41D2-93C1-46FB8BC93D65}" name="Table7" displayName="Table7" ref="G21:I24" totalsRowShown="0" headerRowDxfId="4" dataDxfId="3">
  <autoFilter ref="G21:I24" xr:uid="{E81C440C-04BA-41D2-93C1-46FB8BC93D65}"/>
  <tableColumns count="3">
    <tableColumn id="1" xr3:uid="{BFFDB871-8E1B-4018-8CEA-C17D87CD9883}" name="Year" dataDxfId="2"/>
    <tableColumn id="2" xr3:uid="{9D9B0378-AB5A-4F15-B573-56074C002FE8}" name="CapEx" dataDxfId="1">
      <calculatedColumnFormula>I15</calculatedColumnFormula>
    </tableColumn>
    <tableColumn id="3" xr3:uid="{0B6092B7-16F3-46AE-A6D9-C17827D518E0}" name="Change in Debt" dataDxfId="0">
      <calculatedColumnFormula>H9-H8</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3" Type="http://schemas.microsoft.com/office/2011/relationships/webextension" Target="webextension3.xml"/><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2">
    <wetp:webextensionref xmlns:r="http://schemas.openxmlformats.org/officeDocument/2006/relationships" r:id="rId1"/>
  </wetp:taskpane>
  <wetp:taskpane dockstate="right" visibility="0" width="438" row="3">
    <wetp:webextensionref xmlns:r="http://schemas.openxmlformats.org/officeDocument/2006/relationships" r:id="rId2"/>
  </wetp:taskpane>
  <wetp:taskpane dockstate="right" visibility="0" width="350" row="0">
    <wetp:webextensionref xmlns:r="http://schemas.openxmlformats.org/officeDocument/2006/relationships" r:id="rId3"/>
  </wetp:taskpane>
</wetp:taskpanes>
</file>

<file path=xl/webextensions/webextension1.xml><?xml version="1.0" encoding="utf-8"?>
<we:webextension xmlns:we="http://schemas.microsoft.com/office/webextensions/webextension/2010/11" id="{72302BDB-484C-42A4-A242-7D43CBE57EA3}">
  <we:reference id="wa200009404" version="1.0.0.8" store="en-US" storeType="OMEX"/>
  <we:alternateReferences>
    <we:reference id="wa200009404" version="1.0.0.8" store="wa200009404" storeType="OMEX"/>
  </we:alternateReferences>
  <we:properties>
    <we:property name="claude.fileId" value="&quot;0c54f1bb-4542-460b-b35c-89af26aec60c&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ebextensions/webextension2.xml><?xml version="1.0" encoding="utf-8"?>
<we:webextension xmlns:we="http://schemas.microsoft.com/office/webextensions/webextension/2010/11" id="{157F1AB8-F48D-46CC-A4F9-A36A12480F1F}">
  <we:reference id="wa200010215" version="1.0.0.0" store="en-US" storeType="OMEX"/>
  <we:alternateReferences>
    <we:reference id="wa200010215" version="1.0.0.0" store="wa200010215" storeType="OMEX"/>
  </we:alternateReferences>
  <we:properties/>
  <we:bindings/>
  <we:snapshot xmlns:r="http://schemas.openxmlformats.org/officeDocument/2006/relationships"/>
  <we:extLst>
    <a:ext xmlns:a="http://schemas.openxmlformats.org/drawingml/2006/main" uri="{D87F86FE-615C-45B5-9D79-34F1136793EB}">
      <we:containsCustomFunctions/>
    </a:ext>
  </we:extLst>
</we:webextension>
</file>

<file path=xl/webextensions/webextension3.xml><?xml version="1.0" encoding="utf-8"?>
<we:webextension xmlns:we="http://schemas.microsoft.com/office/webextensions/webextension/2010/11" id="{FCB0317A-7237-4564-9A8F-1048BA4FADE8}">
  <we:reference id="wa200005502" version="1.0.0.11" store="en-US" storeType="omex"/>
  <we:alternateReferences>
    <we:reference id="wa200005502" version="1.0.0.11" store="en-US" storeType="omex"/>
  </we:alternateReferences>
  <we:properties>
    <we:property name="docId" value="&quot;q4ykf9SP-eZpJS3Fldd18&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hyperlink" Target="https://finance.yahoo.com/quote/NTPC.NS/balance-sheet/" TargetMode="External"/></Relationships>
</file>

<file path=xl/worksheets/_rels/sheet10.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table" Target="../tables/table7.xml"/><Relationship Id="rId5" Type="http://schemas.openxmlformats.org/officeDocument/2006/relationships/table" Target="../tables/table6.xml"/><Relationship Id="rId4" Type="http://schemas.openxmlformats.org/officeDocument/2006/relationships/table" Target="../tables/table5.xml"/></Relationships>
</file>

<file path=xl/worksheets/_rels/sheet13.xml.rels><?xml version="1.0" encoding="UTF-8" standalone="yes"?>
<Relationships xmlns="http://schemas.openxmlformats.org/package/2006/relationships"><Relationship Id="rId8" Type="http://schemas.openxmlformats.org/officeDocument/2006/relationships/hyperlink" Target="https://www.nseindia.com/get-quote/equity/KPIL/Kalpataru-Projects-International-Limited" TargetMode="External"/><Relationship Id="rId3" Type="http://schemas.openxmlformats.org/officeDocument/2006/relationships/hyperlink" Target="https://data.rbi.org.in/BOE/OpenDocument/2409211840/OpenDocument/opendoc/openDocument.jsp?logonSuccessful=true&amp;shareId=2" TargetMode="External"/><Relationship Id="rId7" Type="http://schemas.openxmlformats.org/officeDocument/2006/relationships/hyperlink" Target="https://kalpataruprojects.com/investors/financials/annual-reports/annual-reports" TargetMode="External"/><Relationship Id="rId2" Type="http://schemas.openxmlformats.org/officeDocument/2006/relationships/hyperlink" Target="https://pages.stern.nyu.edu/~adamodar/New_Home_Page/datafile/ctryprem.html" TargetMode="External"/><Relationship Id="rId1" Type="http://schemas.openxmlformats.org/officeDocument/2006/relationships/hyperlink" Target="https://www.moneycontrol.com/india/stockpricequote/power-transmissionequipment/kalpataruprojectsinternational/KPT" TargetMode="External"/><Relationship Id="rId6" Type="http://schemas.openxmlformats.org/officeDocument/2006/relationships/hyperlink" Target="https://kalpataruprojects.com/investors/financials/annual-reports/annual-reports" TargetMode="External"/><Relationship Id="rId5" Type="http://schemas.openxmlformats.org/officeDocument/2006/relationships/hyperlink" Target="https://kalpataruprojects.com/investors/financials/annual-reports/annual-reports" TargetMode="External"/><Relationship Id="rId4" Type="http://schemas.openxmlformats.org/officeDocument/2006/relationships/hyperlink" Target="https://data.rbi.org.in/BOE/OpenDocument/2409211840/OpenDocument/opendoc/openDocument.jsp?logonSuccessful=true&amp;shareId=2" TargetMode="External"/></Relationships>
</file>

<file path=xl/worksheets/_rels/sheet14.xml.rels><?xml version="1.0" encoding="UTF-8" standalone="yes"?>
<Relationships xmlns="http://schemas.openxmlformats.org/package/2006/relationships"><Relationship Id="rId3" Type="http://schemas.openxmlformats.org/officeDocument/2006/relationships/hyperlink" Target="https://www.nseindia.com/get-quote/equity/NTPC/NTPC-Limited%20,%20https:/finance.yahoo.com/quote/%5ENSEI/history/?period1=1682640000&amp;period2=1775779200&amp;frequency=1wk" TargetMode="External"/><Relationship Id="rId2" Type="http://schemas.openxmlformats.org/officeDocument/2006/relationships/hyperlink" Target="https://kalpataruprojects.com/investors/financials/annual-reports/annual-reports" TargetMode="External"/><Relationship Id="rId1" Type="http://schemas.openxmlformats.org/officeDocument/2006/relationships/hyperlink" Target="https://www.indiabonds.com/bond-directory/INE733E07JW2-ntpc-limited/" TargetMode="External"/><Relationship Id="rId5" Type="http://schemas.openxmlformats.org/officeDocument/2006/relationships/hyperlink" Target="https://finance.yahoo.com/quote/NTPC.NS/financials/" TargetMode="External"/><Relationship Id="rId4" Type="http://schemas.openxmlformats.org/officeDocument/2006/relationships/hyperlink" Target="https://finance.yahoo.com/quote/NTPC.NS/balance-shee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5"/>
  <sheetViews>
    <sheetView zoomScaleNormal="100" workbookViewId="0">
      <selection activeCell="F16" sqref="F16"/>
    </sheetView>
  </sheetViews>
  <sheetFormatPr defaultRowHeight="15" customHeight="1" x14ac:dyDescent="0.3"/>
  <cols>
    <col min="1" max="1" width="26.6640625" customWidth="1"/>
    <col min="2" max="2" width="22.109375" customWidth="1"/>
    <col min="5" max="5" width="15.88671875" customWidth="1"/>
    <col min="7" max="7" width="23.33203125" customWidth="1"/>
    <col min="8" max="8" width="10.33203125" customWidth="1"/>
    <col min="9" max="9" width="44.88671875" customWidth="1"/>
    <col min="11" max="11" width="11.5546875" customWidth="1"/>
    <col min="12" max="12" width="7.6640625" customWidth="1"/>
  </cols>
  <sheetData>
    <row r="1" spans="1:14" ht="54" customHeight="1" x14ac:dyDescent="0.75">
      <c r="A1" s="333" t="s">
        <v>0</v>
      </c>
      <c r="B1" s="333"/>
      <c r="C1" s="333"/>
      <c r="D1" s="333"/>
      <c r="E1" s="333"/>
      <c r="F1" s="333"/>
      <c r="G1" s="333"/>
      <c r="H1" s="333"/>
      <c r="I1" s="333"/>
      <c r="J1" s="333"/>
      <c r="K1" s="333"/>
      <c r="L1" s="333"/>
      <c r="M1" s="333"/>
      <c r="N1" s="2"/>
    </row>
    <row r="2" spans="1:14" ht="14.4" customHeight="1" x14ac:dyDescent="0.4">
      <c r="A2" s="334" t="s">
        <v>1</v>
      </c>
      <c r="B2" s="334"/>
      <c r="C2" s="334"/>
      <c r="D2" s="334"/>
      <c r="E2" s="334"/>
      <c r="F2" s="334" t="s">
        <v>2</v>
      </c>
      <c r="G2" s="334"/>
      <c r="H2" s="334"/>
      <c r="I2" s="334"/>
      <c r="J2" s="334"/>
      <c r="K2" s="334"/>
      <c r="L2" s="334"/>
      <c r="M2" s="334"/>
      <c r="N2" s="1"/>
    </row>
    <row r="3" spans="1:14" ht="26.4" customHeight="1" x14ac:dyDescent="0.4">
      <c r="A3" s="334"/>
      <c r="B3" s="334"/>
      <c r="C3" s="334"/>
      <c r="D3" s="334"/>
      <c r="E3" s="334"/>
      <c r="F3" s="334"/>
      <c r="G3" s="334"/>
      <c r="H3" s="334"/>
      <c r="I3" s="334"/>
      <c r="J3" s="334"/>
      <c r="K3" s="334"/>
      <c r="L3" s="334"/>
      <c r="M3" s="334"/>
      <c r="N3" s="1"/>
    </row>
    <row r="4" spans="1:14" ht="14.4" customHeight="1" x14ac:dyDescent="0.4">
      <c r="A4" s="334" t="s">
        <v>3</v>
      </c>
      <c r="B4" s="334"/>
      <c r="C4" s="334"/>
      <c r="D4" s="334"/>
      <c r="E4" s="334"/>
      <c r="F4" s="334" t="s">
        <v>4</v>
      </c>
      <c r="G4" s="334"/>
      <c r="H4" s="334"/>
      <c r="I4" s="334"/>
      <c r="J4" s="334"/>
      <c r="K4" s="334"/>
      <c r="L4" s="334"/>
      <c r="M4" s="334"/>
      <c r="N4" s="1"/>
    </row>
    <row r="5" spans="1:14" ht="28.8" customHeight="1" x14ac:dyDescent="0.4">
      <c r="A5" s="334"/>
      <c r="B5" s="334"/>
      <c r="C5" s="334"/>
      <c r="D5" s="334"/>
      <c r="E5" s="334"/>
      <c r="F5" s="334"/>
      <c r="G5" s="334"/>
      <c r="H5" s="334"/>
      <c r="I5" s="334"/>
      <c r="J5" s="334"/>
      <c r="K5" s="334"/>
      <c r="L5" s="334"/>
      <c r="M5" s="334"/>
      <c r="N5" s="1"/>
    </row>
    <row r="6" spans="1:14" ht="15" customHeight="1" x14ac:dyDescent="0.4">
      <c r="A6" s="334" t="s">
        <v>5</v>
      </c>
      <c r="B6" s="334"/>
      <c r="C6" s="334"/>
      <c r="D6" s="334"/>
      <c r="E6" s="334"/>
      <c r="F6" s="334" t="s">
        <v>6</v>
      </c>
      <c r="G6" s="334"/>
      <c r="H6" s="334"/>
      <c r="I6" s="334"/>
      <c r="J6" s="334"/>
      <c r="K6" s="334"/>
      <c r="L6" s="334"/>
      <c r="M6" s="334"/>
      <c r="N6" s="1"/>
    </row>
    <row r="7" spans="1:14" ht="28.8" customHeight="1" x14ac:dyDescent="0.4">
      <c r="A7" s="334"/>
      <c r="B7" s="334"/>
      <c r="C7" s="334"/>
      <c r="D7" s="334"/>
      <c r="E7" s="334"/>
      <c r="F7" s="334"/>
      <c r="G7" s="334"/>
      <c r="H7" s="334"/>
      <c r="I7" s="334"/>
      <c r="J7" s="334"/>
      <c r="K7" s="334"/>
      <c r="L7" s="334"/>
      <c r="M7" s="334"/>
      <c r="N7" s="1"/>
    </row>
    <row r="8" spans="1:14" ht="15" customHeight="1" x14ac:dyDescent="0.4">
      <c r="A8" s="334" t="s">
        <v>7</v>
      </c>
      <c r="B8" s="334"/>
      <c r="C8" s="334"/>
      <c r="D8" s="334"/>
      <c r="E8" s="334"/>
      <c r="F8" s="334" t="s">
        <v>8</v>
      </c>
      <c r="G8" s="334"/>
      <c r="H8" s="334"/>
      <c r="I8" s="334"/>
      <c r="J8" s="334"/>
      <c r="K8" s="334"/>
      <c r="L8" s="334"/>
      <c r="M8" s="334"/>
      <c r="N8" s="1"/>
    </row>
    <row r="9" spans="1:14" ht="26.4" customHeight="1" x14ac:dyDescent="0.4">
      <c r="A9" s="334"/>
      <c r="B9" s="334"/>
      <c r="C9" s="334"/>
      <c r="D9" s="334"/>
      <c r="E9" s="334"/>
      <c r="F9" s="334"/>
      <c r="G9" s="334"/>
      <c r="H9" s="334"/>
      <c r="I9" s="334"/>
      <c r="J9" s="334"/>
      <c r="K9" s="334"/>
      <c r="L9" s="334"/>
      <c r="M9" s="334"/>
      <c r="N9" s="1"/>
    </row>
    <row r="10" spans="1:14" ht="14.4" customHeight="1" x14ac:dyDescent="0.4">
      <c r="A10" s="334" t="s">
        <v>9</v>
      </c>
      <c r="B10" s="334"/>
      <c r="C10" s="334"/>
      <c r="D10" s="334"/>
      <c r="E10" s="334"/>
      <c r="F10" s="334" t="s">
        <v>10</v>
      </c>
      <c r="G10" s="334"/>
      <c r="H10" s="334"/>
      <c r="I10" s="334"/>
      <c r="J10" s="334"/>
      <c r="K10" s="334"/>
      <c r="L10" s="334"/>
      <c r="M10" s="334"/>
      <c r="N10" s="1"/>
    </row>
    <row r="11" spans="1:14" ht="29.4" customHeight="1" x14ac:dyDescent="0.4">
      <c r="A11" s="334"/>
      <c r="B11" s="334"/>
      <c r="C11" s="334"/>
      <c r="D11" s="334"/>
      <c r="E11" s="334"/>
      <c r="F11" s="334"/>
      <c r="G11" s="334"/>
      <c r="H11" s="334"/>
      <c r="I11" s="334"/>
      <c r="J11" s="334"/>
      <c r="K11" s="334"/>
      <c r="L11" s="334"/>
      <c r="M11" s="334"/>
      <c r="N11" s="1"/>
    </row>
    <row r="12" spans="1:14" ht="14.4" customHeight="1" x14ac:dyDescent="0.4">
      <c r="A12" s="334" t="s">
        <v>11</v>
      </c>
      <c r="B12" s="334"/>
      <c r="C12" s="334"/>
      <c r="D12" s="334"/>
      <c r="E12" s="334"/>
      <c r="F12" s="334" t="s">
        <v>12</v>
      </c>
      <c r="G12" s="334"/>
      <c r="H12" s="334"/>
      <c r="I12" s="334"/>
      <c r="J12" s="334"/>
      <c r="K12" s="334"/>
      <c r="L12" s="334"/>
      <c r="M12" s="334"/>
      <c r="N12" s="1"/>
    </row>
    <row r="13" spans="1:14" ht="28.2" customHeight="1" x14ac:dyDescent="0.4">
      <c r="A13" s="334"/>
      <c r="B13" s="334"/>
      <c r="C13" s="334"/>
      <c r="D13" s="334"/>
      <c r="E13" s="334"/>
      <c r="F13" s="334"/>
      <c r="G13" s="334"/>
      <c r="H13" s="334"/>
      <c r="I13" s="334"/>
      <c r="J13" s="334"/>
      <c r="K13" s="334"/>
      <c r="L13" s="334"/>
      <c r="M13" s="334"/>
      <c r="N13" s="1"/>
    </row>
    <row r="14" spans="1:14" ht="37.799999999999997" customHeight="1" x14ac:dyDescent="0.7">
      <c r="A14" s="335" t="s">
        <v>13</v>
      </c>
      <c r="B14" s="335"/>
      <c r="C14" s="335"/>
      <c r="D14" s="335"/>
      <c r="E14" s="335"/>
      <c r="F14" s="335"/>
      <c r="G14" s="335"/>
      <c r="H14" s="335"/>
      <c r="I14" s="335"/>
      <c r="J14" s="335"/>
      <c r="K14" s="335"/>
      <c r="L14" s="335"/>
      <c r="M14" s="335"/>
    </row>
    <row r="15" spans="1:14" ht="40.799999999999997" customHeight="1" x14ac:dyDescent="0.6">
      <c r="A15" s="336" t="s">
        <v>544</v>
      </c>
      <c r="B15" s="336"/>
      <c r="C15" s="336"/>
      <c r="D15" s="336"/>
      <c r="E15" s="336"/>
      <c r="F15" s="336" t="s">
        <v>545</v>
      </c>
      <c r="G15" s="336"/>
      <c r="H15" s="336"/>
      <c r="I15" s="336"/>
      <c r="J15" s="336"/>
      <c r="K15" s="336"/>
      <c r="L15" s="336"/>
      <c r="M15" s="336"/>
    </row>
  </sheetData>
  <mergeCells count="16">
    <mergeCell ref="A15:E15"/>
    <mergeCell ref="F15:M15"/>
    <mergeCell ref="A1:M1"/>
    <mergeCell ref="A10:E11"/>
    <mergeCell ref="A12:E13"/>
    <mergeCell ref="F10:M11"/>
    <mergeCell ref="F12:M13"/>
    <mergeCell ref="A14:M14"/>
    <mergeCell ref="A8:E9"/>
    <mergeCell ref="F8:M9"/>
    <mergeCell ref="A6:E7"/>
    <mergeCell ref="F2:M3"/>
    <mergeCell ref="A2:E3"/>
    <mergeCell ref="A4:E5"/>
    <mergeCell ref="F4:M5"/>
    <mergeCell ref="F6:M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0A0FE-6DF2-496B-8C96-57FB272F1F07}">
  <dimension ref="B1:J155"/>
  <sheetViews>
    <sheetView zoomScaleNormal="100" workbookViewId="0">
      <selection activeCell="I10" sqref="I10"/>
    </sheetView>
  </sheetViews>
  <sheetFormatPr defaultRowHeight="14.4" x14ac:dyDescent="0.3"/>
  <cols>
    <col min="1" max="1" width="7.33203125" customWidth="1"/>
    <col min="2" max="2" width="26.6640625" style="78" customWidth="1"/>
    <col min="3" max="3" width="25" style="78" customWidth="1"/>
    <col min="4" max="4" width="28.44140625" style="78" customWidth="1"/>
    <col min="5" max="5" width="34.5546875" style="78" customWidth="1"/>
    <col min="6" max="6" width="33.5546875" style="78" customWidth="1"/>
  </cols>
  <sheetData>
    <row r="1" spans="2:10" x14ac:dyDescent="0.3">
      <c r="B1" s="224" t="s">
        <v>14</v>
      </c>
      <c r="C1" s="224"/>
      <c r="D1" s="224"/>
      <c r="E1" s="224"/>
      <c r="F1" s="224"/>
    </row>
    <row r="2" spans="2:10" x14ac:dyDescent="0.3">
      <c r="B2" s="224"/>
      <c r="C2" s="224"/>
      <c r="D2" s="224"/>
      <c r="E2" s="224"/>
      <c r="F2" s="224"/>
    </row>
    <row r="3" spans="2:10" x14ac:dyDescent="0.3">
      <c r="B3" s="225" t="s">
        <v>15</v>
      </c>
      <c r="C3" s="226"/>
      <c r="D3" s="226"/>
      <c r="E3" s="226"/>
      <c r="F3" s="226"/>
    </row>
    <row r="4" spans="2:10" x14ac:dyDescent="0.3">
      <c r="B4" s="226"/>
      <c r="C4" s="226"/>
      <c r="D4" s="226"/>
      <c r="E4" s="226"/>
      <c r="F4" s="226"/>
    </row>
    <row r="5" spans="2:10" x14ac:dyDescent="0.3">
      <c r="B5" s="79" t="s">
        <v>16</v>
      </c>
      <c r="C5" s="79" t="s">
        <v>17</v>
      </c>
      <c r="D5" s="79" t="s">
        <v>18</v>
      </c>
      <c r="E5" s="79" t="s">
        <v>19</v>
      </c>
      <c r="F5" s="79" t="s">
        <v>20</v>
      </c>
    </row>
    <row r="6" spans="2:10" x14ac:dyDescent="0.3">
      <c r="B6" s="76" t="s">
        <v>21</v>
      </c>
      <c r="C6" s="76">
        <v>18065</v>
      </c>
      <c r="D6" s="76">
        <v>172</v>
      </c>
      <c r="E6" s="76"/>
      <c r="F6" s="76"/>
    </row>
    <row r="7" spans="2:10" x14ac:dyDescent="0.3">
      <c r="B7" s="77">
        <v>45051</v>
      </c>
      <c r="C7" s="76">
        <v>18069</v>
      </c>
      <c r="D7" s="76">
        <v>174.25</v>
      </c>
      <c r="E7" s="76">
        <f>(C7-C6)/C6*100</f>
        <v>2.2142264046498755E-2</v>
      </c>
      <c r="F7" s="76">
        <f>(D7-D6)/D6*100</f>
        <v>1.308139534883721</v>
      </c>
    </row>
    <row r="8" spans="2:10" x14ac:dyDescent="0.3">
      <c r="B8" s="77">
        <v>45265</v>
      </c>
      <c r="C8" s="76">
        <v>18314.8</v>
      </c>
      <c r="D8" s="76">
        <v>174.95</v>
      </c>
      <c r="E8" s="76">
        <f t="shared" ref="E8:E71" si="0">(C8-C7)/C7*100</f>
        <v>1.3603409153799284</v>
      </c>
      <c r="F8" s="76">
        <f t="shared" ref="F8:F71" si="1">(D8-D7)/D7*100</f>
        <v>0.40172166427545974</v>
      </c>
      <c r="J8" t="s">
        <v>22</v>
      </c>
    </row>
    <row r="9" spans="2:10" x14ac:dyDescent="0.3">
      <c r="B9" s="76" t="s">
        <v>23</v>
      </c>
      <c r="C9" s="76">
        <v>18203.400000000001</v>
      </c>
      <c r="D9" s="76">
        <v>173.3</v>
      </c>
      <c r="E9" s="76">
        <f t="shared" si="0"/>
        <v>-0.60825125035489225</v>
      </c>
      <c r="F9" s="76">
        <f t="shared" si="1"/>
        <v>-0.94312660760215905</v>
      </c>
    </row>
    <row r="10" spans="2:10" x14ac:dyDescent="0.3">
      <c r="B10" s="76" t="s">
        <v>24</v>
      </c>
      <c r="C10" s="76">
        <v>18499.349999999999</v>
      </c>
      <c r="D10" s="76">
        <v>174.5</v>
      </c>
      <c r="E10" s="76">
        <f t="shared" si="0"/>
        <v>1.6257951811199944</v>
      </c>
      <c r="F10" s="76">
        <f t="shared" si="1"/>
        <v>0.69244085401038002</v>
      </c>
    </row>
    <row r="11" spans="2:10" x14ac:dyDescent="0.3">
      <c r="B11" s="77">
        <v>44963</v>
      </c>
      <c r="C11" s="76">
        <v>18534.099999999999</v>
      </c>
      <c r="D11" s="76">
        <v>174.55</v>
      </c>
      <c r="E11" s="76">
        <f>(C11-C10)/C10*100</f>
        <v>0.18784443777754353</v>
      </c>
      <c r="F11" s="76">
        <f t="shared" si="1"/>
        <v>2.8653295128946342E-2</v>
      </c>
    </row>
    <row r="12" spans="2:10" x14ac:dyDescent="0.3">
      <c r="B12" s="77">
        <v>45175</v>
      </c>
      <c r="C12" s="76">
        <v>18563.400000000001</v>
      </c>
      <c r="D12" s="76">
        <v>182.8</v>
      </c>
      <c r="E12" s="76">
        <f t="shared" si="0"/>
        <v>0.15808698561032319</v>
      </c>
      <c r="F12" s="76">
        <f t="shared" si="1"/>
        <v>4.7264394156402174</v>
      </c>
    </row>
    <row r="13" spans="2:10" x14ac:dyDescent="0.3">
      <c r="B13" s="76" t="s">
        <v>25</v>
      </c>
      <c r="C13" s="76">
        <v>18826</v>
      </c>
      <c r="D13" s="76">
        <v>188.2</v>
      </c>
      <c r="E13" s="76">
        <f t="shared" si="0"/>
        <v>1.4146115474535834</v>
      </c>
      <c r="F13" s="76">
        <f t="shared" si="1"/>
        <v>2.954048140043751</v>
      </c>
    </row>
    <row r="14" spans="2:10" x14ac:dyDescent="0.3">
      <c r="B14" s="76" t="s">
        <v>26</v>
      </c>
      <c r="C14" s="76">
        <v>18665.5</v>
      </c>
      <c r="D14" s="76">
        <v>186.7</v>
      </c>
      <c r="E14" s="76">
        <f t="shared" si="0"/>
        <v>-0.85254435355359615</v>
      </c>
      <c r="F14" s="76">
        <f t="shared" si="1"/>
        <v>-0.79702444208289058</v>
      </c>
    </row>
    <row r="15" spans="2:10" x14ac:dyDescent="0.3">
      <c r="B15" s="76" t="s">
        <v>27</v>
      </c>
      <c r="C15" s="76">
        <v>19189.05</v>
      </c>
      <c r="D15" s="76">
        <v>189.15</v>
      </c>
      <c r="E15" s="76">
        <f t="shared" si="0"/>
        <v>2.8049074495727373</v>
      </c>
      <c r="F15" s="76">
        <f t="shared" si="1"/>
        <v>1.3122656668452155</v>
      </c>
    </row>
    <row r="16" spans="2:10" x14ac:dyDescent="0.3">
      <c r="B16" s="77">
        <v>45114</v>
      </c>
      <c r="C16" s="76">
        <v>19331.8</v>
      </c>
      <c r="D16" s="76">
        <v>192.6</v>
      </c>
      <c r="E16" s="76">
        <f t="shared" si="0"/>
        <v>0.74391384669902894</v>
      </c>
      <c r="F16" s="76">
        <f t="shared" si="1"/>
        <v>1.823949246629653</v>
      </c>
    </row>
    <row r="17" spans="2:6" x14ac:dyDescent="0.3">
      <c r="B17" s="76" t="s">
        <v>28</v>
      </c>
      <c r="C17" s="76">
        <v>19564.5</v>
      </c>
      <c r="D17" s="76">
        <v>187.45</v>
      </c>
      <c r="E17" s="76">
        <f t="shared" si="0"/>
        <v>1.2037161567986465</v>
      </c>
      <c r="F17" s="76">
        <f t="shared" si="1"/>
        <v>-2.6739356178608547</v>
      </c>
    </row>
    <row r="18" spans="2:6" x14ac:dyDescent="0.3">
      <c r="B18" s="76" t="s">
        <v>29</v>
      </c>
      <c r="C18" s="76">
        <v>19745</v>
      </c>
      <c r="D18" s="76">
        <v>195.1</v>
      </c>
      <c r="E18" s="76">
        <f t="shared" si="0"/>
        <v>0.92258938383296263</v>
      </c>
      <c r="F18" s="76">
        <f t="shared" si="1"/>
        <v>4.0810882902107259</v>
      </c>
    </row>
    <row r="19" spans="2:6" x14ac:dyDescent="0.3">
      <c r="B19" s="76" t="s">
        <v>30</v>
      </c>
      <c r="C19" s="76">
        <v>19646.05</v>
      </c>
      <c r="D19" s="76">
        <v>210</v>
      </c>
      <c r="E19" s="76">
        <f t="shared" si="0"/>
        <v>-0.50113952899468595</v>
      </c>
      <c r="F19" s="76">
        <f t="shared" si="1"/>
        <v>7.6371091747821671</v>
      </c>
    </row>
    <row r="20" spans="2:6" x14ac:dyDescent="0.3">
      <c r="B20" s="77">
        <v>45024</v>
      </c>
      <c r="C20" s="76">
        <v>19517</v>
      </c>
      <c r="D20" s="76">
        <v>217.95</v>
      </c>
      <c r="E20" s="76">
        <f t="shared" si="0"/>
        <v>-0.65687504612886194</v>
      </c>
      <c r="F20" s="76">
        <f t="shared" si="1"/>
        <v>3.7857142857142803</v>
      </c>
    </row>
    <row r="21" spans="2:6" x14ac:dyDescent="0.3">
      <c r="B21" s="77">
        <v>45238</v>
      </c>
      <c r="C21" s="76">
        <v>19428.3</v>
      </c>
      <c r="D21" s="76">
        <v>213</v>
      </c>
      <c r="E21" s="76">
        <f t="shared" si="0"/>
        <v>-0.4544755853871022</v>
      </c>
      <c r="F21" s="76">
        <f t="shared" si="1"/>
        <v>-2.2711631108052255</v>
      </c>
    </row>
    <row r="22" spans="2:6" x14ac:dyDescent="0.3">
      <c r="B22" s="76" t="s">
        <v>31</v>
      </c>
      <c r="C22" s="76">
        <v>19310.150000000001</v>
      </c>
      <c r="D22" s="76">
        <v>215.15</v>
      </c>
      <c r="E22" s="76">
        <f t="shared" si="0"/>
        <v>-0.6081334959826532</v>
      </c>
      <c r="F22" s="76">
        <f t="shared" si="1"/>
        <v>1.0093896713615051</v>
      </c>
    </row>
    <row r="23" spans="2:6" x14ac:dyDescent="0.3">
      <c r="B23" s="76" t="s">
        <v>32</v>
      </c>
      <c r="C23" s="76">
        <v>19265.8</v>
      </c>
      <c r="D23" s="76">
        <v>217.9</v>
      </c>
      <c r="E23" s="76">
        <f t="shared" si="0"/>
        <v>-0.22967196008317997</v>
      </c>
      <c r="F23" s="76">
        <f t="shared" si="1"/>
        <v>1.2781780153381361</v>
      </c>
    </row>
    <row r="24" spans="2:6" x14ac:dyDescent="0.3">
      <c r="B24" s="77">
        <v>44935</v>
      </c>
      <c r="C24" s="76">
        <v>19435.3</v>
      </c>
      <c r="D24" s="76">
        <v>230.7</v>
      </c>
      <c r="E24" s="76">
        <f t="shared" si="0"/>
        <v>0.87979736112697104</v>
      </c>
      <c r="F24" s="76">
        <f t="shared" si="1"/>
        <v>5.8742542450665365</v>
      </c>
    </row>
    <row r="25" spans="2:6" x14ac:dyDescent="0.3">
      <c r="B25" s="77">
        <v>45147</v>
      </c>
      <c r="C25" s="76">
        <v>19819.95</v>
      </c>
      <c r="D25" s="76">
        <v>240.25</v>
      </c>
      <c r="E25" s="76">
        <f t="shared" si="0"/>
        <v>1.9791307569216914</v>
      </c>
      <c r="F25" s="76">
        <f t="shared" si="1"/>
        <v>4.139575205895107</v>
      </c>
    </row>
    <row r="26" spans="2:6" x14ac:dyDescent="0.3">
      <c r="B26" s="76" t="s">
        <v>33</v>
      </c>
      <c r="C26" s="76">
        <v>20192.349999999999</v>
      </c>
      <c r="D26" s="76">
        <v>236.2</v>
      </c>
      <c r="E26" s="76">
        <f t="shared" si="0"/>
        <v>1.8789149316723694</v>
      </c>
      <c r="F26" s="76">
        <f t="shared" si="1"/>
        <v>-1.6857440166493283</v>
      </c>
    </row>
    <row r="27" spans="2:6" x14ac:dyDescent="0.3">
      <c r="B27" s="76" t="s">
        <v>34</v>
      </c>
      <c r="C27" s="76">
        <v>19674.25</v>
      </c>
      <c r="D27" s="76">
        <v>237.95</v>
      </c>
      <c r="E27" s="76">
        <f t="shared" si="0"/>
        <v>-2.5658231954180595</v>
      </c>
      <c r="F27" s="76">
        <f t="shared" si="1"/>
        <v>0.7408975444538527</v>
      </c>
    </row>
    <row r="28" spans="2:6" x14ac:dyDescent="0.3">
      <c r="B28" s="76" t="s">
        <v>35</v>
      </c>
      <c r="C28" s="76">
        <v>19638.3</v>
      </c>
      <c r="D28" s="76">
        <v>245.55</v>
      </c>
      <c r="E28" s="76">
        <f t="shared" si="0"/>
        <v>-0.18272615220402674</v>
      </c>
      <c r="F28" s="76">
        <f t="shared" si="1"/>
        <v>3.1939483084681752</v>
      </c>
    </row>
    <row r="29" spans="2:6" x14ac:dyDescent="0.3">
      <c r="B29" s="77">
        <v>45087</v>
      </c>
      <c r="C29" s="76">
        <v>19653.5</v>
      </c>
      <c r="D29" s="76">
        <v>235.55</v>
      </c>
      <c r="E29" s="76">
        <f t="shared" si="0"/>
        <v>7.739977492960555E-2</v>
      </c>
      <c r="F29" s="76">
        <f t="shared" si="1"/>
        <v>-4.0724903278354718</v>
      </c>
    </row>
    <row r="30" spans="2:6" x14ac:dyDescent="0.3">
      <c r="B30" s="76" t="s">
        <v>36</v>
      </c>
      <c r="C30" s="76">
        <v>19751.05</v>
      </c>
      <c r="D30" s="76">
        <v>242.05</v>
      </c>
      <c r="E30" s="76">
        <f t="shared" si="0"/>
        <v>0.49634925076957931</v>
      </c>
      <c r="F30" s="76">
        <f t="shared" si="1"/>
        <v>2.7594990447887922</v>
      </c>
    </row>
    <row r="31" spans="2:6" x14ac:dyDescent="0.3">
      <c r="B31" s="76" t="s">
        <v>37</v>
      </c>
      <c r="C31" s="76">
        <v>19542.650000000001</v>
      </c>
      <c r="D31" s="76">
        <v>241</v>
      </c>
      <c r="E31" s="76">
        <f t="shared" si="0"/>
        <v>-1.0551337776978835</v>
      </c>
      <c r="F31" s="76">
        <f t="shared" si="1"/>
        <v>-0.43379467052262399</v>
      </c>
    </row>
    <row r="32" spans="2:6" x14ac:dyDescent="0.3">
      <c r="B32" s="76" t="s">
        <v>38</v>
      </c>
      <c r="C32" s="76">
        <v>19047.25</v>
      </c>
      <c r="D32" s="76">
        <v>236.6</v>
      </c>
      <c r="E32" s="76">
        <f t="shared" si="0"/>
        <v>-2.5349683896503361</v>
      </c>
      <c r="F32" s="76">
        <f t="shared" si="1"/>
        <v>-1.8257261410788403</v>
      </c>
    </row>
    <row r="33" spans="2:6" x14ac:dyDescent="0.3">
      <c r="B33" s="77">
        <v>44996</v>
      </c>
      <c r="C33" s="76">
        <v>19230.599999999999</v>
      </c>
      <c r="D33" s="76">
        <v>234.35</v>
      </c>
      <c r="E33" s="76">
        <f t="shared" si="0"/>
        <v>0.96260615049415821</v>
      </c>
      <c r="F33" s="76">
        <f t="shared" si="1"/>
        <v>-0.95097210481825867</v>
      </c>
    </row>
    <row r="34" spans="2:6" x14ac:dyDescent="0.3">
      <c r="B34" s="77">
        <v>45210</v>
      </c>
      <c r="C34" s="76">
        <v>19425.349999999999</v>
      </c>
      <c r="D34" s="76">
        <v>242.75</v>
      </c>
      <c r="E34" s="76">
        <f t="shared" si="0"/>
        <v>1.0127089118384243</v>
      </c>
      <c r="F34" s="76">
        <f t="shared" si="1"/>
        <v>3.5843823341156411</v>
      </c>
    </row>
    <row r="35" spans="2:6" x14ac:dyDescent="0.3">
      <c r="B35" s="76" t="s">
        <v>39</v>
      </c>
      <c r="C35" s="76">
        <v>19731.8</v>
      </c>
      <c r="D35" s="76">
        <v>251.6</v>
      </c>
      <c r="E35" s="76">
        <f t="shared" si="0"/>
        <v>1.5775777527818071</v>
      </c>
      <c r="F35" s="76">
        <f t="shared" si="1"/>
        <v>3.6457260556127675</v>
      </c>
    </row>
    <row r="36" spans="2:6" x14ac:dyDescent="0.3">
      <c r="B36" s="76" t="s">
        <v>40</v>
      </c>
      <c r="C36" s="76">
        <v>19794.7</v>
      </c>
      <c r="D36" s="76">
        <v>253.9</v>
      </c>
      <c r="E36" s="76">
        <f t="shared" si="0"/>
        <v>0.31877476966116353</v>
      </c>
      <c r="F36" s="76">
        <f t="shared" si="1"/>
        <v>0.91414944356121275</v>
      </c>
    </row>
    <row r="37" spans="2:6" x14ac:dyDescent="0.3">
      <c r="B37" s="77">
        <v>44938</v>
      </c>
      <c r="C37" s="76">
        <v>20267.900000000001</v>
      </c>
      <c r="D37" s="76">
        <v>268.95</v>
      </c>
      <c r="E37" s="76">
        <f t="shared" si="0"/>
        <v>2.3905388816198312</v>
      </c>
      <c r="F37" s="76">
        <f t="shared" si="1"/>
        <v>5.9275305238282723</v>
      </c>
    </row>
    <row r="38" spans="2:6" x14ac:dyDescent="0.3">
      <c r="B38" s="77">
        <v>45150</v>
      </c>
      <c r="C38" s="76">
        <v>20969.400000000001</v>
      </c>
      <c r="D38" s="76">
        <v>285.05</v>
      </c>
      <c r="E38" s="76">
        <f t="shared" si="0"/>
        <v>3.461138055743318</v>
      </c>
      <c r="F38" s="76">
        <f t="shared" si="1"/>
        <v>5.9862427960587556</v>
      </c>
    </row>
    <row r="39" spans="2:6" x14ac:dyDescent="0.3">
      <c r="B39" s="76" t="s">
        <v>41</v>
      </c>
      <c r="C39" s="76">
        <v>21456.65</v>
      </c>
      <c r="D39" s="76">
        <v>305.10000000000002</v>
      </c>
      <c r="E39" s="76">
        <f t="shared" si="0"/>
        <v>2.323623947275554</v>
      </c>
      <c r="F39" s="76">
        <f t="shared" si="1"/>
        <v>7.0338537098754639</v>
      </c>
    </row>
    <row r="40" spans="2:6" x14ac:dyDescent="0.3">
      <c r="B40" s="76" t="s">
        <v>42</v>
      </c>
      <c r="C40" s="76">
        <v>21349.4</v>
      </c>
      <c r="D40" s="76">
        <v>302.8</v>
      </c>
      <c r="E40" s="76">
        <f t="shared" si="0"/>
        <v>-0.49984503638732047</v>
      </c>
      <c r="F40" s="76">
        <f t="shared" si="1"/>
        <v>-0.75385119632907605</v>
      </c>
    </row>
    <row r="41" spans="2:6" x14ac:dyDescent="0.3">
      <c r="B41" s="76" t="s">
        <v>43</v>
      </c>
      <c r="C41" s="76">
        <v>21731.4</v>
      </c>
      <c r="D41" s="76">
        <v>311.14999999999998</v>
      </c>
      <c r="E41" s="76">
        <f t="shared" si="0"/>
        <v>1.7892774504201521</v>
      </c>
      <c r="F41" s="76">
        <f t="shared" si="1"/>
        <v>2.7575957727873068</v>
      </c>
    </row>
    <row r="42" spans="2:6" x14ac:dyDescent="0.3">
      <c r="B42" s="77">
        <v>45413</v>
      </c>
      <c r="C42" s="76">
        <v>21710.799999999999</v>
      </c>
      <c r="D42" s="76">
        <v>314.95</v>
      </c>
      <c r="E42" s="76">
        <f t="shared" si="0"/>
        <v>-9.4793708642803412E-2</v>
      </c>
      <c r="F42" s="76">
        <f t="shared" si="1"/>
        <v>1.2212759119395826</v>
      </c>
    </row>
    <row r="43" spans="2:6" x14ac:dyDescent="0.3">
      <c r="B43" s="77">
        <v>45627</v>
      </c>
      <c r="C43" s="76">
        <v>21894.55</v>
      </c>
      <c r="D43" s="76">
        <v>312.64999999999998</v>
      </c>
      <c r="E43" s="76">
        <f t="shared" si="0"/>
        <v>0.84635296718683795</v>
      </c>
      <c r="F43" s="76">
        <f t="shared" si="1"/>
        <v>-0.73027464676933218</v>
      </c>
    </row>
    <row r="44" spans="2:6" x14ac:dyDescent="0.3">
      <c r="B44" s="76" t="s">
        <v>44</v>
      </c>
      <c r="C44" s="76">
        <v>21352.6</v>
      </c>
      <c r="D44" s="76">
        <v>314.75</v>
      </c>
      <c r="E44" s="76">
        <f t="shared" si="0"/>
        <v>-2.475273526973611</v>
      </c>
      <c r="F44" s="76">
        <f t="shared" si="1"/>
        <v>0.67167759475452515</v>
      </c>
    </row>
    <row r="45" spans="2:6" x14ac:dyDescent="0.3">
      <c r="B45" s="77">
        <v>45324</v>
      </c>
      <c r="C45" s="76">
        <v>21853.8</v>
      </c>
      <c r="D45" s="76">
        <v>332.5</v>
      </c>
      <c r="E45" s="76">
        <f t="shared" si="0"/>
        <v>2.3472551352060207</v>
      </c>
      <c r="F45" s="76">
        <f t="shared" si="1"/>
        <v>5.6393963463065928</v>
      </c>
    </row>
    <row r="46" spans="2:6" x14ac:dyDescent="0.3">
      <c r="B46" s="77">
        <v>45537</v>
      </c>
      <c r="C46" s="76">
        <v>21782.5</v>
      </c>
      <c r="D46" s="76">
        <v>324.89999999999998</v>
      </c>
      <c r="E46" s="76">
        <f t="shared" si="0"/>
        <v>-0.32625904876954703</v>
      </c>
      <c r="F46" s="76">
        <f t="shared" si="1"/>
        <v>-2.2857142857142927</v>
      </c>
    </row>
    <row r="47" spans="2:6" x14ac:dyDescent="0.3">
      <c r="B47" s="76" t="s">
        <v>45</v>
      </c>
      <c r="C47" s="76">
        <v>22040.7</v>
      </c>
      <c r="D47" s="76">
        <v>337.75</v>
      </c>
      <c r="E47" s="76">
        <f t="shared" si="0"/>
        <v>1.1853552163433982</v>
      </c>
      <c r="F47" s="76">
        <f t="shared" si="1"/>
        <v>3.9550630963373421</v>
      </c>
    </row>
    <row r="48" spans="2:6" x14ac:dyDescent="0.3">
      <c r="B48" s="76" t="s">
        <v>46</v>
      </c>
      <c r="C48" s="76">
        <v>22212.7</v>
      </c>
      <c r="D48" s="76">
        <v>337.75</v>
      </c>
      <c r="E48" s="76">
        <f t="shared" si="0"/>
        <v>0.78037448901350681</v>
      </c>
      <c r="F48" s="76">
        <f t="shared" si="1"/>
        <v>0</v>
      </c>
    </row>
    <row r="49" spans="2:6" x14ac:dyDescent="0.3">
      <c r="B49" s="77">
        <v>45476</v>
      </c>
      <c r="C49" s="76">
        <v>22493.55</v>
      </c>
      <c r="D49" s="76">
        <v>352.2</v>
      </c>
      <c r="E49" s="76">
        <f t="shared" si="0"/>
        <v>1.2643667811657231</v>
      </c>
      <c r="F49" s="76">
        <f t="shared" si="1"/>
        <v>4.2783123612139127</v>
      </c>
    </row>
    <row r="50" spans="2:6" x14ac:dyDescent="0.3">
      <c r="B50" s="76" t="s">
        <v>47</v>
      </c>
      <c r="C50" s="76">
        <v>22023.35</v>
      </c>
      <c r="D50" s="76">
        <v>316.3</v>
      </c>
      <c r="E50" s="76">
        <f t="shared" si="0"/>
        <v>-2.0903770191899489</v>
      </c>
      <c r="F50" s="76">
        <f t="shared" si="1"/>
        <v>-10.193072118114701</v>
      </c>
    </row>
    <row r="51" spans="2:6" x14ac:dyDescent="0.3">
      <c r="B51" s="76" t="s">
        <v>48</v>
      </c>
      <c r="C51" s="76">
        <v>22096.75</v>
      </c>
      <c r="D51" s="76">
        <v>324.75</v>
      </c>
      <c r="E51" s="76">
        <f t="shared" si="0"/>
        <v>0.33328262957271015</v>
      </c>
      <c r="F51" s="76">
        <f t="shared" si="1"/>
        <v>2.6715143850774545</v>
      </c>
    </row>
    <row r="52" spans="2:6" x14ac:dyDescent="0.3">
      <c r="B52" s="76" t="s">
        <v>49</v>
      </c>
      <c r="C52" s="76">
        <v>22326.9</v>
      </c>
      <c r="D52" s="76">
        <v>335.8</v>
      </c>
      <c r="E52" s="76">
        <f t="shared" si="0"/>
        <v>1.0415558849152091</v>
      </c>
      <c r="F52" s="76">
        <f t="shared" si="1"/>
        <v>3.4026173979984642</v>
      </c>
    </row>
    <row r="53" spans="2:6" x14ac:dyDescent="0.3">
      <c r="B53" s="77">
        <v>45416</v>
      </c>
      <c r="C53" s="76">
        <v>22513.7</v>
      </c>
      <c r="D53" s="76">
        <v>354.55</v>
      </c>
      <c r="E53" s="76">
        <f t="shared" si="0"/>
        <v>0.83665891816597593</v>
      </c>
      <c r="F53" s="76">
        <f t="shared" si="1"/>
        <v>5.5836807623585463</v>
      </c>
    </row>
    <row r="54" spans="2:6" x14ac:dyDescent="0.3">
      <c r="B54" s="77">
        <v>45630</v>
      </c>
      <c r="C54" s="76">
        <v>22519.4</v>
      </c>
      <c r="D54" s="76">
        <v>361.75</v>
      </c>
      <c r="E54" s="76">
        <f t="shared" si="0"/>
        <v>2.5317917534659909E-2</v>
      </c>
      <c r="F54" s="76">
        <f t="shared" si="1"/>
        <v>2.0307431956000532</v>
      </c>
    </row>
    <row r="55" spans="2:6" x14ac:dyDescent="0.3">
      <c r="B55" s="76" t="s">
        <v>50</v>
      </c>
      <c r="C55" s="76">
        <v>22147</v>
      </c>
      <c r="D55" s="76">
        <v>350.55</v>
      </c>
      <c r="E55" s="76">
        <f t="shared" si="0"/>
        <v>-1.653685266925413</v>
      </c>
      <c r="F55" s="76">
        <f t="shared" si="1"/>
        <v>-3.0960608154803007</v>
      </c>
    </row>
    <row r="56" spans="2:6" x14ac:dyDescent="0.3">
      <c r="B56" s="76" t="s">
        <v>51</v>
      </c>
      <c r="C56" s="76">
        <v>22419.95</v>
      </c>
      <c r="D56" s="76">
        <v>356</v>
      </c>
      <c r="E56" s="76">
        <f t="shared" si="0"/>
        <v>1.2324468325281108</v>
      </c>
      <c r="F56" s="76">
        <f t="shared" si="1"/>
        <v>1.5546997575238877</v>
      </c>
    </row>
    <row r="57" spans="2:6" x14ac:dyDescent="0.3">
      <c r="B57" s="77">
        <v>45356</v>
      </c>
      <c r="C57" s="76">
        <v>22475.85</v>
      </c>
      <c r="D57" s="76">
        <v>364.95</v>
      </c>
      <c r="E57" s="76">
        <f t="shared" si="0"/>
        <v>0.24933151055197633</v>
      </c>
      <c r="F57" s="76">
        <f t="shared" si="1"/>
        <v>2.5140449438202217</v>
      </c>
    </row>
    <row r="58" spans="2:6" x14ac:dyDescent="0.3">
      <c r="B58" s="77">
        <v>45570</v>
      </c>
      <c r="C58" s="76">
        <v>22055.200000000001</v>
      </c>
      <c r="D58" s="76">
        <v>355.5</v>
      </c>
      <c r="E58" s="76">
        <f t="shared" si="0"/>
        <v>-1.8715643679771747</v>
      </c>
      <c r="F58" s="76">
        <f t="shared" si="1"/>
        <v>-2.5893958076448795</v>
      </c>
    </row>
    <row r="59" spans="2:6" x14ac:dyDescent="0.3">
      <c r="B59" s="76" t="s">
        <v>52</v>
      </c>
      <c r="C59" s="76">
        <v>22957.1</v>
      </c>
      <c r="D59" s="76">
        <v>374.95</v>
      </c>
      <c r="E59" s="76">
        <f t="shared" si="0"/>
        <v>4.0892850665602571</v>
      </c>
      <c r="F59" s="76">
        <f t="shared" si="1"/>
        <v>5.4711673699015435</v>
      </c>
    </row>
    <row r="60" spans="2:6" x14ac:dyDescent="0.3">
      <c r="B60" s="76" t="s">
        <v>53</v>
      </c>
      <c r="C60" s="76">
        <v>22530.7</v>
      </c>
      <c r="D60" s="76">
        <v>359</v>
      </c>
      <c r="E60" s="76">
        <f t="shared" si="0"/>
        <v>-1.8573774562117944</v>
      </c>
      <c r="F60" s="76">
        <f t="shared" si="1"/>
        <v>-4.2539005200693394</v>
      </c>
    </row>
    <row r="61" spans="2:6" x14ac:dyDescent="0.3">
      <c r="B61" s="77">
        <v>45479</v>
      </c>
      <c r="C61" s="76">
        <v>23290.15</v>
      </c>
      <c r="D61" s="76">
        <v>360.6</v>
      </c>
      <c r="E61" s="76">
        <f t="shared" si="0"/>
        <v>3.3707341538434257</v>
      </c>
      <c r="F61" s="76">
        <f t="shared" si="1"/>
        <v>0.44568245125348827</v>
      </c>
    </row>
    <row r="62" spans="2:6" x14ac:dyDescent="0.3">
      <c r="B62" s="76" t="s">
        <v>54</v>
      </c>
      <c r="C62" s="76">
        <v>23465.599999999999</v>
      </c>
      <c r="D62" s="76">
        <v>368.45</v>
      </c>
      <c r="E62" s="76">
        <f t="shared" si="0"/>
        <v>0.7533227566159818</v>
      </c>
      <c r="F62" s="76">
        <f t="shared" si="1"/>
        <v>2.1769273433166849</v>
      </c>
    </row>
    <row r="63" spans="2:6" x14ac:dyDescent="0.3">
      <c r="B63" s="76" t="s">
        <v>55</v>
      </c>
      <c r="C63" s="76">
        <v>23501.1</v>
      </c>
      <c r="D63" s="76">
        <v>359.8</v>
      </c>
      <c r="E63" s="76">
        <f t="shared" si="0"/>
        <v>0.15128528569480432</v>
      </c>
      <c r="F63" s="76">
        <f t="shared" si="1"/>
        <v>-2.3476726828606265</v>
      </c>
    </row>
    <row r="64" spans="2:6" x14ac:dyDescent="0.3">
      <c r="B64" s="76" t="s">
        <v>56</v>
      </c>
      <c r="C64" s="76">
        <v>24010.6</v>
      </c>
      <c r="D64" s="76">
        <v>378.35</v>
      </c>
      <c r="E64" s="76">
        <f t="shared" si="0"/>
        <v>2.1679836262983434</v>
      </c>
      <c r="F64" s="76">
        <f t="shared" si="1"/>
        <v>5.1556420233463065</v>
      </c>
    </row>
    <row r="65" spans="2:6" x14ac:dyDescent="0.3">
      <c r="B65" s="77">
        <v>45419</v>
      </c>
      <c r="C65" s="76">
        <v>24323.85</v>
      </c>
      <c r="D65" s="76">
        <v>379.8</v>
      </c>
      <c r="E65" s="76">
        <f t="shared" si="0"/>
        <v>1.3046321208133074</v>
      </c>
      <c r="F65" s="76">
        <f t="shared" si="1"/>
        <v>0.38324302894145329</v>
      </c>
    </row>
    <row r="66" spans="2:6" x14ac:dyDescent="0.3">
      <c r="B66" s="77">
        <v>45633</v>
      </c>
      <c r="C66" s="76">
        <v>24502.15</v>
      </c>
      <c r="D66" s="76">
        <v>377.15</v>
      </c>
      <c r="E66" s="76">
        <f t="shared" si="0"/>
        <v>0.7330254051065227</v>
      </c>
      <c r="F66" s="76">
        <f t="shared" si="1"/>
        <v>-0.69773565034229434</v>
      </c>
    </row>
    <row r="67" spans="2:6" x14ac:dyDescent="0.3">
      <c r="B67" s="76" t="s">
        <v>57</v>
      </c>
      <c r="C67" s="76">
        <v>24530.9</v>
      </c>
      <c r="D67" s="76">
        <v>364.65</v>
      </c>
      <c r="E67" s="76">
        <f t="shared" si="0"/>
        <v>0.11733664188652831</v>
      </c>
      <c r="F67" s="76">
        <f t="shared" si="1"/>
        <v>-3.314331167970304</v>
      </c>
    </row>
    <row r="68" spans="2:6" x14ac:dyDescent="0.3">
      <c r="B68" s="76" t="s">
        <v>58</v>
      </c>
      <c r="C68" s="76">
        <v>24834.85</v>
      </c>
      <c r="D68" s="76">
        <v>396.3</v>
      </c>
      <c r="E68" s="76">
        <f t="shared" si="0"/>
        <v>1.2390495252925782</v>
      </c>
      <c r="F68" s="76">
        <f t="shared" si="1"/>
        <v>8.6795557383792765</v>
      </c>
    </row>
    <row r="69" spans="2:6" x14ac:dyDescent="0.3">
      <c r="B69" s="77">
        <v>45330</v>
      </c>
      <c r="C69" s="76">
        <v>24717.7</v>
      </c>
      <c r="D69" s="76">
        <v>419.7</v>
      </c>
      <c r="E69" s="76">
        <f t="shared" si="0"/>
        <v>-0.47171615693268859</v>
      </c>
      <c r="F69" s="76">
        <f t="shared" si="1"/>
        <v>5.9046177138531357</v>
      </c>
    </row>
    <row r="70" spans="2:6" x14ac:dyDescent="0.3">
      <c r="B70" s="77">
        <v>45543</v>
      </c>
      <c r="C70" s="76">
        <v>24367.5</v>
      </c>
      <c r="D70" s="76">
        <v>410.65</v>
      </c>
      <c r="E70" s="76">
        <f t="shared" si="0"/>
        <v>-1.416798488532512</v>
      </c>
      <c r="F70" s="76">
        <f t="shared" si="1"/>
        <v>-2.1563021205623092</v>
      </c>
    </row>
    <row r="71" spans="2:6" x14ac:dyDescent="0.3">
      <c r="B71" s="76" t="s">
        <v>59</v>
      </c>
      <c r="C71" s="76">
        <v>24541.15</v>
      </c>
      <c r="D71" s="76">
        <v>398.05</v>
      </c>
      <c r="E71" s="76">
        <f t="shared" si="0"/>
        <v>0.71262952703396509</v>
      </c>
      <c r="F71" s="76">
        <f t="shared" si="1"/>
        <v>-3.0683063436015989</v>
      </c>
    </row>
    <row r="72" spans="2:6" x14ac:dyDescent="0.3">
      <c r="B72" s="76" t="s">
        <v>60</v>
      </c>
      <c r="C72" s="76">
        <v>24823.15</v>
      </c>
      <c r="D72" s="76">
        <v>401.95</v>
      </c>
      <c r="E72" s="76">
        <f t="shared" ref="E72:E135" si="2">(C72-C71)/C71*100</f>
        <v>1.1490904052988551</v>
      </c>
      <c r="F72" s="76">
        <f t="shared" ref="F72:F135" si="3">(D72-D71)/D71*100</f>
        <v>0.97977640999873816</v>
      </c>
    </row>
    <row r="73" spans="2:6" x14ac:dyDescent="0.3">
      <c r="B73" s="76" t="s">
        <v>61</v>
      </c>
      <c r="C73" s="76">
        <v>25235.9</v>
      </c>
      <c r="D73" s="76">
        <v>416.2</v>
      </c>
      <c r="E73" s="76">
        <f t="shared" si="2"/>
        <v>1.6627623810837866</v>
      </c>
      <c r="F73" s="76">
        <f t="shared" si="3"/>
        <v>3.5452170667993532</v>
      </c>
    </row>
    <row r="74" spans="2:6" x14ac:dyDescent="0.3">
      <c r="B74" s="77">
        <v>45452</v>
      </c>
      <c r="C74" s="76">
        <v>24852.15</v>
      </c>
      <c r="D74" s="76">
        <v>394.8</v>
      </c>
      <c r="E74" s="76">
        <f t="shared" si="2"/>
        <v>-1.5206511358818191</v>
      </c>
      <c r="F74" s="76">
        <f t="shared" si="3"/>
        <v>-5.1417587698221956</v>
      </c>
    </row>
    <row r="75" spans="2:6" x14ac:dyDescent="0.3">
      <c r="B75" s="76" t="s">
        <v>62</v>
      </c>
      <c r="C75" s="76">
        <v>25356.5</v>
      </c>
      <c r="D75" s="76">
        <v>401.4</v>
      </c>
      <c r="E75" s="76">
        <f t="shared" si="2"/>
        <v>2.029401882734486</v>
      </c>
      <c r="F75" s="76">
        <f t="shared" si="3"/>
        <v>1.6717325227963438</v>
      </c>
    </row>
    <row r="76" spans="2:6" x14ac:dyDescent="0.3">
      <c r="B76" s="76" t="s">
        <v>63</v>
      </c>
      <c r="C76" s="76">
        <v>25790.95</v>
      </c>
      <c r="D76" s="76">
        <v>423.95</v>
      </c>
      <c r="E76" s="76">
        <f t="shared" si="2"/>
        <v>1.7133673811448771</v>
      </c>
      <c r="F76" s="76">
        <f t="shared" si="3"/>
        <v>5.6178375685102173</v>
      </c>
    </row>
    <row r="77" spans="2:6" x14ac:dyDescent="0.3">
      <c r="B77" s="76" t="s">
        <v>64</v>
      </c>
      <c r="C77" s="76">
        <v>26178.95</v>
      </c>
      <c r="D77" s="76">
        <v>436.9</v>
      </c>
      <c r="E77" s="76">
        <f t="shared" si="2"/>
        <v>1.5044036764834174</v>
      </c>
      <c r="F77" s="76">
        <f t="shared" si="3"/>
        <v>3.0546054959311215</v>
      </c>
    </row>
    <row r="78" spans="2:6" x14ac:dyDescent="0.3">
      <c r="B78" s="77">
        <v>45392</v>
      </c>
      <c r="C78" s="76">
        <v>25014.6</v>
      </c>
      <c r="D78" s="76">
        <v>430.45</v>
      </c>
      <c r="E78" s="76">
        <f t="shared" si="2"/>
        <v>-4.4476573735768712</v>
      </c>
      <c r="F78" s="76">
        <f t="shared" si="3"/>
        <v>-1.4763103685053762</v>
      </c>
    </row>
    <row r="79" spans="2:6" x14ac:dyDescent="0.3">
      <c r="B79" s="77">
        <v>45606</v>
      </c>
      <c r="C79" s="76">
        <v>24964.25</v>
      </c>
      <c r="D79" s="76">
        <v>422.5</v>
      </c>
      <c r="E79" s="76">
        <f t="shared" si="2"/>
        <v>-0.20128245104858181</v>
      </c>
      <c r="F79" s="76">
        <f t="shared" si="3"/>
        <v>-1.8469044023696104</v>
      </c>
    </row>
    <row r="80" spans="2:6" x14ac:dyDescent="0.3">
      <c r="B80" s="76" t="s">
        <v>65</v>
      </c>
      <c r="C80" s="76">
        <v>24854.05</v>
      </c>
      <c r="D80" s="76">
        <v>424.95</v>
      </c>
      <c r="E80" s="76">
        <f t="shared" si="2"/>
        <v>-0.44143124668275924</v>
      </c>
      <c r="F80" s="76">
        <f t="shared" si="3"/>
        <v>0.57988165680473103</v>
      </c>
    </row>
    <row r="81" spans="2:6" x14ac:dyDescent="0.3">
      <c r="B81" s="76" t="s">
        <v>66</v>
      </c>
      <c r="C81" s="76">
        <v>24180.799999999999</v>
      </c>
      <c r="D81" s="76">
        <v>398.9</v>
      </c>
      <c r="E81" s="76">
        <f t="shared" si="2"/>
        <v>-2.7088140564616228</v>
      </c>
      <c r="F81" s="76">
        <f t="shared" si="3"/>
        <v>-6.1301329568184526</v>
      </c>
    </row>
    <row r="82" spans="2:6" x14ac:dyDescent="0.3">
      <c r="B82" s="77">
        <v>45515</v>
      </c>
      <c r="C82" s="76">
        <v>24148.2</v>
      </c>
      <c r="D82" s="76">
        <v>397.65</v>
      </c>
      <c r="E82" s="76">
        <f t="shared" si="2"/>
        <v>-0.13481770661019712</v>
      </c>
      <c r="F82" s="76">
        <f t="shared" si="3"/>
        <v>-0.31336174479819506</v>
      </c>
    </row>
    <row r="83" spans="2:6" x14ac:dyDescent="0.3">
      <c r="B83" s="76" t="s">
        <v>67</v>
      </c>
      <c r="C83" s="76">
        <v>23532.7</v>
      </c>
      <c r="D83" s="76">
        <v>372.5</v>
      </c>
      <c r="E83" s="76">
        <f t="shared" si="2"/>
        <v>-2.5488442202731467</v>
      </c>
      <c r="F83" s="76">
        <f t="shared" si="3"/>
        <v>-6.324657362001755</v>
      </c>
    </row>
    <row r="84" spans="2:6" x14ac:dyDescent="0.3">
      <c r="B84" s="76" t="s">
        <v>68</v>
      </c>
      <c r="C84" s="76">
        <v>23907.25</v>
      </c>
      <c r="D84" s="76">
        <v>365.45</v>
      </c>
      <c r="E84" s="76">
        <f t="shared" si="2"/>
        <v>1.5916150717937136</v>
      </c>
      <c r="F84" s="76">
        <f t="shared" si="3"/>
        <v>-1.8926174496644328</v>
      </c>
    </row>
    <row r="85" spans="2:6" x14ac:dyDescent="0.3">
      <c r="B85" s="76" t="s">
        <v>69</v>
      </c>
      <c r="C85" s="76">
        <v>24131.1</v>
      </c>
      <c r="D85" s="76">
        <v>363.65</v>
      </c>
      <c r="E85" s="76">
        <f t="shared" si="2"/>
        <v>0.93632684645870412</v>
      </c>
      <c r="F85" s="76">
        <f t="shared" si="3"/>
        <v>-0.49254343959502295</v>
      </c>
    </row>
    <row r="86" spans="2:6" x14ac:dyDescent="0.3">
      <c r="B86" s="77">
        <v>45455</v>
      </c>
      <c r="C86" s="76">
        <v>24677.8</v>
      </c>
      <c r="D86" s="76">
        <v>369.5</v>
      </c>
      <c r="E86" s="76">
        <f t="shared" si="2"/>
        <v>2.2655411481449281</v>
      </c>
      <c r="F86" s="76">
        <f t="shared" si="3"/>
        <v>1.6086896741372263</v>
      </c>
    </row>
    <row r="87" spans="2:6" x14ac:dyDescent="0.3">
      <c r="B87" s="76" t="s">
        <v>70</v>
      </c>
      <c r="C87" s="76">
        <v>24768.3</v>
      </c>
      <c r="D87" s="76">
        <v>357.15</v>
      </c>
      <c r="E87" s="76">
        <f t="shared" si="2"/>
        <v>0.36672636944946474</v>
      </c>
      <c r="F87" s="76">
        <f t="shared" si="3"/>
        <v>-3.3423545331529159</v>
      </c>
    </row>
    <row r="88" spans="2:6" x14ac:dyDescent="0.3">
      <c r="B88" s="76" t="s">
        <v>71</v>
      </c>
      <c r="C88" s="76">
        <v>23587.5</v>
      </c>
      <c r="D88" s="76">
        <v>333.25</v>
      </c>
      <c r="E88" s="76">
        <f t="shared" si="2"/>
        <v>-4.7673841159869648</v>
      </c>
      <c r="F88" s="76">
        <f t="shared" si="3"/>
        <v>-6.6918661626767406</v>
      </c>
    </row>
    <row r="89" spans="2:6" x14ac:dyDescent="0.3">
      <c r="B89" s="76" t="s">
        <v>72</v>
      </c>
      <c r="C89" s="76">
        <v>23813.4</v>
      </c>
      <c r="D89" s="76">
        <v>335</v>
      </c>
      <c r="E89" s="76">
        <f t="shared" si="2"/>
        <v>0.95771065182830506</v>
      </c>
      <c r="F89" s="76">
        <f t="shared" si="3"/>
        <v>0.5251312828207052</v>
      </c>
    </row>
    <row r="90" spans="2:6" x14ac:dyDescent="0.3">
      <c r="B90" s="77">
        <v>45717</v>
      </c>
      <c r="C90" s="76">
        <v>24004.75</v>
      </c>
      <c r="D90" s="76">
        <v>339.85</v>
      </c>
      <c r="E90" s="76">
        <f t="shared" si="2"/>
        <v>0.80353918382086775</v>
      </c>
      <c r="F90" s="76">
        <f t="shared" si="3"/>
        <v>1.4477611940298574</v>
      </c>
    </row>
    <row r="91" spans="2:6" x14ac:dyDescent="0.3">
      <c r="B91" s="77">
        <v>45931</v>
      </c>
      <c r="C91" s="76">
        <v>23431.5</v>
      </c>
      <c r="D91" s="76">
        <v>308.25</v>
      </c>
      <c r="E91" s="76">
        <f t="shared" si="2"/>
        <v>-2.3880690280048742</v>
      </c>
      <c r="F91" s="76">
        <f t="shared" si="3"/>
        <v>-9.2982198028542058</v>
      </c>
    </row>
    <row r="92" spans="2:6" x14ac:dyDescent="0.3">
      <c r="B92" s="76" t="s">
        <v>73</v>
      </c>
      <c r="C92" s="76">
        <v>23203.200000000001</v>
      </c>
      <c r="D92" s="76">
        <v>326.14999999999998</v>
      </c>
      <c r="E92" s="76">
        <f t="shared" si="2"/>
        <v>-0.97432942833365033</v>
      </c>
      <c r="F92" s="76">
        <f t="shared" si="3"/>
        <v>5.8069748580697409</v>
      </c>
    </row>
    <row r="93" spans="2:6" x14ac:dyDescent="0.3">
      <c r="B93" s="76" t="s">
        <v>74</v>
      </c>
      <c r="C93" s="76">
        <v>23092.2</v>
      </c>
      <c r="D93" s="76">
        <v>323.64999999999998</v>
      </c>
      <c r="E93" s="76">
        <f t="shared" si="2"/>
        <v>-0.47838229209764166</v>
      </c>
      <c r="F93" s="76">
        <f t="shared" si="3"/>
        <v>-0.7665184730952016</v>
      </c>
    </row>
    <row r="94" spans="2:6" x14ac:dyDescent="0.3">
      <c r="B94" s="77">
        <v>45840</v>
      </c>
      <c r="C94" s="76">
        <v>23559.95</v>
      </c>
      <c r="D94" s="76">
        <v>316.95</v>
      </c>
      <c r="E94" s="76">
        <f t="shared" si="2"/>
        <v>2.0255757355297459</v>
      </c>
      <c r="F94" s="76">
        <f t="shared" si="3"/>
        <v>-2.0701374942067012</v>
      </c>
    </row>
    <row r="95" spans="2:6" x14ac:dyDescent="0.3">
      <c r="B95" s="76" t="s">
        <v>75</v>
      </c>
      <c r="C95" s="76">
        <v>22929.25</v>
      </c>
      <c r="D95" s="76">
        <v>300.35000000000002</v>
      </c>
      <c r="E95" s="76">
        <f t="shared" si="2"/>
        <v>-2.6770005878620315</v>
      </c>
      <c r="F95" s="76">
        <f t="shared" si="3"/>
        <v>-5.2374191512856809</v>
      </c>
    </row>
    <row r="96" spans="2:6" x14ac:dyDescent="0.3">
      <c r="B96" s="76" t="s">
        <v>76</v>
      </c>
      <c r="C96" s="76">
        <v>22795.9</v>
      </c>
      <c r="D96" s="76">
        <v>326.25</v>
      </c>
      <c r="E96" s="76">
        <f t="shared" si="2"/>
        <v>-0.58157157342694832</v>
      </c>
      <c r="F96" s="76">
        <f t="shared" si="3"/>
        <v>8.623272848343591</v>
      </c>
    </row>
    <row r="97" spans="2:6" x14ac:dyDescent="0.3">
      <c r="B97" s="76" t="s">
        <v>77</v>
      </c>
      <c r="C97" s="76">
        <v>22124.7</v>
      </c>
      <c r="D97" s="76">
        <v>311.45</v>
      </c>
      <c r="E97" s="76">
        <f t="shared" si="2"/>
        <v>-2.9443891226053838</v>
      </c>
      <c r="F97" s="76">
        <f t="shared" si="3"/>
        <v>-4.5363984674329538</v>
      </c>
    </row>
    <row r="98" spans="2:6" x14ac:dyDescent="0.3">
      <c r="B98" s="77">
        <v>45841</v>
      </c>
      <c r="C98" s="76">
        <v>22552.5</v>
      </c>
      <c r="D98" s="76">
        <v>329.55</v>
      </c>
      <c r="E98" s="76">
        <f t="shared" si="2"/>
        <v>1.9335855401429138</v>
      </c>
      <c r="F98" s="76">
        <f t="shared" si="3"/>
        <v>5.8115267298121758</v>
      </c>
    </row>
    <row r="99" spans="2:6" x14ac:dyDescent="0.3">
      <c r="B99" s="76" t="s">
        <v>78</v>
      </c>
      <c r="C99" s="76">
        <v>22397.200000000001</v>
      </c>
      <c r="D99" s="76">
        <v>331.9</v>
      </c>
      <c r="E99" s="76">
        <f t="shared" si="2"/>
        <v>-0.68861545283227699</v>
      </c>
      <c r="F99" s="76">
        <f t="shared" si="3"/>
        <v>0.71309361250188619</v>
      </c>
    </row>
    <row r="100" spans="2:6" x14ac:dyDescent="0.3">
      <c r="B100" s="76" t="s">
        <v>79</v>
      </c>
      <c r="C100" s="76">
        <v>23350.400000000001</v>
      </c>
      <c r="D100" s="76">
        <v>351.3</v>
      </c>
      <c r="E100" s="76">
        <f t="shared" si="2"/>
        <v>4.2558891289982705</v>
      </c>
      <c r="F100" s="76">
        <f t="shared" si="3"/>
        <v>5.845134076529086</v>
      </c>
    </row>
    <row r="101" spans="2:6" x14ac:dyDescent="0.3">
      <c r="B101" s="76" t="s">
        <v>80</v>
      </c>
      <c r="C101" s="76">
        <v>23519.35</v>
      </c>
      <c r="D101" s="76">
        <v>357.6</v>
      </c>
      <c r="E101" s="76">
        <f t="shared" si="2"/>
        <v>0.72354220912702594</v>
      </c>
      <c r="F101" s="76">
        <f t="shared" si="3"/>
        <v>1.7933390264731028</v>
      </c>
    </row>
    <row r="102" spans="2:6" x14ac:dyDescent="0.3">
      <c r="B102" s="77">
        <v>45751</v>
      </c>
      <c r="C102" s="76">
        <v>22904.45</v>
      </c>
      <c r="D102" s="76">
        <v>350.4</v>
      </c>
      <c r="E102" s="76">
        <f t="shared" si="2"/>
        <v>-2.6144430011883739</v>
      </c>
      <c r="F102" s="76">
        <f t="shared" si="3"/>
        <v>-2.0134228187919589</v>
      </c>
    </row>
    <row r="103" spans="2:6" x14ac:dyDescent="0.3">
      <c r="B103" s="77">
        <v>45965</v>
      </c>
      <c r="C103" s="76">
        <v>22828.55</v>
      </c>
      <c r="D103" s="76">
        <v>360.1</v>
      </c>
      <c r="E103" s="76">
        <f t="shared" si="2"/>
        <v>-0.33137665388167559</v>
      </c>
      <c r="F103" s="76">
        <f t="shared" si="3"/>
        <v>2.7682648401826615</v>
      </c>
    </row>
    <row r="104" spans="2:6" x14ac:dyDescent="0.3">
      <c r="B104" s="76" t="s">
        <v>81</v>
      </c>
      <c r="C104" s="76">
        <v>23851.65</v>
      </c>
      <c r="D104" s="76">
        <v>364</v>
      </c>
      <c r="E104" s="76">
        <f t="shared" si="2"/>
        <v>4.4816687875489345</v>
      </c>
      <c r="F104" s="76">
        <f t="shared" si="3"/>
        <v>1.0830324909747229</v>
      </c>
    </row>
    <row r="105" spans="2:6" x14ac:dyDescent="0.3">
      <c r="B105" s="76" t="s">
        <v>82</v>
      </c>
      <c r="C105" s="76">
        <v>24039.35</v>
      </c>
      <c r="D105" s="76">
        <v>356.45</v>
      </c>
      <c r="E105" s="76">
        <f t="shared" si="2"/>
        <v>0.78694765351662088</v>
      </c>
      <c r="F105" s="76">
        <f t="shared" si="3"/>
        <v>-2.074175824175827</v>
      </c>
    </row>
    <row r="106" spans="2:6" x14ac:dyDescent="0.3">
      <c r="B106" s="77">
        <v>45693</v>
      </c>
      <c r="C106" s="76">
        <v>24312.7</v>
      </c>
      <c r="D106" s="76">
        <v>348.45</v>
      </c>
      <c r="E106" s="76">
        <f t="shared" si="2"/>
        <v>1.1370939730067668</v>
      </c>
      <c r="F106" s="76">
        <f t="shared" si="3"/>
        <v>-2.2443540468508907</v>
      </c>
    </row>
    <row r="107" spans="2:6" x14ac:dyDescent="0.3">
      <c r="B107" s="77">
        <v>45905</v>
      </c>
      <c r="C107" s="76">
        <v>24008</v>
      </c>
      <c r="D107" s="76">
        <v>334.75</v>
      </c>
      <c r="E107" s="76">
        <f t="shared" si="2"/>
        <v>-1.2532544719426502</v>
      </c>
      <c r="F107" s="76">
        <f t="shared" si="3"/>
        <v>-3.9316975175778417</v>
      </c>
    </row>
    <row r="108" spans="2:6" x14ac:dyDescent="0.3">
      <c r="B108" s="76" t="s">
        <v>83</v>
      </c>
      <c r="C108" s="76">
        <v>25019.8</v>
      </c>
      <c r="D108" s="76">
        <v>343.1</v>
      </c>
      <c r="E108" s="76">
        <f t="shared" si="2"/>
        <v>4.2144285238253882</v>
      </c>
      <c r="F108" s="76">
        <f t="shared" si="3"/>
        <v>2.4943988050784234</v>
      </c>
    </row>
    <row r="109" spans="2:6" x14ac:dyDescent="0.3">
      <c r="B109" s="76" t="s">
        <v>84</v>
      </c>
      <c r="C109" s="76">
        <v>24853.15</v>
      </c>
      <c r="D109" s="76">
        <v>344.6</v>
      </c>
      <c r="E109" s="76">
        <f t="shared" si="2"/>
        <v>-0.66607247060327346</v>
      </c>
      <c r="F109" s="76">
        <f t="shared" si="3"/>
        <v>0.43719032352083936</v>
      </c>
    </row>
    <row r="110" spans="2:6" x14ac:dyDescent="0.3">
      <c r="B110" s="76" t="s">
        <v>85</v>
      </c>
      <c r="C110" s="76">
        <v>24750.7</v>
      </c>
      <c r="D110" s="76">
        <v>333.9</v>
      </c>
      <c r="E110" s="76">
        <f t="shared" si="2"/>
        <v>-0.41222138843567402</v>
      </c>
      <c r="F110" s="76">
        <f t="shared" si="3"/>
        <v>-3.1050493325595023</v>
      </c>
    </row>
    <row r="111" spans="2:6" x14ac:dyDescent="0.3">
      <c r="B111" s="77">
        <v>45814</v>
      </c>
      <c r="C111" s="76">
        <v>25003.05</v>
      </c>
      <c r="D111" s="76">
        <v>332.85</v>
      </c>
      <c r="E111" s="76">
        <f t="shared" si="2"/>
        <v>1.0195671233540811</v>
      </c>
      <c r="F111" s="76">
        <f t="shared" si="3"/>
        <v>-0.31446540880501783</v>
      </c>
    </row>
    <row r="112" spans="2:6" x14ac:dyDescent="0.3">
      <c r="B112" s="76" t="s">
        <v>86</v>
      </c>
      <c r="C112" s="76">
        <v>24718.6</v>
      </c>
      <c r="D112" s="76">
        <v>331.95</v>
      </c>
      <c r="E112" s="76">
        <f t="shared" si="2"/>
        <v>-1.1376612053329522</v>
      </c>
      <c r="F112" s="76">
        <f t="shared" si="3"/>
        <v>-0.27039206849933423</v>
      </c>
    </row>
    <row r="113" spans="2:6" x14ac:dyDescent="0.3">
      <c r="B113" s="76" t="s">
        <v>87</v>
      </c>
      <c r="C113" s="76">
        <v>25112.400000000001</v>
      </c>
      <c r="D113" s="76">
        <v>335.2</v>
      </c>
      <c r="E113" s="76">
        <f t="shared" si="2"/>
        <v>1.5931322971365811</v>
      </c>
      <c r="F113" s="76">
        <f t="shared" si="3"/>
        <v>0.97906311191444506</v>
      </c>
    </row>
    <row r="114" spans="2:6" x14ac:dyDescent="0.3">
      <c r="B114" s="76" t="s">
        <v>88</v>
      </c>
      <c r="C114" s="76">
        <v>25637.8</v>
      </c>
      <c r="D114" s="76">
        <v>338.3</v>
      </c>
      <c r="E114" s="76">
        <f t="shared" si="2"/>
        <v>2.0921934980328358</v>
      </c>
      <c r="F114" s="76">
        <f t="shared" si="3"/>
        <v>0.92482100238664178</v>
      </c>
    </row>
    <row r="115" spans="2:6" x14ac:dyDescent="0.3">
      <c r="B115" s="77">
        <v>45754</v>
      </c>
      <c r="C115" s="76">
        <v>25461</v>
      </c>
      <c r="D115" s="76">
        <v>335.5</v>
      </c>
      <c r="E115" s="76">
        <f t="shared" si="2"/>
        <v>-0.68960675252946535</v>
      </c>
      <c r="F115" s="76">
        <f t="shared" si="3"/>
        <v>-0.82766775051729569</v>
      </c>
    </row>
    <row r="116" spans="2:6" x14ac:dyDescent="0.3">
      <c r="B116" s="77">
        <v>45968</v>
      </c>
      <c r="C116" s="76">
        <v>25149.85</v>
      </c>
      <c r="D116" s="76">
        <v>342.7</v>
      </c>
      <c r="E116" s="76">
        <f t="shared" si="2"/>
        <v>-1.2220651192019225</v>
      </c>
      <c r="F116" s="76">
        <f t="shared" si="3"/>
        <v>2.1460506706408311</v>
      </c>
    </row>
    <row r="117" spans="2:6" x14ac:dyDescent="0.3">
      <c r="B117" s="76" t="s">
        <v>89</v>
      </c>
      <c r="C117" s="76">
        <v>24968.400000000001</v>
      </c>
      <c r="D117" s="76">
        <v>342.1</v>
      </c>
      <c r="E117" s="76">
        <f t="shared" si="2"/>
        <v>-0.72147547599686312</v>
      </c>
      <c r="F117" s="76">
        <f t="shared" si="3"/>
        <v>-0.17508024511233322</v>
      </c>
    </row>
    <row r="118" spans="2:6" x14ac:dyDescent="0.3">
      <c r="B118" s="76" t="s">
        <v>90</v>
      </c>
      <c r="C118" s="76">
        <v>24837</v>
      </c>
      <c r="D118" s="76">
        <v>333.2</v>
      </c>
      <c r="E118" s="76">
        <f t="shared" si="2"/>
        <v>-0.52626519921180948</v>
      </c>
      <c r="F118" s="76">
        <f t="shared" si="3"/>
        <v>-2.6015784858228685</v>
      </c>
    </row>
    <row r="119" spans="2:6" x14ac:dyDescent="0.3">
      <c r="B119" s="77">
        <v>45665</v>
      </c>
      <c r="C119" s="76">
        <v>24565.35</v>
      </c>
      <c r="D119" s="76">
        <v>330.9</v>
      </c>
      <c r="E119" s="76">
        <f t="shared" si="2"/>
        <v>-1.0937311269477048</v>
      </c>
      <c r="F119" s="76">
        <f t="shared" si="3"/>
        <v>-0.69027611044418113</v>
      </c>
    </row>
    <row r="120" spans="2:6" x14ac:dyDescent="0.3">
      <c r="B120" s="77">
        <v>45877</v>
      </c>
      <c r="C120" s="76">
        <v>24363.3</v>
      </c>
      <c r="D120" s="76">
        <v>334.75</v>
      </c>
      <c r="E120" s="76">
        <f t="shared" si="2"/>
        <v>-0.82249998473459285</v>
      </c>
      <c r="F120" s="76">
        <f t="shared" si="3"/>
        <v>1.1634935025687587</v>
      </c>
    </row>
    <row r="121" spans="2:6" x14ac:dyDescent="0.3">
      <c r="B121" s="76" t="s">
        <v>91</v>
      </c>
      <c r="C121" s="76">
        <v>24631.3</v>
      </c>
      <c r="D121" s="76">
        <v>339.35</v>
      </c>
      <c r="E121" s="76">
        <f t="shared" si="2"/>
        <v>1.1000151867768324</v>
      </c>
      <c r="F121" s="76">
        <f t="shared" si="3"/>
        <v>1.3741598207617693</v>
      </c>
    </row>
    <row r="122" spans="2:6" x14ac:dyDescent="0.3">
      <c r="B122" s="76" t="s">
        <v>92</v>
      </c>
      <c r="C122" s="76">
        <v>24870.1</v>
      </c>
      <c r="D122" s="76">
        <v>337</v>
      </c>
      <c r="E122" s="76">
        <f t="shared" si="2"/>
        <v>0.96949815884666779</v>
      </c>
      <c r="F122" s="76">
        <f t="shared" si="3"/>
        <v>-0.69250036835126638</v>
      </c>
    </row>
    <row r="123" spans="2:6" x14ac:dyDescent="0.3">
      <c r="B123" s="76" t="s">
        <v>93</v>
      </c>
      <c r="C123" s="76">
        <v>24426.85</v>
      </c>
      <c r="D123" s="76">
        <v>327.55</v>
      </c>
      <c r="E123" s="76">
        <f t="shared" si="2"/>
        <v>-1.782260626213807</v>
      </c>
      <c r="F123" s="76">
        <f t="shared" si="3"/>
        <v>-2.8041543026706197</v>
      </c>
    </row>
    <row r="124" spans="2:6" x14ac:dyDescent="0.3">
      <c r="B124" s="77">
        <v>45786</v>
      </c>
      <c r="C124" s="76">
        <v>24741</v>
      </c>
      <c r="D124" s="76">
        <v>328.7</v>
      </c>
      <c r="E124" s="76">
        <f t="shared" si="2"/>
        <v>1.2860847796584558</v>
      </c>
      <c r="F124" s="76">
        <f t="shared" si="3"/>
        <v>0.35109143642191337</v>
      </c>
    </row>
    <row r="125" spans="2:6" x14ac:dyDescent="0.3">
      <c r="B125" s="77">
        <v>46000</v>
      </c>
      <c r="C125" s="76">
        <v>25114</v>
      </c>
      <c r="D125" s="76">
        <v>331.7</v>
      </c>
      <c r="E125" s="76">
        <f t="shared" si="2"/>
        <v>1.5076189321369386</v>
      </c>
      <c r="F125" s="76">
        <f t="shared" si="3"/>
        <v>0.91268634012777616</v>
      </c>
    </row>
    <row r="126" spans="2:6" x14ac:dyDescent="0.3">
      <c r="B126" s="76" t="s">
        <v>94</v>
      </c>
      <c r="C126" s="76">
        <v>25327.05</v>
      </c>
      <c r="D126" s="76">
        <v>338.65</v>
      </c>
      <c r="E126" s="76">
        <f t="shared" si="2"/>
        <v>0.84833160786811845</v>
      </c>
      <c r="F126" s="76">
        <f t="shared" si="3"/>
        <v>2.0952668073560412</v>
      </c>
    </row>
    <row r="127" spans="2:6" x14ac:dyDescent="0.3">
      <c r="B127" s="76" t="s">
        <v>95</v>
      </c>
      <c r="C127" s="76">
        <v>24654.7</v>
      </c>
      <c r="D127" s="76">
        <v>337.9</v>
      </c>
      <c r="E127" s="76">
        <f t="shared" si="2"/>
        <v>-2.6546715863079142</v>
      </c>
      <c r="F127" s="76">
        <f t="shared" si="3"/>
        <v>-0.22146759190905066</v>
      </c>
    </row>
    <row r="128" spans="2:6" x14ac:dyDescent="0.3">
      <c r="B128" s="77">
        <v>45726</v>
      </c>
      <c r="C128" s="76">
        <v>24894.25</v>
      </c>
      <c r="D128" s="76">
        <v>342</v>
      </c>
      <c r="E128" s="76">
        <f t="shared" si="2"/>
        <v>0.97162001565624101</v>
      </c>
      <c r="F128" s="76">
        <f t="shared" si="3"/>
        <v>1.2133767386800898</v>
      </c>
    </row>
    <row r="129" spans="2:6" x14ac:dyDescent="0.3">
      <c r="B129" s="77">
        <v>45940</v>
      </c>
      <c r="C129" s="76">
        <v>25285.35</v>
      </c>
      <c r="D129" s="76">
        <v>339.7</v>
      </c>
      <c r="E129" s="76">
        <f t="shared" si="2"/>
        <v>1.571045522560425</v>
      </c>
      <c r="F129" s="76">
        <f t="shared" si="3"/>
        <v>-0.67251461988304428</v>
      </c>
    </row>
    <row r="130" spans="2:6" x14ac:dyDescent="0.3">
      <c r="B130" s="76" t="s">
        <v>96</v>
      </c>
      <c r="C130" s="76">
        <v>25709.85</v>
      </c>
      <c r="D130" s="76">
        <v>341</v>
      </c>
      <c r="E130" s="76">
        <f t="shared" si="2"/>
        <v>1.6788377459675268</v>
      </c>
      <c r="F130" s="76">
        <f t="shared" si="3"/>
        <v>0.38269060936120441</v>
      </c>
    </row>
    <row r="131" spans="2:6" x14ac:dyDescent="0.3">
      <c r="B131" s="76" t="s">
        <v>97</v>
      </c>
      <c r="C131" s="76">
        <v>25795.15</v>
      </c>
      <c r="D131" s="76">
        <v>339.6</v>
      </c>
      <c r="E131" s="76">
        <f t="shared" si="2"/>
        <v>0.3317794541780793</v>
      </c>
      <c r="F131" s="76">
        <f t="shared" si="3"/>
        <v>-0.41055718475072644</v>
      </c>
    </row>
    <row r="132" spans="2:6" x14ac:dyDescent="0.3">
      <c r="B132" s="76" t="s">
        <v>98</v>
      </c>
      <c r="C132" s="76">
        <v>25722.1</v>
      </c>
      <c r="D132" s="76">
        <v>336.95</v>
      </c>
      <c r="E132" s="76">
        <f t="shared" si="2"/>
        <v>-0.28319277073404459</v>
      </c>
      <c r="F132" s="76">
        <f t="shared" si="3"/>
        <v>-0.78032979976443873</v>
      </c>
    </row>
    <row r="133" spans="2:6" x14ac:dyDescent="0.3">
      <c r="B133" s="77">
        <v>45849</v>
      </c>
      <c r="C133" s="76">
        <v>25492.3</v>
      </c>
      <c r="D133" s="76">
        <v>326.10000000000002</v>
      </c>
      <c r="E133" s="76">
        <f t="shared" si="2"/>
        <v>-0.89339517379995914</v>
      </c>
      <c r="F133" s="76">
        <f t="shared" si="3"/>
        <v>-3.2200623237869022</v>
      </c>
    </row>
    <row r="134" spans="2:6" x14ac:dyDescent="0.3">
      <c r="B134" s="76" t="s">
        <v>99</v>
      </c>
      <c r="C134" s="76">
        <v>25910.05</v>
      </c>
      <c r="D134" s="76">
        <v>328.45</v>
      </c>
      <c r="E134" s="76">
        <f t="shared" si="2"/>
        <v>1.638730126351879</v>
      </c>
      <c r="F134" s="76">
        <f t="shared" si="3"/>
        <v>0.72063784115300999</v>
      </c>
    </row>
    <row r="135" spans="2:6" x14ac:dyDescent="0.3">
      <c r="B135" s="76" t="s">
        <v>100</v>
      </c>
      <c r="C135" s="76">
        <v>26068.15</v>
      </c>
      <c r="D135" s="76">
        <v>326.64999999999998</v>
      </c>
      <c r="E135" s="76">
        <f t="shared" si="2"/>
        <v>0.61018793865701604</v>
      </c>
      <c r="F135" s="76">
        <f t="shared" si="3"/>
        <v>-0.54802861927234325</v>
      </c>
    </row>
    <row r="136" spans="2:6" x14ac:dyDescent="0.3">
      <c r="B136" s="76" t="s">
        <v>101</v>
      </c>
      <c r="C136" s="76">
        <v>26202.95</v>
      </c>
      <c r="D136" s="76">
        <v>326.45</v>
      </c>
      <c r="E136" s="76">
        <f t="shared" ref="E136:E155" si="4">(C136-C135)/C135*100</f>
        <v>0.51710612375638187</v>
      </c>
      <c r="F136" s="76">
        <f t="shared" ref="F136:F155" si="5">(D136-D135)/D135*100</f>
        <v>-6.122761365375437E-2</v>
      </c>
    </row>
    <row r="137" spans="2:6" x14ac:dyDescent="0.3">
      <c r="B137" s="77">
        <v>45789</v>
      </c>
      <c r="C137" s="76">
        <v>26186.45</v>
      </c>
      <c r="D137" s="76">
        <v>323.3</v>
      </c>
      <c r="E137" s="76">
        <f t="shared" si="4"/>
        <v>-6.2970009102028587E-2</v>
      </c>
      <c r="F137" s="76">
        <f t="shared" si="5"/>
        <v>-0.96492571603613952</v>
      </c>
    </row>
    <row r="138" spans="2:6" x14ac:dyDescent="0.3">
      <c r="B138" s="77">
        <v>46003</v>
      </c>
      <c r="C138" s="76">
        <v>26046.95</v>
      </c>
      <c r="D138" s="76">
        <v>325.05</v>
      </c>
      <c r="E138" s="76">
        <f t="shared" si="4"/>
        <v>-0.53271825696113828</v>
      </c>
      <c r="F138" s="76">
        <f t="shared" si="5"/>
        <v>0.54129291679554592</v>
      </c>
    </row>
    <row r="139" spans="2:6" x14ac:dyDescent="0.3">
      <c r="B139" s="76" t="s">
        <v>102</v>
      </c>
      <c r="C139" s="76">
        <v>25966.400000000001</v>
      </c>
      <c r="D139" s="76">
        <v>319.89999999999998</v>
      </c>
      <c r="E139" s="76">
        <f t="shared" si="4"/>
        <v>-0.30924925951022775</v>
      </c>
      <c r="F139" s="76">
        <f t="shared" si="5"/>
        <v>-1.584371635133067</v>
      </c>
    </row>
    <row r="140" spans="2:6" x14ac:dyDescent="0.3">
      <c r="B140" s="76" t="s">
        <v>103</v>
      </c>
      <c r="C140" s="76">
        <v>26042.3</v>
      </c>
      <c r="D140" s="76">
        <v>324.10000000000002</v>
      </c>
      <c r="E140" s="76">
        <f t="shared" si="4"/>
        <v>0.29230081952060283</v>
      </c>
      <c r="F140" s="76">
        <f t="shared" si="5"/>
        <v>1.3129102844639093</v>
      </c>
    </row>
    <row r="141" spans="2:6" x14ac:dyDescent="0.3">
      <c r="B141" s="77">
        <v>46054</v>
      </c>
      <c r="C141" s="76">
        <v>26328.55</v>
      </c>
      <c r="D141" s="76">
        <v>352.1</v>
      </c>
      <c r="E141" s="76">
        <f t="shared" si="4"/>
        <v>1.0991732681061197</v>
      </c>
      <c r="F141" s="76">
        <f t="shared" si="5"/>
        <v>8.639308855291576</v>
      </c>
    </row>
    <row r="142" spans="2:6" x14ac:dyDescent="0.3">
      <c r="B142" s="77">
        <v>46266</v>
      </c>
      <c r="C142" s="76">
        <v>25683.3</v>
      </c>
      <c r="D142" s="76">
        <v>336</v>
      </c>
      <c r="E142" s="76">
        <f t="shared" si="4"/>
        <v>-2.4507616256877038</v>
      </c>
      <c r="F142" s="76">
        <f t="shared" si="5"/>
        <v>-4.5725646123260502</v>
      </c>
    </row>
    <row r="143" spans="2:6" x14ac:dyDescent="0.3">
      <c r="B143" s="76" t="s">
        <v>104</v>
      </c>
      <c r="C143" s="76">
        <v>25694.35</v>
      </c>
      <c r="D143" s="76">
        <v>346.35</v>
      </c>
      <c r="E143" s="76">
        <f t="shared" si="4"/>
        <v>4.3024066222016925E-2</v>
      </c>
      <c r="F143" s="76">
        <f t="shared" si="5"/>
        <v>3.0803571428571495</v>
      </c>
    </row>
    <row r="144" spans="2:6" x14ac:dyDescent="0.3">
      <c r="B144" s="76" t="s">
        <v>105</v>
      </c>
      <c r="C144" s="76">
        <v>25048.65</v>
      </c>
      <c r="D144" s="76">
        <v>336.7</v>
      </c>
      <c r="E144" s="76">
        <f t="shared" si="4"/>
        <v>-2.5130038315816403</v>
      </c>
      <c r="F144" s="76">
        <f t="shared" si="5"/>
        <v>-2.7861989317164815</v>
      </c>
    </row>
    <row r="145" spans="2:6" x14ac:dyDescent="0.3">
      <c r="B145" s="76" t="s">
        <v>106</v>
      </c>
      <c r="C145" s="76">
        <v>25320.65</v>
      </c>
      <c r="D145" s="76">
        <v>356</v>
      </c>
      <c r="E145" s="76">
        <f t="shared" si="4"/>
        <v>1.08588686416234</v>
      </c>
      <c r="F145" s="76">
        <f t="shared" si="5"/>
        <v>5.7321057321057358</v>
      </c>
    </row>
    <row r="146" spans="2:6" x14ac:dyDescent="0.3">
      <c r="B146" s="77">
        <v>46175</v>
      </c>
      <c r="C146" s="76">
        <v>25693.7</v>
      </c>
      <c r="D146" s="76">
        <v>365.05</v>
      </c>
      <c r="E146" s="76">
        <f t="shared" si="4"/>
        <v>1.4733034104574696</v>
      </c>
      <c r="F146" s="76">
        <f t="shared" si="5"/>
        <v>2.5421348314606775</v>
      </c>
    </row>
    <row r="147" spans="2:6" x14ac:dyDescent="0.3">
      <c r="B147" s="76" t="s">
        <v>107</v>
      </c>
      <c r="C147" s="76">
        <v>25471.1</v>
      </c>
      <c r="D147" s="76">
        <v>363</v>
      </c>
      <c r="E147" s="76">
        <f t="shared" si="4"/>
        <v>-0.86636023616685087</v>
      </c>
      <c r="F147" s="76">
        <f t="shared" si="5"/>
        <v>-0.56156690864265479</v>
      </c>
    </row>
    <row r="148" spans="2:6" x14ac:dyDescent="0.3">
      <c r="B148" s="76" t="s">
        <v>108</v>
      </c>
      <c r="C148" s="76">
        <v>25571.25</v>
      </c>
      <c r="D148" s="76">
        <v>372.95</v>
      </c>
      <c r="E148" s="76">
        <f t="shared" si="4"/>
        <v>0.393190714181961</v>
      </c>
      <c r="F148" s="76">
        <f t="shared" si="5"/>
        <v>2.74104683195592</v>
      </c>
    </row>
    <row r="149" spans="2:6" x14ac:dyDescent="0.3">
      <c r="B149" s="76" t="s">
        <v>109</v>
      </c>
      <c r="C149" s="76">
        <v>25178.65</v>
      </c>
      <c r="D149" s="76">
        <v>381.9</v>
      </c>
      <c r="E149" s="76">
        <f t="shared" si="4"/>
        <v>-1.5353179840641289</v>
      </c>
      <c r="F149" s="76">
        <f t="shared" si="5"/>
        <v>2.3997854940340497</v>
      </c>
    </row>
    <row r="150" spans="2:6" x14ac:dyDescent="0.3">
      <c r="B150" s="77">
        <v>46176</v>
      </c>
      <c r="C150" s="76">
        <v>24450.45</v>
      </c>
      <c r="D150" s="76">
        <v>380.6</v>
      </c>
      <c r="E150" s="76">
        <f t="shared" si="4"/>
        <v>-2.8921328188763127</v>
      </c>
      <c r="F150" s="76">
        <f t="shared" si="5"/>
        <v>-0.34040324692326646</v>
      </c>
    </row>
    <row r="151" spans="2:6" x14ac:dyDescent="0.3">
      <c r="B151" s="76" t="s">
        <v>110</v>
      </c>
      <c r="C151" s="76">
        <v>23151.1</v>
      </c>
      <c r="D151" s="76">
        <v>384.45</v>
      </c>
      <c r="E151" s="76">
        <f t="shared" si="4"/>
        <v>-5.3142171207482978</v>
      </c>
      <c r="F151" s="76">
        <f t="shared" si="5"/>
        <v>1.0115606936416095</v>
      </c>
    </row>
    <row r="152" spans="2:6" x14ac:dyDescent="0.3">
      <c r="B152" s="76" t="s">
        <v>111</v>
      </c>
      <c r="C152" s="76">
        <v>23114.5</v>
      </c>
      <c r="D152" s="76">
        <v>380.95</v>
      </c>
      <c r="E152" s="76">
        <f t="shared" si="4"/>
        <v>-0.15809184012854052</v>
      </c>
      <c r="F152" s="76">
        <f t="shared" si="5"/>
        <v>-0.91039146833138251</v>
      </c>
    </row>
    <row r="153" spans="2:6" x14ac:dyDescent="0.3">
      <c r="B153" s="76" t="s">
        <v>112</v>
      </c>
      <c r="C153" s="76">
        <v>22819.599999999999</v>
      </c>
      <c r="D153" s="76">
        <v>375.65</v>
      </c>
      <c r="E153" s="76">
        <f t="shared" si="4"/>
        <v>-1.2758225356378095</v>
      </c>
      <c r="F153" s="76">
        <f t="shared" si="5"/>
        <v>-1.3912586953668491</v>
      </c>
    </row>
    <row r="154" spans="2:6" x14ac:dyDescent="0.3">
      <c r="B154" s="77">
        <v>46057</v>
      </c>
      <c r="C154" s="76">
        <v>22713.1</v>
      </c>
      <c r="D154" s="76">
        <v>359.65</v>
      </c>
      <c r="E154" s="76">
        <f t="shared" si="4"/>
        <v>-0.46670406142088383</v>
      </c>
      <c r="F154" s="76">
        <f t="shared" si="5"/>
        <v>-4.2592839078929856</v>
      </c>
    </row>
    <row r="155" spans="2:6" x14ac:dyDescent="0.3">
      <c r="B155" s="77">
        <v>46299</v>
      </c>
      <c r="C155" s="76">
        <v>24050.6</v>
      </c>
      <c r="D155" s="76">
        <v>380.15</v>
      </c>
      <c r="E155" s="76">
        <f t="shared" si="4"/>
        <v>5.8886721759689351</v>
      </c>
      <c r="F155" s="76">
        <f t="shared" si="5"/>
        <v>5.6999860975948842</v>
      </c>
    </row>
  </sheetData>
  <mergeCells count="2">
    <mergeCell ref="B1:F2"/>
    <mergeCell ref="B3:F4"/>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C0A9B-8036-4A1B-8D61-B993B1488B95}">
  <dimension ref="A1:K27"/>
  <sheetViews>
    <sheetView workbookViewId="0">
      <selection activeCell="E30" sqref="E30"/>
    </sheetView>
  </sheetViews>
  <sheetFormatPr defaultRowHeight="14.4" x14ac:dyDescent="0.3"/>
  <cols>
    <col min="2" max="2" width="34" customWidth="1"/>
    <col min="3" max="3" width="21.6640625" customWidth="1"/>
    <col min="4" max="4" width="28" customWidth="1"/>
    <col min="5" max="5" width="19.6640625" customWidth="1"/>
    <col min="6" max="6" width="17.5546875" customWidth="1"/>
    <col min="7" max="7" width="16.44140625" customWidth="1"/>
    <col min="8" max="8" width="18.44140625" customWidth="1"/>
    <col min="9" max="9" width="16.44140625" customWidth="1"/>
    <col min="10" max="10" width="16.33203125" customWidth="1"/>
  </cols>
  <sheetData>
    <row r="1" spans="1:11" ht="18.600000000000001" customHeight="1" x14ac:dyDescent="0.3">
      <c r="A1" s="81"/>
      <c r="B1" s="227" t="s">
        <v>113</v>
      </c>
      <c r="C1" s="227"/>
      <c r="D1" s="227"/>
      <c r="E1" s="227"/>
      <c r="F1" s="227"/>
      <c r="G1" s="227"/>
      <c r="H1" s="227"/>
      <c r="I1" s="227"/>
      <c r="J1" s="227"/>
      <c r="K1" s="227"/>
    </row>
    <row r="2" spans="1:11" ht="15.75" customHeight="1" x14ac:dyDescent="0.3">
      <c r="A2" s="81"/>
      <c r="B2" s="227"/>
      <c r="C2" s="227"/>
      <c r="D2" s="227"/>
      <c r="E2" s="227"/>
      <c r="F2" s="227"/>
      <c r="G2" s="227"/>
      <c r="H2" s="227"/>
      <c r="I2" s="227"/>
      <c r="J2" s="227"/>
      <c r="K2" s="227"/>
    </row>
    <row r="3" spans="1:11" x14ac:dyDescent="0.3">
      <c r="A3" s="84"/>
      <c r="B3" s="84"/>
      <c r="C3" s="84"/>
      <c r="D3" s="84"/>
      <c r="E3" s="84"/>
      <c r="F3" s="84"/>
      <c r="G3" s="84"/>
      <c r="H3" s="84"/>
      <c r="I3" s="84"/>
      <c r="J3" s="84"/>
      <c r="K3" s="84"/>
    </row>
    <row r="4" spans="1:11" x14ac:dyDescent="0.3">
      <c r="A4" s="81"/>
      <c r="B4" s="80" t="s">
        <v>114</v>
      </c>
      <c r="C4" s="80"/>
      <c r="D4" s="80"/>
      <c r="E4" s="80"/>
      <c r="F4" s="80"/>
      <c r="G4" s="80"/>
      <c r="H4" s="80"/>
      <c r="I4" s="80"/>
      <c r="J4" s="80"/>
      <c r="K4" s="81"/>
    </row>
    <row r="5" spans="1:11" ht="15" thickBot="1" x14ac:dyDescent="0.35">
      <c r="A5" s="84"/>
      <c r="B5" s="85"/>
      <c r="C5" s="85"/>
      <c r="D5" s="85"/>
      <c r="E5" s="85"/>
      <c r="F5" s="85"/>
      <c r="G5" s="85"/>
      <c r="H5" s="85"/>
      <c r="I5" s="85"/>
      <c r="J5" s="85"/>
      <c r="K5" s="84"/>
    </row>
    <row r="6" spans="1:11" x14ac:dyDescent="0.3">
      <c r="A6" s="81"/>
      <c r="B6" s="82" t="s">
        <v>115</v>
      </c>
      <c r="C6" s="83"/>
      <c r="D6" s="80"/>
      <c r="E6" s="80"/>
      <c r="F6" s="80"/>
      <c r="G6" s="80"/>
      <c r="H6" s="80"/>
      <c r="I6" s="80"/>
      <c r="J6" s="80"/>
      <c r="K6" s="81"/>
    </row>
    <row r="7" spans="1:11" x14ac:dyDescent="0.3">
      <c r="A7" s="84"/>
      <c r="B7" s="85" t="s">
        <v>116</v>
      </c>
      <c r="C7" s="84">
        <v>0.53422980885191518</v>
      </c>
      <c r="D7" s="85"/>
      <c r="E7" s="85"/>
      <c r="F7" s="85"/>
      <c r="G7" s="85"/>
      <c r="H7" s="85"/>
      <c r="I7" s="85"/>
      <c r="J7" s="85"/>
      <c r="K7" s="84"/>
    </row>
    <row r="8" spans="1:11" x14ac:dyDescent="0.3">
      <c r="A8" s="81"/>
      <c r="B8" s="80" t="s">
        <v>117</v>
      </c>
      <c r="C8" s="81">
        <v>0.28540148866595383</v>
      </c>
      <c r="D8" s="80"/>
      <c r="E8" s="80"/>
      <c r="F8" s="80"/>
      <c r="G8" s="80"/>
      <c r="H8" s="80"/>
      <c r="I8" s="80"/>
      <c r="J8" s="80"/>
      <c r="K8" s="81"/>
    </row>
    <row r="9" spans="1:11" x14ac:dyDescent="0.3">
      <c r="A9" s="84"/>
      <c r="B9" s="85" t="s">
        <v>118</v>
      </c>
      <c r="C9" s="84">
        <v>0.28050697831435079</v>
      </c>
      <c r="D9" s="85"/>
      <c r="E9" s="85"/>
      <c r="F9" s="85"/>
      <c r="G9" s="85"/>
      <c r="H9" s="85"/>
      <c r="I9" s="85"/>
      <c r="J9" s="85"/>
      <c r="K9" s="84"/>
    </row>
    <row r="10" spans="1:11" x14ac:dyDescent="0.3">
      <c r="A10" s="81"/>
      <c r="B10" s="80" t="s">
        <v>119</v>
      </c>
      <c r="C10" s="81">
        <v>2.8800404494001937</v>
      </c>
      <c r="D10" s="80"/>
      <c r="E10" s="80"/>
      <c r="F10" s="80"/>
      <c r="G10" s="80"/>
      <c r="H10" s="80"/>
      <c r="I10" s="80"/>
      <c r="J10" s="80"/>
      <c r="K10" s="81"/>
    </row>
    <row r="11" spans="1:11" ht="15" thickBot="1" x14ac:dyDescent="0.35">
      <c r="A11" s="84"/>
      <c r="B11" s="86" t="s">
        <v>120</v>
      </c>
      <c r="C11" s="88">
        <v>148</v>
      </c>
      <c r="D11" s="85"/>
      <c r="E11" s="85"/>
      <c r="F11" s="85"/>
      <c r="G11" s="85"/>
      <c r="H11" s="85"/>
      <c r="I11" s="85"/>
      <c r="J11" s="85"/>
      <c r="K11" s="84"/>
    </row>
    <row r="12" spans="1:11" x14ac:dyDescent="0.3">
      <c r="A12" s="81"/>
      <c r="B12" s="80"/>
      <c r="C12" s="80"/>
      <c r="D12" s="80"/>
      <c r="E12" s="80"/>
      <c r="F12" s="80"/>
      <c r="G12" s="80"/>
      <c r="H12" s="80"/>
      <c r="I12" s="80"/>
      <c r="J12" s="80"/>
      <c r="K12" s="81"/>
    </row>
    <row r="13" spans="1:11" x14ac:dyDescent="0.3">
      <c r="A13" s="84"/>
      <c r="B13" s="85" t="s">
        <v>121</v>
      </c>
      <c r="C13" s="85"/>
      <c r="D13" s="85"/>
      <c r="E13" s="85"/>
      <c r="F13" s="85"/>
      <c r="G13" s="85"/>
      <c r="H13" s="85"/>
      <c r="I13" s="85"/>
      <c r="J13" s="85"/>
      <c r="K13" s="84"/>
    </row>
    <row r="14" spans="1:11" x14ac:dyDescent="0.3">
      <c r="A14" s="81"/>
      <c r="B14" s="82" t="s">
        <v>122</v>
      </c>
      <c r="C14" s="82" t="s">
        <v>123</v>
      </c>
      <c r="D14" s="82" t="s">
        <v>124</v>
      </c>
      <c r="E14" s="82" t="s">
        <v>125</v>
      </c>
      <c r="F14" s="82" t="s">
        <v>126</v>
      </c>
      <c r="G14" s="82" t="s">
        <v>127</v>
      </c>
      <c r="H14" s="80"/>
      <c r="I14" s="80"/>
      <c r="J14" s="80"/>
      <c r="K14" s="81"/>
    </row>
    <row r="15" spans="1:11" x14ac:dyDescent="0.3">
      <c r="A15" s="84"/>
      <c r="B15" s="85" t="s">
        <v>128</v>
      </c>
      <c r="C15" s="84">
        <v>1</v>
      </c>
      <c r="D15" s="84">
        <v>483.66443898931084</v>
      </c>
      <c r="E15" s="84">
        <v>483.66443898931084</v>
      </c>
      <c r="F15" s="84">
        <v>58.310529177342282</v>
      </c>
      <c r="G15" s="84">
        <v>2.6962607466072211E-12</v>
      </c>
      <c r="H15" s="85"/>
      <c r="I15" s="85"/>
      <c r="J15" s="85"/>
      <c r="K15" s="84"/>
    </row>
    <row r="16" spans="1:11" x14ac:dyDescent="0.3">
      <c r="A16" s="81"/>
      <c r="B16" s="80" t="s">
        <v>129</v>
      </c>
      <c r="C16" s="81">
        <v>146</v>
      </c>
      <c r="D16" s="81">
        <v>1211.0164165664655</v>
      </c>
      <c r="E16" s="81">
        <v>8.2946329901812703</v>
      </c>
      <c r="F16" s="81"/>
      <c r="G16" s="81"/>
      <c r="H16" s="80"/>
      <c r="I16" s="80"/>
      <c r="J16" s="80"/>
      <c r="K16" s="81"/>
    </row>
    <row r="17" spans="1:11" x14ac:dyDescent="0.3">
      <c r="A17" s="84"/>
      <c r="B17" s="86" t="s">
        <v>130</v>
      </c>
      <c r="C17" s="88">
        <v>147</v>
      </c>
      <c r="D17" s="88">
        <v>1694.6808555557764</v>
      </c>
      <c r="E17" s="88"/>
      <c r="F17" s="88"/>
      <c r="G17" s="88"/>
      <c r="H17" s="85"/>
      <c r="I17" s="85"/>
      <c r="J17" s="85"/>
      <c r="K17" s="84"/>
    </row>
    <row r="18" spans="1:11" x14ac:dyDescent="0.3">
      <c r="A18" s="81"/>
      <c r="B18" s="80"/>
      <c r="C18" s="80"/>
      <c r="D18" s="80"/>
      <c r="E18" s="80"/>
      <c r="F18" s="80"/>
      <c r="G18" s="80"/>
      <c r="H18" s="80"/>
      <c r="I18" s="80"/>
      <c r="J18" s="80"/>
      <c r="K18" s="81"/>
    </row>
    <row r="19" spans="1:11" x14ac:dyDescent="0.3">
      <c r="A19" s="84"/>
      <c r="B19" s="87" t="s">
        <v>122</v>
      </c>
      <c r="C19" s="87" t="s">
        <v>131</v>
      </c>
      <c r="D19" s="87" t="s">
        <v>119</v>
      </c>
      <c r="E19" s="87" t="s">
        <v>132</v>
      </c>
      <c r="F19" s="87" t="s">
        <v>133</v>
      </c>
      <c r="G19" s="87" t="s">
        <v>134</v>
      </c>
      <c r="H19" s="87" t="s">
        <v>135</v>
      </c>
      <c r="I19" s="87" t="s">
        <v>136</v>
      </c>
      <c r="J19" s="87" t="s">
        <v>137</v>
      </c>
      <c r="K19" s="84"/>
    </row>
    <row r="20" spans="1:11" x14ac:dyDescent="0.3">
      <c r="A20" s="81"/>
      <c r="B20" s="80" t="s">
        <v>138</v>
      </c>
      <c r="C20" s="81">
        <v>0.37076637359226206</v>
      </c>
      <c r="D20" s="81">
        <v>0.23840356921173711</v>
      </c>
      <c r="E20" s="81">
        <v>1.5552047933601509</v>
      </c>
      <c r="F20" s="81">
        <v>0.12206234800114416</v>
      </c>
      <c r="G20" s="81">
        <v>-0.10040148445901054</v>
      </c>
      <c r="H20" s="81">
        <v>0.84193423164353465</v>
      </c>
      <c r="I20" s="81">
        <v>-0.10040148445901054</v>
      </c>
      <c r="J20" s="81">
        <v>0.84193423164353465</v>
      </c>
      <c r="K20" s="81"/>
    </row>
    <row r="21" spans="1:11" x14ac:dyDescent="0.3">
      <c r="A21" s="84"/>
      <c r="B21" s="86" t="s">
        <v>139</v>
      </c>
      <c r="C21" s="88">
        <v>1.0286153993125318</v>
      </c>
      <c r="D21" s="88">
        <v>0.13470370170561588</v>
      </c>
      <c r="E21" s="88">
        <v>7.6361331298859785</v>
      </c>
      <c r="F21" s="88">
        <v>2.6962607466072913E-12</v>
      </c>
      <c r="G21" s="88">
        <v>0.76239432378893635</v>
      </c>
      <c r="H21" s="88">
        <v>1.2948364748361272</v>
      </c>
      <c r="I21" s="88">
        <v>0.76239432378893635</v>
      </c>
      <c r="J21" s="88">
        <v>1.2948364748361272</v>
      </c>
      <c r="K21" s="84"/>
    </row>
    <row r="22" spans="1:11" x14ac:dyDescent="0.3">
      <c r="A22" s="81"/>
      <c r="B22" s="80"/>
      <c r="C22" s="80"/>
      <c r="D22" s="80"/>
      <c r="E22" s="80"/>
      <c r="F22" s="80"/>
      <c r="G22" s="80"/>
      <c r="H22" s="80"/>
      <c r="I22" s="80"/>
      <c r="J22" s="80"/>
      <c r="K22" s="81"/>
    </row>
    <row r="23" spans="1:11" ht="15.6" x14ac:dyDescent="0.3">
      <c r="A23" s="84"/>
      <c r="B23" s="128" t="s">
        <v>140</v>
      </c>
      <c r="C23" s="90">
        <f>C21</f>
        <v>1.0286153993125318</v>
      </c>
      <c r="D23" s="90"/>
      <c r="E23" s="85"/>
      <c r="F23" s="85"/>
      <c r="G23" s="85"/>
      <c r="H23" s="85"/>
      <c r="I23" s="85"/>
      <c r="J23" s="85"/>
      <c r="K23" s="84"/>
    </row>
    <row r="24" spans="1:11" ht="15.6" x14ac:dyDescent="0.3">
      <c r="A24" s="81"/>
      <c r="B24" s="129" t="s">
        <v>141</v>
      </c>
      <c r="C24" s="91">
        <v>7.0999999999999994E-2</v>
      </c>
      <c r="D24" s="228" t="s">
        <v>142</v>
      </c>
      <c r="E24" s="228"/>
      <c r="F24" s="228"/>
      <c r="G24" s="228"/>
      <c r="H24" s="228"/>
      <c r="I24" s="228"/>
      <c r="J24" s="228"/>
      <c r="K24" s="228"/>
    </row>
    <row r="25" spans="1:11" ht="18" customHeight="1" x14ac:dyDescent="0.3">
      <c r="A25" s="84"/>
      <c r="B25" s="128" t="s">
        <v>143</v>
      </c>
      <c r="C25" s="92">
        <v>0.12</v>
      </c>
      <c r="D25" s="229" t="s">
        <v>144</v>
      </c>
      <c r="E25" s="229"/>
      <c r="F25" s="229"/>
      <c r="G25" s="229"/>
      <c r="H25" s="229"/>
      <c r="I25" s="229"/>
      <c r="J25" s="229"/>
      <c r="K25" s="229"/>
    </row>
    <row r="26" spans="1:11" ht="15.6" x14ac:dyDescent="0.3">
      <c r="A26" s="81"/>
      <c r="B26" s="89" t="s">
        <v>145</v>
      </c>
      <c r="C26" s="127">
        <f>C24+(C23*(C25-C24))</f>
        <v>0.12140215456631405</v>
      </c>
      <c r="D26" s="93"/>
      <c r="E26" s="80"/>
      <c r="F26" s="80"/>
      <c r="G26" s="80"/>
      <c r="H26" s="80"/>
      <c r="I26" s="80"/>
      <c r="J26" s="80"/>
      <c r="K26" s="81"/>
    </row>
    <row r="27" spans="1:11" ht="15.6" x14ac:dyDescent="0.3">
      <c r="A27" s="84"/>
      <c r="B27" s="84"/>
      <c r="C27" s="84"/>
      <c r="D27" s="94"/>
      <c r="E27" s="84"/>
      <c r="F27" s="84"/>
      <c r="G27" s="84"/>
      <c r="H27" s="84"/>
      <c r="I27" s="84"/>
      <c r="J27" s="84"/>
      <c r="K27" s="84"/>
    </row>
  </sheetData>
  <mergeCells count="3">
    <mergeCell ref="B1:K2"/>
    <mergeCell ref="D24:K24"/>
    <mergeCell ref="D25:K2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838934-A585-4998-B363-D131C5D38F76}">
  <dimension ref="B1:G28"/>
  <sheetViews>
    <sheetView workbookViewId="0">
      <selection activeCell="G5" sqref="G5"/>
    </sheetView>
  </sheetViews>
  <sheetFormatPr defaultRowHeight="15" customHeight="1" x14ac:dyDescent="0.3"/>
  <cols>
    <col min="2" max="2" width="37.109375" customWidth="1"/>
    <col min="3" max="3" width="30.6640625" customWidth="1"/>
    <col min="4" max="4" width="10.33203125" customWidth="1"/>
    <col min="5" max="5" width="21" customWidth="1"/>
    <col min="6" max="6" width="26.33203125" customWidth="1"/>
    <col min="7" max="7" width="29.6640625" customWidth="1"/>
    <col min="8" max="8" width="7.6640625" customWidth="1"/>
    <col min="9" max="9" width="37.33203125" customWidth="1"/>
    <col min="10" max="10" width="14.33203125" customWidth="1"/>
  </cols>
  <sheetData>
    <row r="1" spans="2:7" ht="26.4" customHeight="1" x14ac:dyDescent="0.3"/>
    <row r="2" spans="2:7" ht="22.2" customHeight="1" x14ac:dyDescent="0.4">
      <c r="B2" s="95" t="s">
        <v>146</v>
      </c>
      <c r="C2" s="96" t="s">
        <v>147</v>
      </c>
      <c r="D2" s="103"/>
      <c r="E2" s="230" t="s">
        <v>148</v>
      </c>
      <c r="F2" s="230"/>
      <c r="G2" s="230"/>
    </row>
    <row r="3" spans="2:7" ht="14.4" x14ac:dyDescent="0.3">
      <c r="B3" s="53" t="s">
        <v>149</v>
      </c>
      <c r="C3" s="57">
        <v>46135</v>
      </c>
      <c r="D3" s="99"/>
      <c r="E3" s="125" t="s">
        <v>150</v>
      </c>
      <c r="F3" s="125"/>
      <c r="G3" s="144">
        <v>7.0999999999999994E-2</v>
      </c>
    </row>
    <row r="4" spans="2:7" ht="14.4" x14ac:dyDescent="0.3">
      <c r="B4" s="53" t="s">
        <v>151</v>
      </c>
      <c r="C4" s="57">
        <v>49586</v>
      </c>
      <c r="D4" s="99"/>
      <c r="E4" s="126" t="s">
        <v>152</v>
      </c>
      <c r="F4" s="126"/>
      <c r="G4" s="145">
        <f>C9</f>
        <v>5.6807581335010141E-2</v>
      </c>
    </row>
    <row r="5" spans="2:7" ht="14.4" x14ac:dyDescent="0.3">
      <c r="B5" s="53" t="s">
        <v>153</v>
      </c>
      <c r="C5" s="58">
        <v>7.6200000000000004E-2</v>
      </c>
      <c r="D5" s="99"/>
      <c r="E5" s="125" t="s">
        <v>154</v>
      </c>
      <c r="F5" s="125"/>
      <c r="G5" s="144">
        <f>G4-G3</f>
        <v>-1.4192418664989853E-2</v>
      </c>
    </row>
    <row r="6" spans="2:7" ht="14.4" customHeight="1" x14ac:dyDescent="0.3">
      <c r="B6" s="53" t="s">
        <v>155</v>
      </c>
      <c r="C6" s="52">
        <f>C18/10</f>
        <v>113.83</v>
      </c>
      <c r="D6" s="99"/>
      <c r="E6" s="232" t="s">
        <v>542</v>
      </c>
      <c r="F6" s="232"/>
      <c r="G6" s="232"/>
    </row>
    <row r="7" spans="2:7" ht="14.4" x14ac:dyDescent="0.3">
      <c r="B7" s="53" t="s">
        <v>156</v>
      </c>
      <c r="C7" s="52">
        <v>100</v>
      </c>
      <c r="D7" s="100"/>
      <c r="E7" s="232"/>
      <c r="F7" s="232"/>
      <c r="G7" s="232"/>
    </row>
    <row r="8" spans="2:7" ht="15" customHeight="1" x14ac:dyDescent="0.3">
      <c r="B8" s="53" t="s">
        <v>157</v>
      </c>
      <c r="C8" s="52">
        <v>1</v>
      </c>
      <c r="D8" s="101"/>
      <c r="E8" s="232"/>
      <c r="F8" s="232"/>
      <c r="G8" s="232"/>
    </row>
    <row r="9" spans="2:7" ht="16.2" customHeight="1" x14ac:dyDescent="0.3">
      <c r="B9" s="54" t="s">
        <v>158</v>
      </c>
      <c r="C9" s="59">
        <f>YIELD(C3,C4,C5,C6,C7,C8)</f>
        <v>5.6807581335010141E-2</v>
      </c>
      <c r="D9" s="99"/>
      <c r="E9" s="232"/>
      <c r="F9" s="232"/>
      <c r="G9" s="232"/>
    </row>
    <row r="10" spans="2:7" ht="14.4" x14ac:dyDescent="0.3">
      <c r="D10" s="99"/>
      <c r="E10" s="232"/>
      <c r="F10" s="232"/>
      <c r="G10" s="232"/>
    </row>
    <row r="11" spans="2:7" ht="22.95" customHeight="1" x14ac:dyDescent="0.3">
      <c r="B11" s="236" t="s">
        <v>159</v>
      </c>
      <c r="C11" s="236"/>
      <c r="E11" s="232"/>
      <c r="F11" s="232"/>
      <c r="G11" s="232"/>
    </row>
    <row r="12" spans="2:7" ht="19.95" customHeight="1" x14ac:dyDescent="0.3">
      <c r="B12" s="104" t="s">
        <v>160</v>
      </c>
      <c r="C12" s="105" t="s">
        <v>10</v>
      </c>
      <c r="E12" s="233" t="s">
        <v>161</v>
      </c>
      <c r="F12" s="233"/>
      <c r="G12" s="233"/>
    </row>
    <row r="13" spans="2:7" ht="18.600000000000001" customHeight="1" x14ac:dyDescent="0.3">
      <c r="B13" s="106" t="s">
        <v>162</v>
      </c>
      <c r="C13" s="107" t="s">
        <v>163</v>
      </c>
      <c r="E13" s="233"/>
      <c r="F13" s="233"/>
      <c r="G13" s="233"/>
    </row>
    <row r="14" spans="2:7" ht="29.25" customHeight="1" x14ac:dyDescent="0.3">
      <c r="B14" t="s">
        <v>164</v>
      </c>
      <c r="C14" s="99" t="s">
        <v>165</v>
      </c>
      <c r="E14" s="233"/>
      <c r="F14" s="233"/>
      <c r="G14" s="233"/>
    </row>
    <row r="15" spans="2:7" ht="20.399999999999999" customHeight="1" x14ac:dyDescent="0.3">
      <c r="B15" s="106" t="s">
        <v>166</v>
      </c>
      <c r="C15" s="107">
        <v>1000</v>
      </c>
      <c r="E15" s="234" t="s">
        <v>167</v>
      </c>
      <c r="F15" s="234"/>
      <c r="G15" s="234"/>
    </row>
    <row r="16" spans="2:7" ht="17.399999999999999" customHeight="1" x14ac:dyDescent="0.3">
      <c r="B16" t="s">
        <v>168</v>
      </c>
      <c r="C16" s="100">
        <v>7.6200000000000004E-2</v>
      </c>
      <c r="E16" s="234"/>
      <c r="F16" s="234"/>
      <c r="G16" s="234"/>
    </row>
    <row r="17" spans="2:7" ht="19.95" customHeight="1" x14ac:dyDescent="0.3">
      <c r="B17" s="106" t="s">
        <v>151</v>
      </c>
      <c r="C17" s="108">
        <v>49586</v>
      </c>
      <c r="E17" s="234"/>
      <c r="F17" s="234"/>
      <c r="G17" s="234"/>
    </row>
    <row r="18" spans="2:7" ht="29.4" customHeight="1" x14ac:dyDescent="0.3">
      <c r="B18" s="97" t="s">
        <v>169</v>
      </c>
      <c r="C18" s="99">
        <v>1138.3</v>
      </c>
      <c r="E18" s="234"/>
      <c r="F18" s="234"/>
      <c r="G18" s="234"/>
    </row>
    <row r="19" spans="2:7" ht="18" customHeight="1" x14ac:dyDescent="0.3">
      <c r="B19" s="106" t="s">
        <v>170</v>
      </c>
      <c r="C19" s="109">
        <f>C9</f>
        <v>5.6807581335010141E-2</v>
      </c>
      <c r="E19" s="233" t="s">
        <v>171</v>
      </c>
      <c r="F19" s="233"/>
      <c r="G19" s="233"/>
    </row>
    <row r="20" spans="2:7" ht="18" customHeight="1" x14ac:dyDescent="0.3">
      <c r="E20" s="233"/>
      <c r="F20" s="233"/>
      <c r="G20" s="233"/>
    </row>
    <row r="21" spans="2:7" ht="26.4" customHeight="1" x14ac:dyDescent="0.4">
      <c r="B21" s="238" t="s">
        <v>172</v>
      </c>
      <c r="C21" s="238"/>
      <c r="E21" s="233"/>
      <c r="F21" s="233"/>
      <c r="G21" s="233"/>
    </row>
    <row r="22" spans="2:7" ht="25.2" customHeight="1" x14ac:dyDescent="0.35">
      <c r="B22" s="237" t="s">
        <v>173</v>
      </c>
      <c r="C22" s="237"/>
    </row>
    <row r="23" spans="2:7" ht="23.4" customHeight="1" x14ac:dyDescent="0.35">
      <c r="B23" s="231" t="s">
        <v>174</v>
      </c>
      <c r="C23" s="231"/>
      <c r="E23" s="235" t="s">
        <v>175</v>
      </c>
      <c r="F23" s="235"/>
      <c r="G23" s="111">
        <f>C19</f>
        <v>5.6807581335010141E-2</v>
      </c>
    </row>
    <row r="24" spans="2:7" ht="21" customHeight="1" x14ac:dyDescent="0.3">
      <c r="B24" s="231"/>
      <c r="C24" s="231"/>
    </row>
    <row r="25" spans="2:7" ht="15" customHeight="1" x14ac:dyDescent="0.3">
      <c r="B25" s="231"/>
      <c r="C25" s="231"/>
    </row>
    <row r="26" spans="2:7" ht="15" customHeight="1" x14ac:dyDescent="0.3">
      <c r="B26" s="231"/>
      <c r="C26" s="231"/>
    </row>
    <row r="27" spans="2:7" ht="15" customHeight="1" x14ac:dyDescent="0.3">
      <c r="B27" s="231"/>
      <c r="C27" s="231"/>
    </row>
    <row r="28" spans="2:7" ht="15" customHeight="1" x14ac:dyDescent="0.3">
      <c r="B28" s="231"/>
      <c r="C28" s="231"/>
    </row>
  </sheetData>
  <mergeCells count="10">
    <mergeCell ref="E2:G2"/>
    <mergeCell ref="B23:C28"/>
    <mergeCell ref="E6:G11"/>
    <mergeCell ref="E12:G14"/>
    <mergeCell ref="E15:G18"/>
    <mergeCell ref="E19:G21"/>
    <mergeCell ref="E23:F23"/>
    <mergeCell ref="B11:C11"/>
    <mergeCell ref="B22:C22"/>
    <mergeCell ref="B21:C21"/>
  </mergeCell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73B70A-A0B0-4616-BA9A-8E19001DAAA7}">
  <dimension ref="B1:I20"/>
  <sheetViews>
    <sheetView topLeftCell="A6" workbookViewId="0">
      <selection activeCell="B21" sqref="B21"/>
    </sheetView>
  </sheetViews>
  <sheetFormatPr defaultRowHeight="15" customHeight="1" x14ac:dyDescent="0.3"/>
  <cols>
    <col min="2" max="2" width="55.33203125" customWidth="1"/>
    <col min="3" max="3" width="28.6640625" customWidth="1"/>
    <col min="4" max="4" width="76.109375" customWidth="1"/>
    <col min="7" max="9" width="38.44140625" customWidth="1"/>
  </cols>
  <sheetData>
    <row r="1" spans="2:9" ht="14.4" x14ac:dyDescent="0.3"/>
    <row r="2" spans="2:9" ht="14.4" x14ac:dyDescent="0.3">
      <c r="D2" s="55"/>
      <c r="E2" s="55"/>
      <c r="F2" s="55"/>
      <c r="G2" s="55"/>
      <c r="H2" s="55"/>
      <c r="I2" s="55"/>
    </row>
    <row r="3" spans="2:9" ht="20.399999999999999" customHeight="1" x14ac:dyDescent="0.4">
      <c r="B3" s="135" t="s">
        <v>176</v>
      </c>
      <c r="C3" s="137">
        <v>1.3580000000000001</v>
      </c>
      <c r="D3" s="214" t="s">
        <v>177</v>
      </c>
      <c r="E3" s="55"/>
      <c r="F3" s="55"/>
    </row>
    <row r="4" spans="2:9" ht="21" customHeight="1" x14ac:dyDescent="0.4">
      <c r="B4" s="136" t="s">
        <v>178</v>
      </c>
      <c r="C4" s="138">
        <f>C3/(1+C3)</f>
        <v>0.57591178965224765</v>
      </c>
      <c r="D4" s="55"/>
      <c r="E4" s="55"/>
      <c r="F4" s="55"/>
    </row>
    <row r="5" spans="2:9" ht="21" customHeight="1" x14ac:dyDescent="0.4">
      <c r="B5" s="135" t="s">
        <v>179</v>
      </c>
      <c r="C5" s="139">
        <f>1/ (1 + C3)</f>
        <v>0.42408821034775229</v>
      </c>
      <c r="D5" s="130"/>
      <c r="E5" s="55"/>
      <c r="F5" s="55"/>
    </row>
    <row r="6" spans="2:9" ht="14.4" x14ac:dyDescent="0.3">
      <c r="B6" s="55"/>
      <c r="C6" s="55"/>
      <c r="D6" s="55"/>
      <c r="E6" s="55"/>
      <c r="F6" s="55"/>
    </row>
    <row r="7" spans="2:9" ht="14.4" x14ac:dyDescent="0.3">
      <c r="B7" s="60" t="s">
        <v>180</v>
      </c>
      <c r="C7" s="56" t="s">
        <v>181</v>
      </c>
      <c r="D7" s="56" t="s">
        <v>182</v>
      </c>
      <c r="E7" s="55"/>
      <c r="F7" s="55"/>
    </row>
    <row r="8" spans="2:9" ht="22.2" customHeight="1" x14ac:dyDescent="0.4">
      <c r="B8" s="131" t="s">
        <v>183</v>
      </c>
      <c r="C8" s="131">
        <f>C5</f>
        <v>0.42408821034775229</v>
      </c>
      <c r="D8" s="140" t="s">
        <v>184</v>
      </c>
      <c r="E8" s="55"/>
      <c r="F8" s="55"/>
    </row>
    <row r="9" spans="2:9" ht="23.4" customHeight="1" x14ac:dyDescent="0.4">
      <c r="B9" s="132" t="s">
        <v>145</v>
      </c>
      <c r="C9" s="133">
        <f>'NTPC - Cost of Equity'!C26</f>
        <v>0.12140215456631405</v>
      </c>
      <c r="D9" s="141" t="s">
        <v>185</v>
      </c>
      <c r="E9" s="55"/>
      <c r="F9" s="55"/>
    </row>
    <row r="10" spans="2:9" ht="23.4" customHeight="1" x14ac:dyDescent="0.4">
      <c r="B10" s="131" t="s">
        <v>186</v>
      </c>
      <c r="C10" s="131">
        <f>C4</f>
        <v>0.57591178965224765</v>
      </c>
      <c r="D10" s="140" t="s">
        <v>184</v>
      </c>
      <c r="E10" s="55"/>
      <c r="F10" s="55"/>
    </row>
    <row r="11" spans="2:9" ht="22.2" customHeight="1" x14ac:dyDescent="0.4">
      <c r="B11" s="132" t="s">
        <v>187</v>
      </c>
      <c r="C11" s="133">
        <f>'NTPC - Cost of Debt'!C9</f>
        <v>5.6807581335010141E-2</v>
      </c>
      <c r="D11" s="141" t="s">
        <v>188</v>
      </c>
      <c r="E11" s="55"/>
      <c r="F11" s="55"/>
      <c r="G11" s="55"/>
      <c r="H11" s="55"/>
      <c r="I11" s="55"/>
    </row>
    <row r="12" spans="2:9" ht="21.6" customHeight="1" x14ac:dyDescent="0.4">
      <c r="B12" s="131" t="s">
        <v>189</v>
      </c>
      <c r="C12" s="134">
        <v>0.32890000000000003</v>
      </c>
      <c r="D12" s="142" t="s">
        <v>190</v>
      </c>
      <c r="E12" s="55"/>
      <c r="I12" s="55"/>
    </row>
    <row r="13" spans="2:9" ht="21" customHeight="1" x14ac:dyDescent="0.4">
      <c r="B13" s="132" t="s">
        <v>191</v>
      </c>
      <c r="C13" s="133">
        <f>C11*(1-C12)</f>
        <v>3.8123567833925308E-2</v>
      </c>
      <c r="D13" s="141" t="s">
        <v>192</v>
      </c>
      <c r="E13" s="55"/>
      <c r="I13" s="55"/>
    </row>
    <row r="14" spans="2:9" ht="21" customHeight="1" x14ac:dyDescent="0.4">
      <c r="B14" s="131" t="s">
        <v>193</v>
      </c>
      <c r="C14" s="131">
        <f>(C8 * C9) + (C10 * C13)</f>
        <v>7.3441034641554118E-2</v>
      </c>
      <c r="D14" s="142" t="s">
        <v>194</v>
      </c>
      <c r="E14" s="55"/>
      <c r="I14" s="55"/>
    </row>
    <row r="15" spans="2:9" ht="14.4" x14ac:dyDescent="0.3">
      <c r="B15" s="55"/>
      <c r="C15" s="55"/>
      <c r="D15" s="55"/>
      <c r="E15" s="55"/>
      <c r="I15" s="55"/>
    </row>
    <row r="16" spans="2:9" ht="14.4" x14ac:dyDescent="0.3">
      <c r="B16" s="239" t="s">
        <v>543</v>
      </c>
      <c r="C16" s="240"/>
      <c r="D16" s="240"/>
      <c r="E16" s="55"/>
      <c r="I16" s="55"/>
    </row>
    <row r="17" spans="2:9" ht="14.4" x14ac:dyDescent="0.3">
      <c r="B17" s="240"/>
      <c r="C17" s="240"/>
      <c r="D17" s="240"/>
      <c r="E17" s="55"/>
      <c r="I17" s="55"/>
    </row>
    <row r="18" spans="2:9" ht="15" customHeight="1" x14ac:dyDescent="0.3">
      <c r="B18" s="240"/>
      <c r="C18" s="240"/>
      <c r="D18" s="240"/>
    </row>
    <row r="19" spans="2:9" ht="15" customHeight="1" x14ac:dyDescent="0.3">
      <c r="B19" s="240"/>
      <c r="C19" s="240"/>
      <c r="D19" s="240"/>
    </row>
    <row r="20" spans="2:9" ht="15" customHeight="1" x14ac:dyDescent="0.3">
      <c r="B20" s="240"/>
      <c r="C20" s="240"/>
      <c r="D20" s="240"/>
    </row>
  </sheetData>
  <mergeCells count="1">
    <mergeCell ref="B16:D20"/>
  </mergeCells>
  <hyperlinks>
    <hyperlink ref="D3" r:id="rId1" xr:uid="{31E78A33-7C34-4C98-A586-DA19E327556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E8CE55-5E12-4053-85BE-61BD65877663}">
  <dimension ref="A1:L80"/>
  <sheetViews>
    <sheetView workbookViewId="0">
      <selection activeCell="E58" sqref="E58"/>
    </sheetView>
  </sheetViews>
  <sheetFormatPr defaultColWidth="8.88671875" defaultRowHeight="16.2" x14ac:dyDescent="0.3"/>
  <cols>
    <col min="1" max="1" width="6.6640625" style="4" customWidth="1"/>
    <col min="2" max="3" width="36.6640625" style="4" customWidth="1"/>
    <col min="4" max="4" width="38" style="4" customWidth="1"/>
    <col min="5" max="5" width="43.5546875" style="4" customWidth="1"/>
    <col min="6" max="6" width="33.109375" style="4" customWidth="1"/>
    <col min="7" max="8" width="26.6640625" style="4" customWidth="1"/>
    <col min="9" max="12" width="8.88671875" style="4"/>
    <col min="13" max="16384" width="8.88671875" style="3"/>
  </cols>
  <sheetData>
    <row r="1" spans="1:12" ht="13.95" customHeight="1" x14ac:dyDescent="0.3">
      <c r="B1" s="242" t="s">
        <v>195</v>
      </c>
      <c r="C1" s="242"/>
      <c r="D1" s="242"/>
      <c r="E1" s="242"/>
      <c r="F1" s="242"/>
    </row>
    <row r="2" spans="1:12" ht="13.95" customHeight="1" x14ac:dyDescent="0.3">
      <c r="B2" s="242"/>
      <c r="C2" s="242"/>
      <c r="D2" s="242"/>
      <c r="E2" s="242"/>
      <c r="F2" s="242"/>
    </row>
    <row r="3" spans="1:12" ht="24.6" customHeight="1" x14ac:dyDescent="0.3">
      <c r="B3" s="243" t="s">
        <v>196</v>
      </c>
      <c r="C3" s="243"/>
      <c r="D3" s="243"/>
      <c r="E3" s="243"/>
      <c r="F3" s="243"/>
    </row>
    <row r="4" spans="1:12" x14ac:dyDescent="0.3">
      <c r="B4" s="241"/>
      <c r="C4" s="241"/>
      <c r="D4" s="241"/>
      <c r="E4" s="241"/>
      <c r="F4" s="241"/>
      <c r="G4" s="241"/>
      <c r="H4" s="241"/>
      <c r="I4" s="241"/>
      <c r="J4" s="241"/>
    </row>
    <row r="5" spans="1:12" x14ac:dyDescent="0.3">
      <c r="B5" s="244" t="s">
        <v>197</v>
      </c>
      <c r="C5" s="244"/>
      <c r="D5" s="244"/>
      <c r="E5" s="244"/>
      <c r="F5" s="244"/>
    </row>
    <row r="6" spans="1:12" x14ac:dyDescent="0.3">
      <c r="B6" s="245" t="s">
        <v>198</v>
      </c>
      <c r="C6" s="245"/>
      <c r="D6" s="245"/>
      <c r="E6" s="245"/>
      <c r="F6" s="245"/>
    </row>
    <row r="8" spans="1:12" x14ac:dyDescent="0.3">
      <c r="B8" s="244" t="s">
        <v>199</v>
      </c>
      <c r="C8" s="244"/>
      <c r="D8" s="244"/>
      <c r="E8" s="244"/>
      <c r="F8" s="244"/>
    </row>
    <row r="9" spans="1:12" x14ac:dyDescent="0.3">
      <c r="B9" s="245" t="s">
        <v>200</v>
      </c>
      <c r="C9" s="245"/>
      <c r="D9" s="245"/>
      <c r="E9" s="245"/>
      <c r="F9" s="245"/>
    </row>
    <row r="11" spans="1:12" x14ac:dyDescent="0.3">
      <c r="B11" s="244" t="s">
        <v>201</v>
      </c>
      <c r="C11" s="244"/>
      <c r="D11" s="244"/>
      <c r="E11" s="244"/>
      <c r="F11" s="244"/>
    </row>
    <row r="12" spans="1:12" x14ac:dyDescent="0.3">
      <c r="B12" s="245" t="s">
        <v>202</v>
      </c>
      <c r="C12" s="245"/>
      <c r="D12" s="245"/>
      <c r="E12" s="245"/>
      <c r="F12" s="245"/>
    </row>
    <row r="14" spans="1:12" s="5" customFormat="1" ht="32.4" customHeight="1" x14ac:dyDescent="0.3">
      <c r="A14" s="207"/>
      <c r="B14" s="246" t="s">
        <v>203</v>
      </c>
      <c r="C14" s="246"/>
      <c r="D14" s="246"/>
      <c r="E14" s="246"/>
      <c r="F14" s="246"/>
      <c r="G14" s="207"/>
      <c r="H14" s="207"/>
      <c r="I14" s="207"/>
      <c r="J14" s="207"/>
      <c r="K14" s="207"/>
      <c r="L14" s="207"/>
    </row>
    <row r="15" spans="1:12" ht="154.19999999999999" customHeight="1" x14ac:dyDescent="0.3">
      <c r="B15" s="247" t="s">
        <v>204</v>
      </c>
      <c r="C15" s="247"/>
      <c r="D15" s="247"/>
      <c r="E15" s="247"/>
      <c r="F15" s="247"/>
    </row>
    <row r="17" spans="1:12" x14ac:dyDescent="0.3">
      <c r="B17" s="244" t="s">
        <v>205</v>
      </c>
      <c r="C17" s="244"/>
      <c r="D17" s="244"/>
      <c r="E17" s="244"/>
      <c r="F17" s="244"/>
    </row>
    <row r="18" spans="1:12" x14ac:dyDescent="0.3">
      <c r="B18" s="247" t="s">
        <v>206</v>
      </c>
      <c r="C18" s="247"/>
      <c r="D18" s="247"/>
      <c r="E18" s="247"/>
      <c r="F18" s="247"/>
    </row>
    <row r="20" spans="1:12" x14ac:dyDescent="0.3">
      <c r="B20" s="244" t="s">
        <v>207</v>
      </c>
      <c r="C20" s="244"/>
      <c r="D20" s="244"/>
      <c r="E20" s="244"/>
      <c r="F20" s="244"/>
    </row>
    <row r="21" spans="1:12" s="5" customFormat="1" ht="32.4" customHeight="1" x14ac:dyDescent="0.3">
      <c r="A21" s="207"/>
      <c r="B21" s="247" t="s">
        <v>208</v>
      </c>
      <c r="C21" s="247"/>
      <c r="D21" s="247"/>
      <c r="E21" s="247"/>
      <c r="F21" s="247"/>
      <c r="G21" s="207"/>
      <c r="H21" s="207"/>
      <c r="I21" s="207"/>
      <c r="J21" s="207"/>
      <c r="K21" s="207"/>
      <c r="L21" s="207"/>
    </row>
    <row r="22" spans="1:12" x14ac:dyDescent="0.3">
      <c r="B22" s="241"/>
      <c r="C22" s="241"/>
      <c r="D22" s="241"/>
      <c r="E22" s="241"/>
      <c r="F22" s="241"/>
    </row>
    <row r="23" spans="1:12" s="5" customFormat="1" ht="18.600000000000001" customHeight="1" x14ac:dyDescent="0.3">
      <c r="A23" s="207"/>
      <c r="B23" s="246" t="s">
        <v>209</v>
      </c>
      <c r="C23" s="246"/>
      <c r="D23" s="246"/>
      <c r="E23" s="246"/>
      <c r="F23" s="246"/>
      <c r="G23" s="207"/>
      <c r="H23" s="207"/>
      <c r="I23" s="207"/>
      <c r="J23" s="207"/>
      <c r="K23" s="207"/>
      <c r="L23" s="207"/>
    </row>
    <row r="24" spans="1:12" x14ac:dyDescent="0.3">
      <c r="B24" s="6" t="s">
        <v>210</v>
      </c>
      <c r="C24" s="6" t="s">
        <v>211</v>
      </c>
      <c r="D24" s="6" t="s">
        <v>212</v>
      </c>
      <c r="E24" s="6" t="s">
        <v>213</v>
      </c>
      <c r="F24" s="6" t="s">
        <v>214</v>
      </c>
    </row>
    <row r="25" spans="1:12" ht="26.25" customHeight="1" x14ac:dyDescent="0.3">
      <c r="B25" s="4" t="s">
        <v>215</v>
      </c>
      <c r="C25" s="4">
        <v>81</v>
      </c>
      <c r="D25" s="4" t="s">
        <v>216</v>
      </c>
      <c r="E25" s="207" t="s">
        <v>217</v>
      </c>
      <c r="F25" s="248" t="s">
        <v>218</v>
      </c>
    </row>
    <row r="26" spans="1:12" ht="21.75" customHeight="1" x14ac:dyDescent="0.3">
      <c r="D26" s="207"/>
      <c r="E26" s="207"/>
      <c r="F26" s="248"/>
    </row>
    <row r="27" spans="1:12" ht="18" customHeight="1" x14ac:dyDescent="0.3">
      <c r="D27" s="207"/>
      <c r="E27" s="207"/>
      <c r="F27" s="248"/>
    </row>
    <row r="28" spans="1:12" x14ac:dyDescent="0.3">
      <c r="D28" s="207"/>
      <c r="E28" s="207"/>
      <c r="F28" s="248"/>
    </row>
    <row r="29" spans="1:12" ht="25.5" customHeight="1" x14ac:dyDescent="0.3">
      <c r="D29" s="207"/>
      <c r="E29" s="207"/>
      <c r="F29" s="248"/>
    </row>
    <row r="30" spans="1:12" ht="26.25" customHeight="1" x14ac:dyDescent="0.3">
      <c r="D30" s="207"/>
      <c r="E30" s="207"/>
      <c r="F30" s="248"/>
    </row>
    <row r="31" spans="1:12" x14ac:dyDescent="0.3">
      <c r="D31" s="207"/>
      <c r="E31" s="207"/>
      <c r="F31" s="248"/>
    </row>
    <row r="32" spans="1:12" x14ac:dyDescent="0.3">
      <c r="B32" s="208"/>
      <c r="C32" s="208"/>
      <c r="D32" s="206"/>
      <c r="E32" s="208"/>
      <c r="F32" s="208"/>
    </row>
    <row r="33" spans="2:6" ht="24" customHeight="1" x14ac:dyDescent="0.3">
      <c r="B33" s="4" t="s">
        <v>219</v>
      </c>
      <c r="C33" s="4">
        <v>56</v>
      </c>
      <c r="D33" s="207" t="s">
        <v>220</v>
      </c>
      <c r="E33" s="248" t="s">
        <v>221</v>
      </c>
      <c r="F33" s="248" t="s">
        <v>222</v>
      </c>
    </row>
    <row r="34" spans="2:6" x14ac:dyDescent="0.3">
      <c r="D34" s="207"/>
      <c r="E34" s="248"/>
      <c r="F34" s="248"/>
    </row>
    <row r="35" spans="2:6" x14ac:dyDescent="0.3">
      <c r="F35" s="248"/>
    </row>
    <row r="36" spans="2:6" x14ac:dyDescent="0.3">
      <c r="F36" s="248"/>
    </row>
    <row r="37" spans="2:6" x14ac:dyDescent="0.3">
      <c r="F37" s="248"/>
    </row>
    <row r="38" spans="2:6" x14ac:dyDescent="0.3">
      <c r="F38" s="248"/>
    </row>
    <row r="39" spans="2:6" x14ac:dyDescent="0.3">
      <c r="F39" s="248"/>
    </row>
    <row r="40" spans="2:6" x14ac:dyDescent="0.3">
      <c r="F40" s="248"/>
    </row>
    <row r="41" spans="2:6" x14ac:dyDescent="0.3">
      <c r="B41" s="208"/>
      <c r="C41" s="208"/>
      <c r="D41" s="208"/>
      <c r="E41" s="208"/>
      <c r="F41" s="206"/>
    </row>
    <row r="42" spans="2:6" ht="16.2" customHeight="1" x14ac:dyDescent="0.3">
      <c r="B42" s="4" t="s">
        <v>223</v>
      </c>
      <c r="C42" s="4">
        <v>53</v>
      </c>
      <c r="D42" s="4" t="s">
        <v>224</v>
      </c>
      <c r="E42" s="248" t="s">
        <v>225</v>
      </c>
      <c r="F42" s="248" t="s">
        <v>226</v>
      </c>
    </row>
    <row r="43" spans="2:6" x14ac:dyDescent="0.3">
      <c r="E43" s="248"/>
      <c r="F43" s="248"/>
    </row>
    <row r="44" spans="2:6" x14ac:dyDescent="0.3">
      <c r="E44" s="248"/>
      <c r="F44" s="248"/>
    </row>
    <row r="45" spans="2:6" x14ac:dyDescent="0.3">
      <c r="F45" s="248"/>
    </row>
    <row r="46" spans="2:6" x14ac:dyDescent="0.3">
      <c r="F46" s="248"/>
    </row>
    <row r="47" spans="2:6" ht="22.5" customHeight="1" x14ac:dyDescent="0.3">
      <c r="F47" s="248"/>
    </row>
    <row r="48" spans="2:6" x14ac:dyDescent="0.3">
      <c r="F48" s="248"/>
    </row>
    <row r="49" spans="2:6" x14ac:dyDescent="0.3">
      <c r="F49" s="248"/>
    </row>
    <row r="50" spans="2:6" x14ac:dyDescent="0.3">
      <c r="B50" s="208"/>
      <c r="C50" s="208"/>
      <c r="D50" s="208"/>
      <c r="E50" s="208"/>
      <c r="F50" s="206"/>
    </row>
    <row r="51" spans="2:6" ht="16.2" customHeight="1" x14ac:dyDescent="0.3">
      <c r="B51" s="4" t="s">
        <v>227</v>
      </c>
      <c r="C51" s="4">
        <v>60</v>
      </c>
      <c r="D51" s="4" t="s">
        <v>228</v>
      </c>
      <c r="E51" s="4" t="s">
        <v>229</v>
      </c>
      <c r="F51" s="248" t="s">
        <v>230</v>
      </c>
    </row>
    <row r="52" spans="2:6" x14ac:dyDescent="0.3">
      <c r="F52" s="248"/>
    </row>
    <row r="53" spans="2:6" x14ac:dyDescent="0.3">
      <c r="F53" s="248"/>
    </row>
    <row r="54" spans="2:6" x14ac:dyDescent="0.3">
      <c r="F54" s="248"/>
    </row>
    <row r="55" spans="2:6" x14ac:dyDescent="0.3">
      <c r="F55" s="248"/>
    </row>
    <row r="56" spans="2:6" x14ac:dyDescent="0.3">
      <c r="F56" s="248"/>
    </row>
    <row r="57" spans="2:6" x14ac:dyDescent="0.3">
      <c r="F57" s="248"/>
    </row>
    <row r="58" spans="2:6" x14ac:dyDescent="0.3">
      <c r="F58" s="248"/>
    </row>
    <row r="59" spans="2:6" x14ac:dyDescent="0.3">
      <c r="F59" s="248"/>
    </row>
    <row r="60" spans="2:6" x14ac:dyDescent="0.3">
      <c r="B60" s="208"/>
      <c r="C60" s="208"/>
      <c r="D60" s="208"/>
      <c r="E60" s="208"/>
      <c r="F60" s="206"/>
    </row>
    <row r="61" spans="2:6" x14ac:dyDescent="0.3">
      <c r="F61" s="207"/>
    </row>
    <row r="62" spans="2:6" x14ac:dyDescent="0.3">
      <c r="B62" s="244" t="s">
        <v>231</v>
      </c>
      <c r="C62" s="244"/>
      <c r="D62" s="244"/>
      <c r="E62" s="244"/>
      <c r="F62" s="244"/>
    </row>
    <row r="63" spans="2:6" ht="16.2" customHeight="1" x14ac:dyDescent="0.3">
      <c r="B63" s="247" t="s">
        <v>232</v>
      </c>
      <c r="C63" s="247"/>
      <c r="D63" s="247"/>
      <c r="E63" s="247"/>
      <c r="F63" s="247"/>
    </row>
    <row r="64" spans="2:6" x14ac:dyDescent="0.3">
      <c r="B64" s="247"/>
      <c r="C64" s="247"/>
      <c r="D64" s="247"/>
      <c r="E64" s="247"/>
      <c r="F64" s="247"/>
    </row>
    <row r="65" spans="1:12" x14ac:dyDescent="0.3">
      <c r="B65" s="247"/>
      <c r="C65" s="247"/>
      <c r="D65" s="247"/>
      <c r="E65" s="247"/>
      <c r="F65" s="247"/>
    </row>
    <row r="66" spans="1:12" x14ac:dyDescent="0.3">
      <c r="B66" s="247"/>
      <c r="C66" s="247"/>
      <c r="D66" s="247"/>
      <c r="E66" s="247"/>
      <c r="F66" s="247"/>
    </row>
    <row r="67" spans="1:12" x14ac:dyDescent="0.3">
      <c r="B67" s="247"/>
      <c r="C67" s="247"/>
      <c r="D67" s="247"/>
      <c r="E67" s="247"/>
      <c r="F67" s="247"/>
    </row>
    <row r="68" spans="1:12" x14ac:dyDescent="0.3">
      <c r="B68" s="247"/>
      <c r="C68" s="247"/>
      <c r="D68" s="247"/>
      <c r="E68" s="247"/>
      <c r="F68" s="247"/>
    </row>
    <row r="69" spans="1:12" x14ac:dyDescent="0.3">
      <c r="B69" s="247"/>
      <c r="C69" s="247"/>
      <c r="D69" s="247"/>
      <c r="E69" s="247"/>
      <c r="F69" s="247"/>
    </row>
    <row r="70" spans="1:12" x14ac:dyDescent="0.3">
      <c r="B70" s="247"/>
      <c r="C70" s="247"/>
      <c r="D70" s="247"/>
      <c r="E70" s="247"/>
      <c r="F70" s="247"/>
    </row>
    <row r="72" spans="1:12" s="5" customFormat="1" ht="33" customHeight="1" x14ac:dyDescent="0.3">
      <c r="A72" s="207"/>
      <c r="B72" s="246" t="s">
        <v>233</v>
      </c>
      <c r="C72" s="246"/>
      <c r="D72" s="246"/>
      <c r="E72" s="246"/>
      <c r="F72" s="246"/>
      <c r="G72" s="207"/>
      <c r="H72" s="207"/>
      <c r="I72" s="207"/>
      <c r="J72" s="207"/>
      <c r="K72" s="207"/>
      <c r="L72" s="207"/>
    </row>
    <row r="73" spans="1:12" x14ac:dyDescent="0.3">
      <c r="B73" s="247" t="s">
        <v>234</v>
      </c>
      <c r="C73" s="247"/>
      <c r="D73" s="247"/>
      <c r="E73" s="247"/>
      <c r="F73" s="247"/>
    </row>
    <row r="74" spans="1:12" x14ac:dyDescent="0.3">
      <c r="B74" s="247"/>
      <c r="C74" s="247"/>
      <c r="D74" s="247"/>
      <c r="E74" s="247"/>
      <c r="F74" s="247"/>
    </row>
    <row r="75" spans="1:12" x14ac:dyDescent="0.3">
      <c r="B75" s="247"/>
      <c r="C75" s="247"/>
      <c r="D75" s="247"/>
      <c r="E75" s="247"/>
      <c r="F75" s="247"/>
    </row>
    <row r="77" spans="1:12" x14ac:dyDescent="0.3">
      <c r="B77" s="246" t="s">
        <v>235</v>
      </c>
      <c r="C77" s="246"/>
      <c r="D77" s="246"/>
      <c r="E77" s="246"/>
      <c r="F77" s="246"/>
    </row>
    <row r="78" spans="1:12" x14ac:dyDescent="0.3">
      <c r="B78" s="247" t="s">
        <v>236</v>
      </c>
      <c r="C78" s="247"/>
      <c r="D78" s="247"/>
      <c r="E78" s="247"/>
      <c r="F78" s="247"/>
    </row>
    <row r="79" spans="1:12" x14ac:dyDescent="0.3">
      <c r="B79" s="247"/>
      <c r="C79" s="247"/>
      <c r="D79" s="247"/>
      <c r="E79" s="247"/>
      <c r="F79" s="247"/>
    </row>
    <row r="80" spans="1:12" x14ac:dyDescent="0.3">
      <c r="B80" s="247"/>
      <c r="C80" s="247"/>
      <c r="D80" s="247"/>
      <c r="E80" s="247"/>
      <c r="F80" s="247"/>
    </row>
  </sheetData>
  <mergeCells count="29">
    <mergeCell ref="B77:F77"/>
    <mergeCell ref="B78:F80"/>
    <mergeCell ref="B73:F75"/>
    <mergeCell ref="B62:F62"/>
    <mergeCell ref="B63:F70"/>
    <mergeCell ref="B72:F72"/>
    <mergeCell ref="E42:E44"/>
    <mergeCell ref="F42:F49"/>
    <mergeCell ref="F51:F59"/>
    <mergeCell ref="B20:F20"/>
    <mergeCell ref="B21:F21"/>
    <mergeCell ref="B22:F22"/>
    <mergeCell ref="B23:F23"/>
    <mergeCell ref="F25:F31"/>
    <mergeCell ref="E33:E34"/>
    <mergeCell ref="F33:F40"/>
    <mergeCell ref="B14:F14"/>
    <mergeCell ref="B15:F15"/>
    <mergeCell ref="B17:F17"/>
    <mergeCell ref="B18:F18"/>
    <mergeCell ref="B6:F6"/>
    <mergeCell ref="B8:F8"/>
    <mergeCell ref="B9:F9"/>
    <mergeCell ref="B11:F11"/>
    <mergeCell ref="B4:J4"/>
    <mergeCell ref="B1:F2"/>
    <mergeCell ref="B3:F3"/>
    <mergeCell ref="B5:F5"/>
    <mergeCell ref="B12:F1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1793F1-F2AC-408A-82E2-AB45ACB96B9F}">
  <dimension ref="A1:F70"/>
  <sheetViews>
    <sheetView workbookViewId="0">
      <selection activeCell="D36" sqref="D36"/>
    </sheetView>
  </sheetViews>
  <sheetFormatPr defaultColWidth="8.88671875" defaultRowHeight="16.2" x14ac:dyDescent="0.3"/>
  <cols>
    <col min="1" max="1" width="9.44140625" style="3" customWidth="1"/>
    <col min="2" max="2" width="22.6640625" style="3" customWidth="1"/>
    <col min="3" max="3" width="52.33203125" style="3" customWidth="1"/>
    <col min="4" max="4" width="38.109375" style="3" customWidth="1"/>
    <col min="5" max="5" width="44.33203125" style="3" customWidth="1"/>
    <col min="6" max="6" width="26.5546875" style="3" customWidth="1"/>
    <col min="7" max="16384" width="8.88671875" style="3"/>
  </cols>
  <sheetData>
    <row r="1" spans="1:6" ht="24.6" customHeight="1" x14ac:dyDescent="0.3">
      <c r="B1" s="250" t="s">
        <v>195</v>
      </c>
      <c r="C1" s="250"/>
      <c r="D1" s="250"/>
      <c r="E1" s="250"/>
      <c r="F1" s="250"/>
    </row>
    <row r="2" spans="1:6" ht="24.6" customHeight="1" x14ac:dyDescent="0.3">
      <c r="B2" s="250"/>
      <c r="C2" s="250"/>
      <c r="D2" s="250"/>
      <c r="E2" s="250"/>
      <c r="F2" s="250"/>
    </row>
    <row r="3" spans="1:6" ht="24" customHeight="1" x14ac:dyDescent="0.4">
      <c r="B3" s="250" t="s">
        <v>237</v>
      </c>
      <c r="C3" s="250"/>
      <c r="D3" s="250"/>
      <c r="E3" s="250"/>
      <c r="F3" s="250"/>
    </row>
    <row r="4" spans="1:6" ht="30.75" customHeight="1" x14ac:dyDescent="0.4">
      <c r="A4" s="3" t="s">
        <v>238</v>
      </c>
      <c r="B4" s="251" t="s">
        <v>239</v>
      </c>
      <c r="C4" s="252"/>
      <c r="D4" s="252"/>
      <c r="E4" s="252"/>
      <c r="F4" s="252"/>
    </row>
    <row r="6" spans="1:6" ht="17.399999999999999" customHeight="1" x14ac:dyDescent="0.3">
      <c r="B6" s="253" t="s">
        <v>240</v>
      </c>
      <c r="C6" s="253"/>
      <c r="D6" s="175" t="s">
        <v>241</v>
      </c>
      <c r="E6" s="175" t="s">
        <v>242</v>
      </c>
      <c r="F6" s="175" t="s">
        <v>243</v>
      </c>
    </row>
    <row r="8" spans="1:6" ht="17.399999999999999" x14ac:dyDescent="0.3">
      <c r="B8" s="15" t="s">
        <v>244</v>
      </c>
      <c r="C8" s="12"/>
      <c r="D8" s="12"/>
      <c r="E8" s="12"/>
      <c r="F8" s="12"/>
    </row>
    <row r="9" spans="1:6" ht="17.399999999999999" x14ac:dyDescent="0.3">
      <c r="B9" s="14"/>
      <c r="C9" s="16" t="s">
        <v>245</v>
      </c>
      <c r="D9" s="36"/>
      <c r="E9" s="36"/>
      <c r="F9" s="36"/>
    </row>
    <row r="10" spans="1:6" x14ac:dyDescent="0.3">
      <c r="B10" s="19"/>
      <c r="C10" s="18" t="s">
        <v>246</v>
      </c>
      <c r="D10" s="19">
        <v>1980.78</v>
      </c>
      <c r="E10" s="19">
        <v>1996.33</v>
      </c>
      <c r="F10" s="19">
        <v>2181.29</v>
      </c>
    </row>
    <row r="11" spans="1:6" x14ac:dyDescent="0.3">
      <c r="B11" s="19"/>
      <c r="C11" s="18" t="s">
        <v>247</v>
      </c>
      <c r="D11" s="19">
        <v>52.28</v>
      </c>
      <c r="E11" s="19">
        <v>33.32</v>
      </c>
      <c r="F11" s="19">
        <v>28.58</v>
      </c>
    </row>
    <row r="12" spans="1:6" x14ac:dyDescent="0.3">
      <c r="B12" s="19"/>
      <c r="C12" s="18" t="s">
        <v>248</v>
      </c>
      <c r="D12" s="19">
        <v>106.16</v>
      </c>
      <c r="E12" s="19">
        <v>102.93</v>
      </c>
      <c r="F12" s="19">
        <v>161.78</v>
      </c>
    </row>
    <row r="13" spans="1:6" x14ac:dyDescent="0.3">
      <c r="B13" s="19"/>
      <c r="C13" s="18" t="s">
        <v>249</v>
      </c>
      <c r="D13" s="19">
        <v>183.61</v>
      </c>
      <c r="E13" s="19">
        <v>184.3</v>
      </c>
      <c r="F13" s="19">
        <v>184.73</v>
      </c>
    </row>
    <row r="14" spans="1:6" x14ac:dyDescent="0.3">
      <c r="B14" s="19"/>
      <c r="C14" s="18" t="s">
        <v>250</v>
      </c>
      <c r="D14" s="19">
        <v>853.88</v>
      </c>
      <c r="E14" s="19">
        <v>789.47799999999995</v>
      </c>
      <c r="F14" s="19">
        <v>723.84</v>
      </c>
    </row>
    <row r="15" spans="1:6" x14ac:dyDescent="0.3">
      <c r="B15" s="19"/>
      <c r="C15" s="18" t="s">
        <v>251</v>
      </c>
      <c r="D15" s="19">
        <v>1.55</v>
      </c>
      <c r="E15" s="19">
        <v>0</v>
      </c>
      <c r="F15" s="19">
        <v>0</v>
      </c>
    </row>
    <row r="16" spans="1:6" x14ac:dyDescent="0.3">
      <c r="B16" s="19"/>
      <c r="C16" s="18" t="s">
        <v>252</v>
      </c>
      <c r="D16" s="19">
        <v>188.79</v>
      </c>
      <c r="E16" s="19">
        <v>131.05000000000001</v>
      </c>
      <c r="F16" s="19">
        <v>80.5</v>
      </c>
    </row>
    <row r="17" spans="2:6" x14ac:dyDescent="0.3">
      <c r="B17" s="19"/>
      <c r="C17" s="18" t="s">
        <v>253</v>
      </c>
      <c r="D17" s="19">
        <v>156.34</v>
      </c>
      <c r="E17" s="19">
        <v>194.73</v>
      </c>
      <c r="F17" s="19">
        <v>292.36</v>
      </c>
    </row>
    <row r="18" spans="2:6" x14ac:dyDescent="0.3">
      <c r="B18" s="19"/>
      <c r="C18" s="18" t="s">
        <v>254</v>
      </c>
      <c r="D18" s="19">
        <v>178.43</v>
      </c>
      <c r="E18" s="19">
        <v>187.66</v>
      </c>
      <c r="F18" s="19">
        <v>270.52</v>
      </c>
    </row>
    <row r="19" spans="2:6" x14ac:dyDescent="0.3">
      <c r="B19" s="19"/>
      <c r="C19" s="18" t="s">
        <v>255</v>
      </c>
      <c r="D19" s="19">
        <v>0.59</v>
      </c>
      <c r="E19" s="19">
        <v>1.17</v>
      </c>
      <c r="F19" s="19">
        <v>2</v>
      </c>
    </row>
    <row r="20" spans="2:6" x14ac:dyDescent="0.3">
      <c r="B20" s="19"/>
      <c r="C20" s="18" t="s">
        <v>256</v>
      </c>
      <c r="D20" s="19">
        <v>127.19</v>
      </c>
      <c r="E20" s="19">
        <v>137.81</v>
      </c>
      <c r="F20" s="19">
        <v>148.11000000000001</v>
      </c>
    </row>
    <row r="21" spans="2:6" x14ac:dyDescent="0.3">
      <c r="D21" s="44">
        <f>SUM(D10:D20)</f>
        <v>3829.6000000000004</v>
      </c>
      <c r="E21" s="44">
        <f>SUM(E10:E20)</f>
        <v>3758.7780000000002</v>
      </c>
      <c r="F21" s="44">
        <f>SUM(F10:F20)</f>
        <v>4073.7100000000005</v>
      </c>
    </row>
    <row r="23" spans="2:6" ht="17.399999999999999" x14ac:dyDescent="0.3">
      <c r="B23" s="14"/>
      <c r="C23" s="16" t="s">
        <v>257</v>
      </c>
      <c r="D23" s="14"/>
      <c r="E23" s="14"/>
      <c r="F23" s="14"/>
    </row>
    <row r="24" spans="2:6" x14ac:dyDescent="0.3">
      <c r="B24" s="19"/>
      <c r="C24" s="18" t="s">
        <v>258</v>
      </c>
      <c r="D24" s="35">
        <v>1228.47</v>
      </c>
      <c r="E24" s="35">
        <v>1353.36</v>
      </c>
      <c r="F24" s="35">
        <v>1428.76</v>
      </c>
    </row>
    <row r="25" spans="2:6" x14ac:dyDescent="0.3">
      <c r="B25" s="19"/>
      <c r="C25" s="18" t="s">
        <v>251</v>
      </c>
      <c r="D25" s="35">
        <v>3.08</v>
      </c>
      <c r="E25" s="35">
        <v>0</v>
      </c>
      <c r="F25" s="35">
        <v>150.11000000000001</v>
      </c>
    </row>
    <row r="26" spans="2:6" x14ac:dyDescent="0.3">
      <c r="B26" s="19"/>
      <c r="C26" s="18" t="s">
        <v>252</v>
      </c>
      <c r="D26" s="35">
        <v>5251.25</v>
      </c>
      <c r="E26" s="35">
        <v>5805.29</v>
      </c>
      <c r="F26" s="35">
        <v>7816.87</v>
      </c>
    </row>
    <row r="27" spans="2:6" x14ac:dyDescent="0.3">
      <c r="B27" s="19"/>
      <c r="C27" s="18" t="s">
        <v>259</v>
      </c>
      <c r="D27" s="35">
        <v>956.43</v>
      </c>
      <c r="E27" s="35">
        <v>1009.33</v>
      </c>
      <c r="F27" s="35">
        <v>1601.69</v>
      </c>
    </row>
    <row r="28" spans="2:6" x14ac:dyDescent="0.3">
      <c r="B28" s="19"/>
      <c r="C28" s="18" t="s">
        <v>260</v>
      </c>
      <c r="D28" s="35">
        <v>103.44</v>
      </c>
      <c r="E28" s="35">
        <v>22.66</v>
      </c>
      <c r="F28" s="35">
        <v>157.58000000000001</v>
      </c>
    </row>
    <row r="29" spans="2:6" x14ac:dyDescent="0.3">
      <c r="B29" s="19"/>
      <c r="C29" s="18" t="s">
        <v>261</v>
      </c>
      <c r="D29" s="35">
        <v>57.52</v>
      </c>
      <c r="E29" s="35">
        <v>62.82</v>
      </c>
      <c r="F29" s="35">
        <v>68.680000000000007</v>
      </c>
    </row>
    <row r="30" spans="2:6" x14ac:dyDescent="0.3">
      <c r="B30" s="19"/>
      <c r="C30" s="18" t="s">
        <v>253</v>
      </c>
      <c r="D30" s="35">
        <v>422.87</v>
      </c>
      <c r="E30" s="35">
        <v>465.63</v>
      </c>
      <c r="F30" s="35">
        <v>403.02</v>
      </c>
    </row>
    <row r="31" spans="2:6" x14ac:dyDescent="0.3">
      <c r="B31" s="19"/>
      <c r="C31" s="18" t="s">
        <v>262</v>
      </c>
      <c r="D31" s="35">
        <v>185.78</v>
      </c>
      <c r="E31" s="35">
        <v>161.49</v>
      </c>
      <c r="F31" s="35">
        <v>191.85</v>
      </c>
    </row>
    <row r="32" spans="2:6" x14ac:dyDescent="0.3">
      <c r="B32" s="19"/>
      <c r="C32" s="18" t="s">
        <v>263</v>
      </c>
      <c r="D32" s="35">
        <v>6519.77</v>
      </c>
      <c r="E32" s="35">
        <v>8379.7800000000007</v>
      </c>
      <c r="F32" s="35">
        <v>8667.99</v>
      </c>
    </row>
    <row r="33" spans="2:6" x14ac:dyDescent="0.3">
      <c r="B33" s="19"/>
      <c r="C33" s="18" t="s">
        <v>264</v>
      </c>
      <c r="D33" s="35">
        <v>1022.64</v>
      </c>
      <c r="E33" s="35">
        <v>1018.57</v>
      </c>
      <c r="F33" s="35">
        <v>1023.83</v>
      </c>
    </row>
    <row r="34" spans="2:6" x14ac:dyDescent="0.3">
      <c r="D34" s="44">
        <f>SUM(D24:D33)</f>
        <v>15751.25</v>
      </c>
      <c r="E34" s="44">
        <f>SUM(E24:E33)</f>
        <v>18278.93</v>
      </c>
      <c r="F34" s="44">
        <f>SUM(F24:F33)</f>
        <v>21510.380000000005</v>
      </c>
    </row>
    <row r="36" spans="2:6" ht="17.399999999999999" x14ac:dyDescent="0.3">
      <c r="B36" s="15" t="s">
        <v>265</v>
      </c>
      <c r="C36" s="12"/>
      <c r="D36" s="45">
        <f>SUM(D34,D21)</f>
        <v>19580.849999999999</v>
      </c>
      <c r="E36" s="46">
        <f>SUM(E34,E21)</f>
        <v>22037.707999999999</v>
      </c>
      <c r="F36" s="45">
        <f>SUM(F34,F21)</f>
        <v>25584.090000000004</v>
      </c>
    </row>
    <row r="37" spans="2:6" ht="18" customHeight="1" x14ac:dyDescent="0.3"/>
    <row r="38" spans="2:6" x14ac:dyDescent="0.3">
      <c r="B38" s="249" t="s">
        <v>266</v>
      </c>
      <c r="C38" s="17"/>
      <c r="D38" s="12"/>
      <c r="E38" s="12"/>
      <c r="F38" s="12"/>
    </row>
    <row r="39" spans="2:6" ht="21.75" customHeight="1" x14ac:dyDescent="0.3">
      <c r="B39" s="249"/>
      <c r="C39" s="17"/>
      <c r="D39" s="12"/>
      <c r="E39" s="12"/>
      <c r="F39" s="12"/>
    </row>
    <row r="40" spans="2:6" x14ac:dyDescent="0.3">
      <c r="B40" s="13"/>
    </row>
    <row r="41" spans="2:6" ht="17.399999999999999" x14ac:dyDescent="0.3">
      <c r="B41" s="15" t="s">
        <v>267</v>
      </c>
      <c r="C41" s="12"/>
      <c r="D41" s="12"/>
      <c r="E41" s="12"/>
      <c r="F41" s="12"/>
    </row>
    <row r="42" spans="2:6" x14ac:dyDescent="0.3">
      <c r="B42" s="19"/>
      <c r="C42" s="18" t="s">
        <v>268</v>
      </c>
      <c r="D42" s="19">
        <v>32.49</v>
      </c>
      <c r="E42" s="19">
        <v>32.49</v>
      </c>
      <c r="F42" s="19">
        <v>34.159999999999997</v>
      </c>
    </row>
    <row r="43" spans="2:6" x14ac:dyDescent="0.3">
      <c r="B43" s="19"/>
      <c r="C43" s="18" t="s">
        <v>269</v>
      </c>
      <c r="D43" s="19">
        <v>4688.13</v>
      </c>
      <c r="E43" s="19">
        <v>5105.5</v>
      </c>
      <c r="F43" s="19">
        <v>6479.17</v>
      </c>
    </row>
    <row r="44" spans="2:6" x14ac:dyDescent="0.3">
      <c r="B44" s="19"/>
      <c r="C44" s="18" t="s">
        <v>270</v>
      </c>
      <c r="D44" s="19">
        <v>-26.76</v>
      </c>
      <c r="E44" s="19">
        <v>-25.18</v>
      </c>
      <c r="F44" s="19">
        <v>-44.47</v>
      </c>
    </row>
    <row r="45" spans="2:6" x14ac:dyDescent="0.3">
      <c r="D45" s="44">
        <f>SUM(D42:D44)</f>
        <v>4693.8599999999997</v>
      </c>
      <c r="E45" s="44">
        <f>SUM(E42:E44)</f>
        <v>5112.8099999999995</v>
      </c>
      <c r="F45" s="44">
        <f>SUM(F42:F44)</f>
        <v>6468.86</v>
      </c>
    </row>
    <row r="47" spans="2:6" ht="17.399999999999999" x14ac:dyDescent="0.3">
      <c r="B47" s="15" t="s">
        <v>271</v>
      </c>
      <c r="C47" s="12"/>
      <c r="D47" s="12"/>
      <c r="E47" s="12"/>
      <c r="F47" s="12"/>
    </row>
    <row r="48" spans="2:6" ht="17.399999999999999" x14ac:dyDescent="0.3">
      <c r="B48" s="14"/>
      <c r="C48" s="16" t="s">
        <v>272</v>
      </c>
      <c r="D48" s="14"/>
      <c r="E48" s="14"/>
      <c r="F48" s="14"/>
    </row>
    <row r="49" spans="2:6" x14ac:dyDescent="0.3">
      <c r="B49" s="19"/>
      <c r="C49" s="18" t="s">
        <v>273</v>
      </c>
      <c r="D49" s="19">
        <v>1214.83</v>
      </c>
      <c r="E49" s="19">
        <v>1447.54</v>
      </c>
      <c r="F49" s="19">
        <v>1467.38</v>
      </c>
    </row>
    <row r="50" spans="2:6" x14ac:dyDescent="0.3">
      <c r="B50" s="19"/>
      <c r="C50" s="18" t="s">
        <v>274</v>
      </c>
      <c r="D50" s="19">
        <v>54.8</v>
      </c>
      <c r="E50" s="19">
        <v>45.76</v>
      </c>
      <c r="F50" s="19">
        <v>68.14</v>
      </c>
    </row>
    <row r="51" spans="2:6" ht="30.6" customHeight="1" x14ac:dyDescent="0.3">
      <c r="B51" s="19"/>
      <c r="C51" s="21" t="s">
        <v>275</v>
      </c>
      <c r="D51" s="19">
        <v>0</v>
      </c>
      <c r="E51" s="19">
        <v>0</v>
      </c>
      <c r="F51" s="19">
        <v>0</v>
      </c>
    </row>
    <row r="52" spans="2:6" ht="29.4" customHeight="1" x14ac:dyDescent="0.3">
      <c r="B52" s="19"/>
      <c r="C52" s="21" t="s">
        <v>276</v>
      </c>
      <c r="D52" s="19">
        <v>161.4</v>
      </c>
      <c r="E52" s="19">
        <v>115.6</v>
      </c>
      <c r="F52" s="19">
        <v>79.430000000000007</v>
      </c>
    </row>
    <row r="53" spans="2:6" x14ac:dyDescent="0.3">
      <c r="B53" s="19"/>
      <c r="C53" s="18" t="s">
        <v>277</v>
      </c>
      <c r="D53" s="19">
        <v>393.17</v>
      </c>
      <c r="E53" s="19">
        <v>428.87</v>
      </c>
      <c r="F53" s="19">
        <v>466.21</v>
      </c>
    </row>
    <row r="54" spans="2:6" x14ac:dyDescent="0.3">
      <c r="B54" s="19"/>
      <c r="C54" s="18" t="s">
        <v>278</v>
      </c>
      <c r="D54" s="19">
        <v>76.05</v>
      </c>
      <c r="E54" s="19">
        <v>52.12</v>
      </c>
      <c r="F54" s="19">
        <v>60.1</v>
      </c>
    </row>
    <row r="55" spans="2:6" x14ac:dyDescent="0.3">
      <c r="B55" s="19"/>
      <c r="C55" s="18" t="s">
        <v>279</v>
      </c>
      <c r="D55" s="19">
        <v>60.21</v>
      </c>
      <c r="E55" s="19">
        <v>23.3</v>
      </c>
      <c r="F55" s="19">
        <v>11.27</v>
      </c>
    </row>
    <row r="56" spans="2:6" x14ac:dyDescent="0.3">
      <c r="B56" s="19"/>
      <c r="C56" s="18" t="s">
        <v>280</v>
      </c>
      <c r="D56" s="19">
        <v>326.51</v>
      </c>
      <c r="E56" s="19">
        <v>24.08</v>
      </c>
      <c r="F56" s="19">
        <v>19.3</v>
      </c>
    </row>
    <row r="57" spans="2:6" x14ac:dyDescent="0.3">
      <c r="D57" s="44">
        <f>SUM(D49:D56)</f>
        <v>2286.9700000000003</v>
      </c>
      <c r="E57" s="44">
        <f>SUM(E49:E56)</f>
        <v>2137.27</v>
      </c>
      <c r="F57" s="44">
        <f>SUM(F49:F56)</f>
        <v>2171.8300000000004</v>
      </c>
    </row>
    <row r="59" spans="2:6" ht="17.399999999999999" x14ac:dyDescent="0.3">
      <c r="B59" s="14"/>
      <c r="C59" s="16" t="s">
        <v>281</v>
      </c>
      <c r="D59" s="14"/>
      <c r="E59" s="14"/>
      <c r="F59" s="14"/>
    </row>
    <row r="60" spans="2:6" x14ac:dyDescent="0.3">
      <c r="B60" s="19"/>
      <c r="C60" s="18" t="s">
        <v>273</v>
      </c>
      <c r="D60" s="35">
        <v>2467.63</v>
      </c>
      <c r="E60" s="35">
        <v>2461.66</v>
      </c>
      <c r="F60" s="35">
        <v>2721.24</v>
      </c>
    </row>
    <row r="61" spans="2:6" x14ac:dyDescent="0.3">
      <c r="B61" s="19"/>
      <c r="C61" s="18" t="s">
        <v>274</v>
      </c>
      <c r="D61" s="35">
        <v>48.87</v>
      </c>
      <c r="E61" s="35">
        <v>53.24</v>
      </c>
      <c r="F61" s="35">
        <v>56.75</v>
      </c>
    </row>
    <row r="62" spans="2:6" ht="33" customHeight="1" x14ac:dyDescent="0.3">
      <c r="B62" s="19"/>
      <c r="C62" s="21" t="s">
        <v>275</v>
      </c>
      <c r="D62" s="35">
        <v>4903.84</v>
      </c>
      <c r="E62" s="35">
        <v>5855.47</v>
      </c>
      <c r="F62" s="35">
        <v>6587.93</v>
      </c>
    </row>
    <row r="63" spans="2:6" ht="31.95" customHeight="1" x14ac:dyDescent="0.3">
      <c r="B63" s="19"/>
      <c r="C63" s="21" t="s">
        <v>276</v>
      </c>
      <c r="D63" s="35">
        <v>563.21</v>
      </c>
      <c r="E63" s="35">
        <v>856.55</v>
      </c>
      <c r="F63" s="35">
        <v>1048.46</v>
      </c>
    </row>
    <row r="64" spans="2:6" x14ac:dyDescent="0.3">
      <c r="B64" s="19"/>
      <c r="C64" s="18" t="s">
        <v>277</v>
      </c>
      <c r="D64" s="35">
        <v>3613.3</v>
      </c>
      <c r="E64" s="35">
        <v>4636.91</v>
      </c>
      <c r="F64" s="35">
        <v>5469.42</v>
      </c>
    </row>
    <row r="65" spans="2:6" x14ac:dyDescent="0.3">
      <c r="B65" s="19"/>
      <c r="C65" s="18" t="s">
        <v>278</v>
      </c>
      <c r="D65" s="35">
        <v>416.6</v>
      </c>
      <c r="E65" s="35">
        <v>470.53</v>
      </c>
      <c r="F65" s="35">
        <v>616.58000000000004</v>
      </c>
    </row>
    <row r="66" spans="2:6" x14ac:dyDescent="0.3">
      <c r="B66" s="19"/>
      <c r="C66" s="18" t="s">
        <v>282</v>
      </c>
      <c r="D66" s="35">
        <v>121.9</v>
      </c>
      <c r="E66" s="35">
        <v>43.83</v>
      </c>
      <c r="F66" s="35">
        <v>112.68</v>
      </c>
    </row>
    <row r="67" spans="2:6" ht="32.4" customHeight="1" x14ac:dyDescent="0.3">
      <c r="B67" s="19"/>
      <c r="C67" s="21" t="s">
        <v>283</v>
      </c>
      <c r="D67" s="35">
        <v>464.67</v>
      </c>
      <c r="E67" s="35">
        <v>409.44</v>
      </c>
      <c r="F67" s="35">
        <v>330.34</v>
      </c>
    </row>
    <row r="68" spans="2:6" x14ac:dyDescent="0.3">
      <c r="D68" s="44">
        <f>SUM(D60:D67)</f>
        <v>12600.02</v>
      </c>
      <c r="E68" s="44">
        <f>SUM(E60:E67)</f>
        <v>14787.63</v>
      </c>
      <c r="F68" s="44">
        <f>SUM(F60:F67)</f>
        <v>16943.400000000001</v>
      </c>
    </row>
    <row r="70" spans="2:6" ht="17.399999999999999" x14ac:dyDescent="0.3">
      <c r="B70" s="15" t="s">
        <v>284</v>
      </c>
      <c r="C70" s="12"/>
      <c r="D70" s="45">
        <f>SUM(D45,D57,D68)</f>
        <v>19580.849999999999</v>
      </c>
      <c r="E70" s="45">
        <f>SUM(E45,E57,E68)</f>
        <v>22037.71</v>
      </c>
      <c r="F70" s="45">
        <f>SUM(F45,F57,F68)</f>
        <v>25584.090000000004</v>
      </c>
    </row>
  </sheetData>
  <mergeCells count="5">
    <mergeCell ref="B38:B39"/>
    <mergeCell ref="B1:F2"/>
    <mergeCell ref="B3:F3"/>
    <mergeCell ref="B4:F4"/>
    <mergeCell ref="B6:C6"/>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221E5-B269-4926-99AD-22671CA08624}">
  <dimension ref="B1:H56"/>
  <sheetViews>
    <sheetView workbookViewId="0">
      <selection activeCell="C56" sqref="C56"/>
    </sheetView>
  </sheetViews>
  <sheetFormatPr defaultRowHeight="14.4" x14ac:dyDescent="0.3"/>
  <cols>
    <col min="1" max="1" width="11.5546875" customWidth="1"/>
    <col min="2" max="2" width="91.6640625" customWidth="1"/>
    <col min="3" max="3" width="32.33203125" customWidth="1"/>
    <col min="4" max="4" width="29.44140625" customWidth="1"/>
    <col min="5" max="5" width="29.6640625" customWidth="1"/>
    <col min="6" max="6" width="12.109375" customWidth="1"/>
  </cols>
  <sheetData>
    <row r="1" spans="2:8" ht="37.200000000000003" customHeight="1" x14ac:dyDescent="0.4">
      <c r="B1" s="255" t="s">
        <v>195</v>
      </c>
      <c r="C1" s="255"/>
      <c r="D1" s="255"/>
      <c r="E1" s="255"/>
    </row>
    <row r="2" spans="2:8" ht="27.6" customHeight="1" x14ac:dyDescent="0.4">
      <c r="B2" s="254" t="s">
        <v>285</v>
      </c>
      <c r="C2" s="254"/>
      <c r="D2" s="254"/>
      <c r="E2" s="254"/>
    </row>
    <row r="3" spans="2:8" x14ac:dyDescent="0.3">
      <c r="B3" s="49"/>
    </row>
    <row r="4" spans="2:8" ht="23.4" customHeight="1" x14ac:dyDescent="0.3">
      <c r="B4" s="64" t="s">
        <v>286</v>
      </c>
      <c r="C4" s="63" t="s">
        <v>287</v>
      </c>
      <c r="D4" s="63" t="s">
        <v>288</v>
      </c>
      <c r="E4" s="63" t="s">
        <v>289</v>
      </c>
    </row>
    <row r="5" spans="2:8" ht="15.6" x14ac:dyDescent="0.3">
      <c r="B5" s="65" t="s">
        <v>290</v>
      </c>
      <c r="C5" s="66">
        <v>16361.44</v>
      </c>
      <c r="D5" s="66">
        <v>19626.43</v>
      </c>
      <c r="E5" s="66">
        <v>22315.78</v>
      </c>
    </row>
    <row r="6" spans="2:8" ht="15.6" x14ac:dyDescent="0.3">
      <c r="B6" s="65" t="s">
        <v>291</v>
      </c>
      <c r="C6" s="67">
        <v>39.700000000000003</v>
      </c>
      <c r="D6" s="67">
        <v>63.99</v>
      </c>
      <c r="E6" s="67">
        <v>62.48</v>
      </c>
      <c r="H6" s="62"/>
    </row>
    <row r="7" spans="2:8" ht="15.6" x14ac:dyDescent="0.3">
      <c r="B7" s="68" t="s">
        <v>292</v>
      </c>
      <c r="C7" s="69">
        <f>C5+C6</f>
        <v>16401.14</v>
      </c>
      <c r="D7" s="69">
        <f>D5+D6</f>
        <v>19690.420000000002</v>
      </c>
      <c r="E7" s="69">
        <f>E5+E6</f>
        <v>22378.26</v>
      </c>
    </row>
    <row r="8" spans="2:8" ht="15.6" x14ac:dyDescent="0.3">
      <c r="B8" s="70" t="s">
        <v>293</v>
      </c>
      <c r="C8" s="71"/>
      <c r="D8" s="71"/>
      <c r="E8" s="71"/>
    </row>
    <row r="9" spans="2:8" ht="15.6" x14ac:dyDescent="0.3">
      <c r="B9" s="65" t="s">
        <v>294</v>
      </c>
      <c r="C9" s="66">
        <v>6983.77</v>
      </c>
      <c r="D9" s="66">
        <v>8187.39</v>
      </c>
      <c r="E9" s="66">
        <v>8584.51</v>
      </c>
    </row>
    <row r="10" spans="2:8" ht="15.6" x14ac:dyDescent="0.3">
      <c r="B10" s="65" t="s">
        <v>295</v>
      </c>
      <c r="C10" s="67">
        <v>-13.46</v>
      </c>
      <c r="D10" s="67">
        <v>17.71</v>
      </c>
      <c r="E10" s="67">
        <v>-3.72</v>
      </c>
    </row>
    <row r="11" spans="2:8" ht="15.6" x14ac:dyDescent="0.3">
      <c r="B11" s="65" t="s">
        <v>296</v>
      </c>
      <c r="C11" s="66">
        <v>5413.5</v>
      </c>
      <c r="D11" s="66">
        <v>6595.43</v>
      </c>
      <c r="E11" s="66">
        <v>8357.68</v>
      </c>
    </row>
    <row r="12" spans="2:8" ht="15.6" x14ac:dyDescent="0.3">
      <c r="B12" s="65" t="s">
        <v>297</v>
      </c>
      <c r="C12" s="66">
        <v>1446.88</v>
      </c>
      <c r="D12" s="66">
        <v>1717.63</v>
      </c>
      <c r="E12" s="66">
        <v>2113.4699999999998</v>
      </c>
    </row>
    <row r="13" spans="2:8" ht="15.6" x14ac:dyDescent="0.3">
      <c r="B13" s="65" t="s">
        <v>298</v>
      </c>
      <c r="C13" s="67">
        <v>466.75</v>
      </c>
      <c r="D13" s="67">
        <v>518.08000000000004</v>
      </c>
      <c r="E13" s="67">
        <v>576.53</v>
      </c>
    </row>
    <row r="14" spans="2:8" ht="15.6" x14ac:dyDescent="0.3">
      <c r="B14" s="65" t="s">
        <v>299</v>
      </c>
      <c r="C14" s="67">
        <v>391.75</v>
      </c>
      <c r="D14" s="67">
        <v>473.29</v>
      </c>
      <c r="E14" s="67">
        <v>497.27</v>
      </c>
    </row>
    <row r="15" spans="2:8" ht="15.6" x14ac:dyDescent="0.3">
      <c r="B15" s="65" t="s">
        <v>300</v>
      </c>
      <c r="C15" s="67">
        <v>2.81</v>
      </c>
      <c r="D15" s="67">
        <v>0</v>
      </c>
      <c r="E15" s="67">
        <v>0</v>
      </c>
    </row>
    <row r="16" spans="2:8" ht="15.6" x14ac:dyDescent="0.3">
      <c r="B16" s="65" t="s">
        <v>301</v>
      </c>
      <c r="C16" s="66">
        <v>1158.4000000000001</v>
      </c>
      <c r="D16" s="66">
        <v>1479.7</v>
      </c>
      <c r="E16" s="66">
        <v>1429.72</v>
      </c>
    </row>
    <row r="17" spans="2:5" ht="15.6" x14ac:dyDescent="0.3">
      <c r="B17" s="68" t="s">
        <v>302</v>
      </c>
      <c r="C17" s="69">
        <f>SUM(C9:C16)</f>
        <v>15850.400000000001</v>
      </c>
      <c r="D17" s="69">
        <f>SUM(D9:D16)</f>
        <v>18989.230000000003</v>
      </c>
      <c r="E17" s="69">
        <f>SUM(E9:E16)</f>
        <v>21555.460000000003</v>
      </c>
    </row>
    <row r="18" spans="2:5" ht="15.6" x14ac:dyDescent="0.3">
      <c r="B18" s="68" t="s">
        <v>303</v>
      </c>
      <c r="C18" s="69">
        <f>C7-C17</f>
        <v>550.73999999999796</v>
      </c>
      <c r="D18" s="69">
        <f>D7-D17</f>
        <v>701.18999999999869</v>
      </c>
      <c r="E18" s="69">
        <f>E7-E17</f>
        <v>822.79999999999563</v>
      </c>
    </row>
    <row r="19" spans="2:5" ht="15.6" x14ac:dyDescent="0.3">
      <c r="B19" s="65" t="s">
        <v>304</v>
      </c>
      <c r="C19" s="67">
        <v>0</v>
      </c>
      <c r="D19" s="67">
        <v>0</v>
      </c>
      <c r="E19" s="67">
        <v>0</v>
      </c>
    </row>
    <row r="20" spans="2:5" ht="15.6" x14ac:dyDescent="0.3">
      <c r="B20" s="68" t="s">
        <v>305</v>
      </c>
      <c r="C20" s="69">
        <f>C7-C17+C19</f>
        <v>550.73999999999796</v>
      </c>
      <c r="D20" s="69">
        <f>D7-D17+D19</f>
        <v>701.18999999999869</v>
      </c>
      <c r="E20" s="69">
        <f>E7-E17+E19</f>
        <v>822.79999999999563</v>
      </c>
    </row>
    <row r="21" spans="2:5" ht="15.6" x14ac:dyDescent="0.3">
      <c r="B21" s="65" t="s">
        <v>306</v>
      </c>
      <c r="C21" s="67">
        <v>90.78</v>
      </c>
      <c r="D21" s="67">
        <v>0</v>
      </c>
      <c r="E21" s="67">
        <v>0</v>
      </c>
    </row>
    <row r="22" spans="2:5" ht="15.6" x14ac:dyDescent="0.3">
      <c r="B22" s="68" t="s">
        <v>307</v>
      </c>
      <c r="C22" s="69">
        <f>C7-C17+C21</f>
        <v>641.51999999999794</v>
      </c>
      <c r="D22" s="69">
        <f>D7-D17+D21</f>
        <v>701.18999999999869</v>
      </c>
      <c r="E22" s="69">
        <f>E7-E17+E21</f>
        <v>822.79999999999563</v>
      </c>
    </row>
    <row r="23" spans="2:5" ht="15.6" x14ac:dyDescent="0.3">
      <c r="B23" s="70" t="s">
        <v>308</v>
      </c>
      <c r="C23" s="71"/>
      <c r="D23" s="71"/>
      <c r="E23" s="71"/>
    </row>
    <row r="24" spans="2:5" ht="15.6" x14ac:dyDescent="0.3">
      <c r="B24" s="65" t="s">
        <v>309</v>
      </c>
      <c r="C24" s="67">
        <v>265.64</v>
      </c>
      <c r="D24" s="67">
        <v>223.4</v>
      </c>
      <c r="E24" s="67">
        <v>312.25</v>
      </c>
    </row>
    <row r="25" spans="2:5" ht="15.6" x14ac:dyDescent="0.3">
      <c r="B25" s="65" t="s">
        <v>310</v>
      </c>
      <c r="C25" s="67">
        <v>-59.14</v>
      </c>
      <c r="D25" s="67">
        <v>-38.11</v>
      </c>
      <c r="E25" s="67">
        <v>-56.72</v>
      </c>
    </row>
    <row r="26" spans="2:5" ht="15.6" x14ac:dyDescent="0.3">
      <c r="B26" s="68" t="s">
        <v>311</v>
      </c>
      <c r="C26" s="72">
        <f>C24+C25</f>
        <v>206.5</v>
      </c>
      <c r="D26" s="72">
        <f>D24+D25</f>
        <v>185.29000000000002</v>
      </c>
      <c r="E26" s="72">
        <f>E24+E25</f>
        <v>255.53</v>
      </c>
    </row>
    <row r="27" spans="2:5" ht="15.6" x14ac:dyDescent="0.3">
      <c r="B27" s="68" t="s">
        <v>312</v>
      </c>
      <c r="C27" s="69">
        <f>C22-C26</f>
        <v>435.01999999999794</v>
      </c>
      <c r="D27" s="69">
        <f>D22-D26</f>
        <v>515.89999999999873</v>
      </c>
      <c r="E27" s="69">
        <f>E22-E26</f>
        <v>567.26999999999566</v>
      </c>
    </row>
    <row r="28" spans="2:5" ht="15.6" x14ac:dyDescent="0.3">
      <c r="B28" s="70" t="s">
        <v>313</v>
      </c>
      <c r="C28" s="71"/>
      <c r="D28" s="71"/>
      <c r="E28" s="71"/>
    </row>
    <row r="29" spans="2:5" ht="15.6" x14ac:dyDescent="0.3">
      <c r="B29" s="73" t="s">
        <v>314</v>
      </c>
      <c r="C29" s="71"/>
      <c r="D29" s="71"/>
      <c r="E29" s="71"/>
    </row>
    <row r="30" spans="2:5" ht="15.6" x14ac:dyDescent="0.3">
      <c r="B30" s="65" t="s">
        <v>315</v>
      </c>
      <c r="C30" s="67">
        <v>1.99</v>
      </c>
      <c r="D30" s="67">
        <v>-5.12</v>
      </c>
      <c r="E30" s="67">
        <v>-8.5299999999999994</v>
      </c>
    </row>
    <row r="31" spans="2:5" ht="15.6" x14ac:dyDescent="0.3">
      <c r="B31" s="65" t="s">
        <v>316</v>
      </c>
      <c r="C31" s="67">
        <v>-0.5</v>
      </c>
      <c r="D31" s="67">
        <v>1.29</v>
      </c>
      <c r="E31" s="67">
        <v>2.13</v>
      </c>
    </row>
    <row r="32" spans="2:5" ht="15.6" x14ac:dyDescent="0.3">
      <c r="B32" s="74"/>
      <c r="C32" s="75">
        <f>C30+C31</f>
        <v>1.49</v>
      </c>
      <c r="D32" s="75">
        <f>D30+D31</f>
        <v>-3.83</v>
      </c>
      <c r="E32" s="75">
        <f>E30+E31</f>
        <v>-6.3999999999999995</v>
      </c>
    </row>
    <row r="33" spans="2:6" ht="15.6" x14ac:dyDescent="0.3">
      <c r="B33" s="73" t="s">
        <v>317</v>
      </c>
      <c r="C33" s="71"/>
      <c r="D33" s="71"/>
      <c r="E33" s="71"/>
    </row>
    <row r="34" spans="2:6" ht="15.6" x14ac:dyDescent="0.3">
      <c r="B34" s="65" t="s">
        <v>318</v>
      </c>
      <c r="C34" s="67">
        <v>-15.46</v>
      </c>
      <c r="D34" s="67">
        <v>6.42</v>
      </c>
      <c r="E34" s="67">
        <v>-53.12</v>
      </c>
    </row>
    <row r="35" spans="2:6" ht="15.6" x14ac:dyDescent="0.3">
      <c r="B35" s="65" t="s">
        <v>319</v>
      </c>
      <c r="C35" s="67">
        <v>-58.08</v>
      </c>
      <c r="D35" s="67">
        <v>11.37</v>
      </c>
      <c r="E35" s="67">
        <v>-29.82</v>
      </c>
    </row>
    <row r="36" spans="2:6" ht="15.6" x14ac:dyDescent="0.3">
      <c r="B36" s="65" t="s">
        <v>320</v>
      </c>
      <c r="C36" s="67">
        <v>16.38</v>
      </c>
      <c r="D36" s="67">
        <v>-5.0199999999999996</v>
      </c>
      <c r="E36" s="67">
        <v>21.39</v>
      </c>
    </row>
    <row r="37" spans="2:6" ht="15.6" x14ac:dyDescent="0.3">
      <c r="B37" s="74"/>
      <c r="C37" s="75">
        <f>C34+C35+C36</f>
        <v>-57.16</v>
      </c>
      <c r="D37" s="75">
        <f>D34+D35+D36</f>
        <v>12.77</v>
      </c>
      <c r="E37" s="75">
        <f>E34+E35+E36</f>
        <v>-61.55</v>
      </c>
    </row>
    <row r="38" spans="2:6" ht="15.6" x14ac:dyDescent="0.3">
      <c r="B38" s="74" t="s">
        <v>321</v>
      </c>
      <c r="C38" s="75">
        <v>-55.67</v>
      </c>
      <c r="D38" s="75">
        <v>8.94</v>
      </c>
      <c r="E38" s="75">
        <v>-67.95</v>
      </c>
    </row>
    <row r="39" spans="2:6" ht="15.6" x14ac:dyDescent="0.3">
      <c r="B39" s="68" t="s">
        <v>322</v>
      </c>
      <c r="C39" s="69">
        <f>C27+C38</f>
        <v>379.34999999999792</v>
      </c>
      <c r="D39" s="69">
        <f>D27+D38</f>
        <v>524.83999999999878</v>
      </c>
      <c r="E39" s="69">
        <f>E27+E38</f>
        <v>499.31999999999567</v>
      </c>
      <c r="F39" s="61"/>
    </row>
    <row r="40" spans="2:6" ht="15.6" x14ac:dyDescent="0.3">
      <c r="B40" s="73" t="s">
        <v>323</v>
      </c>
      <c r="C40" s="71"/>
      <c r="D40" s="71"/>
      <c r="E40" s="71"/>
    </row>
    <row r="41" spans="2:6" ht="15.6" x14ac:dyDescent="0.3">
      <c r="B41" s="65" t="s">
        <v>324</v>
      </c>
      <c r="C41" s="67">
        <v>440.75</v>
      </c>
      <c r="D41" s="67">
        <v>509.61</v>
      </c>
      <c r="E41" s="67">
        <v>585.70000000000005</v>
      </c>
    </row>
    <row r="42" spans="2:6" ht="15.6" x14ac:dyDescent="0.3">
      <c r="B42" s="65" t="s">
        <v>325</v>
      </c>
      <c r="C42" s="67">
        <v>-5.73</v>
      </c>
      <c r="D42" s="67">
        <v>6.29</v>
      </c>
      <c r="E42" s="67">
        <v>-18.43</v>
      </c>
    </row>
    <row r="43" spans="2:6" ht="15.6" x14ac:dyDescent="0.3">
      <c r="B43" s="68" t="s">
        <v>312</v>
      </c>
      <c r="C43" s="72">
        <f>C41+C42</f>
        <v>435.02</v>
      </c>
      <c r="D43" s="72">
        <f>D41+D42</f>
        <v>515.9</v>
      </c>
      <c r="E43" s="72">
        <f>E41+E42</f>
        <v>567.2700000000001</v>
      </c>
    </row>
    <row r="44" spans="2:6" ht="15.6" x14ac:dyDescent="0.3">
      <c r="B44" s="73" t="s">
        <v>326</v>
      </c>
      <c r="C44" s="71"/>
      <c r="D44" s="71"/>
      <c r="E44" s="71"/>
    </row>
    <row r="45" spans="2:6" ht="15.6" x14ac:dyDescent="0.3">
      <c r="B45" s="65" t="s">
        <v>324</v>
      </c>
      <c r="C45" s="67">
        <v>-42.34</v>
      </c>
      <c r="D45" s="67">
        <v>9.33</v>
      </c>
      <c r="E45" s="67">
        <v>-67.09</v>
      </c>
    </row>
    <row r="46" spans="2:6" ht="15.6" x14ac:dyDescent="0.3">
      <c r="B46" s="65" t="s">
        <v>325</v>
      </c>
      <c r="C46" s="67">
        <v>-13.33</v>
      </c>
      <c r="D46" s="67">
        <v>-0.39</v>
      </c>
      <c r="E46" s="67">
        <v>-0.86</v>
      </c>
    </row>
    <row r="47" spans="2:6" ht="15.6" x14ac:dyDescent="0.3">
      <c r="B47" s="68" t="s">
        <v>327</v>
      </c>
      <c r="C47" s="72">
        <f>C45+C46</f>
        <v>-55.67</v>
      </c>
      <c r="D47" s="72">
        <f>D45+D46</f>
        <v>8.94</v>
      </c>
      <c r="E47" s="72">
        <f>E45+E46</f>
        <v>-67.95</v>
      </c>
    </row>
    <row r="48" spans="2:6" ht="15.6" x14ac:dyDescent="0.3">
      <c r="B48" s="73" t="s">
        <v>328</v>
      </c>
      <c r="C48" s="71"/>
      <c r="D48" s="71"/>
      <c r="E48" s="71"/>
    </row>
    <row r="49" spans="2:5" ht="15.6" x14ac:dyDescent="0.3">
      <c r="B49" s="65" t="s">
        <v>324</v>
      </c>
      <c r="C49" s="67">
        <v>398.41</v>
      </c>
      <c r="D49" s="67">
        <v>518.94000000000005</v>
      </c>
      <c r="E49" s="67">
        <v>518.61</v>
      </c>
    </row>
    <row r="50" spans="2:5" ht="15.6" x14ac:dyDescent="0.3">
      <c r="B50" s="65" t="s">
        <v>325</v>
      </c>
      <c r="C50" s="67">
        <v>-19.059999999999999</v>
      </c>
      <c r="D50" s="67">
        <v>5.9</v>
      </c>
      <c r="E50" s="67">
        <v>-19.29</v>
      </c>
    </row>
    <row r="51" spans="2:5" ht="15.6" x14ac:dyDescent="0.3">
      <c r="B51" s="68" t="s">
        <v>322</v>
      </c>
      <c r="C51" s="72">
        <f>C49+C50</f>
        <v>379.35</v>
      </c>
      <c r="D51" s="72">
        <f>D49+D50</f>
        <v>524.84</v>
      </c>
      <c r="E51" s="72">
        <f>E49+E50</f>
        <v>499.32</v>
      </c>
    </row>
    <row r="52" spans="2:5" ht="15.6" x14ac:dyDescent="0.3">
      <c r="B52" s="73" t="s">
        <v>329</v>
      </c>
      <c r="C52" s="71"/>
      <c r="D52" s="71"/>
      <c r="E52" s="71"/>
    </row>
    <row r="53" spans="2:5" ht="15.6" x14ac:dyDescent="0.3">
      <c r="B53" s="65" t="s">
        <v>330</v>
      </c>
      <c r="C53" s="67">
        <v>29.06</v>
      </c>
      <c r="D53" s="67">
        <v>31.37</v>
      </c>
      <c r="E53" s="67">
        <v>35.53</v>
      </c>
    </row>
    <row r="54" spans="2:5" x14ac:dyDescent="0.3">
      <c r="B54" s="34"/>
      <c r="E54" s="20"/>
    </row>
    <row r="55" spans="2:5" ht="15.6" x14ac:dyDescent="0.3">
      <c r="B55" s="176" t="s">
        <v>331</v>
      </c>
      <c r="C55" s="177">
        <f>C22+C13</f>
        <v>1108.2699999999979</v>
      </c>
      <c r="D55" s="177">
        <f>D22+D13</f>
        <v>1219.2699999999986</v>
      </c>
      <c r="E55" s="177">
        <f>E22+E13</f>
        <v>1399.3299999999956</v>
      </c>
    </row>
    <row r="56" spans="2:5" ht="15.6" x14ac:dyDescent="0.3">
      <c r="B56" s="176" t="s">
        <v>332</v>
      </c>
      <c r="C56" s="178">
        <f>(C26/C22)*100</f>
        <v>32.189175707694332</v>
      </c>
      <c r="D56" s="178">
        <f>(D26/D22)*100</f>
        <v>26.425077368473648</v>
      </c>
      <c r="E56" s="178">
        <f>(E26/E22)*100</f>
        <v>31.056149732620487</v>
      </c>
    </row>
  </sheetData>
  <mergeCells count="2">
    <mergeCell ref="B2:E2"/>
    <mergeCell ref="B1:E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91CDB7-CA49-4FE5-9F28-CBA051BCDFAA}">
  <dimension ref="B1:F35"/>
  <sheetViews>
    <sheetView topLeftCell="A6" workbookViewId="0">
      <selection activeCell="G6" sqref="G6"/>
    </sheetView>
  </sheetViews>
  <sheetFormatPr defaultRowHeight="14.4" x14ac:dyDescent="0.3"/>
  <cols>
    <col min="2" max="2" width="47.5546875" customWidth="1"/>
    <col min="3" max="3" width="30.109375" customWidth="1"/>
    <col min="4" max="4" width="35.6640625" customWidth="1"/>
    <col min="5" max="5" width="37.6640625" customWidth="1"/>
  </cols>
  <sheetData>
    <row r="1" spans="2:5" ht="18.600000000000001" customHeight="1" x14ac:dyDescent="0.3">
      <c r="B1" s="257" t="s">
        <v>195</v>
      </c>
      <c r="C1" s="257"/>
      <c r="D1" s="257"/>
      <c r="E1" s="257"/>
    </row>
    <row r="2" spans="2:5" ht="15.6" customHeight="1" x14ac:dyDescent="0.3">
      <c r="B2" s="257"/>
      <c r="C2" s="257"/>
      <c r="D2" s="257"/>
      <c r="E2" s="257"/>
    </row>
    <row r="3" spans="2:5" ht="28.95" customHeight="1" x14ac:dyDescent="0.4">
      <c r="B3" s="256" t="s">
        <v>333</v>
      </c>
      <c r="C3" s="256"/>
      <c r="D3" s="256"/>
      <c r="E3" s="256"/>
    </row>
    <row r="4" spans="2:5" ht="18.75" customHeight="1" x14ac:dyDescent="0.3">
      <c r="B4" s="161"/>
      <c r="C4" s="161"/>
      <c r="D4" s="161"/>
      <c r="E4" s="161"/>
    </row>
    <row r="5" spans="2:5" ht="54" customHeight="1" x14ac:dyDescent="0.3">
      <c r="B5" s="22" t="s">
        <v>334</v>
      </c>
      <c r="C5" s="23" t="s">
        <v>335</v>
      </c>
      <c r="D5" s="23" t="s">
        <v>336</v>
      </c>
      <c r="E5" s="23" t="s">
        <v>337</v>
      </c>
    </row>
    <row r="6" spans="2:5" ht="54" customHeight="1" x14ac:dyDescent="0.3">
      <c r="B6" s="24" t="s">
        <v>338</v>
      </c>
      <c r="C6" s="25" t="s">
        <v>122</v>
      </c>
      <c r="D6" s="25" t="s">
        <v>122</v>
      </c>
      <c r="E6" s="25" t="s">
        <v>122</v>
      </c>
    </row>
    <row r="7" spans="2:5" ht="54" customHeight="1" x14ac:dyDescent="0.3">
      <c r="B7" s="29" t="s">
        <v>339</v>
      </c>
      <c r="C7" s="27">
        <v>615.5</v>
      </c>
      <c r="D7" s="28">
        <v>1150</v>
      </c>
      <c r="E7" s="28">
        <v>1400</v>
      </c>
    </row>
    <row r="8" spans="2:5" ht="54" customHeight="1" x14ac:dyDescent="0.3">
      <c r="B8" s="29" t="s">
        <v>340</v>
      </c>
      <c r="C8" s="27">
        <v>480</v>
      </c>
      <c r="D8" s="27">
        <v>560.5</v>
      </c>
      <c r="E8" s="27">
        <v>610</v>
      </c>
    </row>
    <row r="9" spans="2:5" ht="54" customHeight="1" x14ac:dyDescent="0.3">
      <c r="B9" s="29" t="s">
        <v>341</v>
      </c>
      <c r="C9" s="27">
        <f>C7+C8</f>
        <v>1095.5</v>
      </c>
      <c r="D9" s="27">
        <f t="shared" ref="D9:E9" si="0">D7+D8</f>
        <v>1710.5</v>
      </c>
      <c r="E9" s="27">
        <f t="shared" si="0"/>
        <v>2010</v>
      </c>
    </row>
    <row r="10" spans="2:5" ht="54" customHeight="1" x14ac:dyDescent="0.3">
      <c r="B10" s="29" t="s">
        <v>342</v>
      </c>
      <c r="C10" s="27">
        <v>-395.5</v>
      </c>
      <c r="D10" s="27">
        <v>-560.5</v>
      </c>
      <c r="E10" s="27">
        <v>-660</v>
      </c>
    </row>
    <row r="11" spans="2:5" ht="54" customHeight="1" x14ac:dyDescent="0.3">
      <c r="B11" s="29" t="s">
        <v>343</v>
      </c>
      <c r="C11" s="27">
        <f>C9+C10</f>
        <v>700</v>
      </c>
      <c r="D11" s="27">
        <f t="shared" ref="D11:E11" si="1">D9+D10</f>
        <v>1150</v>
      </c>
      <c r="E11" s="27">
        <f t="shared" si="1"/>
        <v>1350</v>
      </c>
    </row>
    <row r="12" spans="2:5" ht="54" customHeight="1" x14ac:dyDescent="0.3">
      <c r="B12" s="29" t="s">
        <v>344</v>
      </c>
      <c r="C12" s="27">
        <v>-150</v>
      </c>
      <c r="D12" s="27">
        <v>-200</v>
      </c>
      <c r="E12" s="27">
        <v>-200</v>
      </c>
    </row>
    <row r="13" spans="2:5" ht="54" customHeight="1" x14ac:dyDescent="0.3">
      <c r="B13" s="29" t="s">
        <v>345</v>
      </c>
      <c r="C13" s="30">
        <v>550</v>
      </c>
      <c r="D13" s="30">
        <v>950</v>
      </c>
      <c r="E13" s="31">
        <v>1150</v>
      </c>
    </row>
    <row r="14" spans="2:5" ht="54" customHeight="1" x14ac:dyDescent="0.3">
      <c r="B14" s="161"/>
      <c r="C14" s="161"/>
      <c r="D14" s="161"/>
      <c r="E14" s="161"/>
    </row>
    <row r="15" spans="2:5" ht="54" customHeight="1" x14ac:dyDescent="0.3">
      <c r="B15" s="32" t="s">
        <v>346</v>
      </c>
      <c r="C15" s="33" t="s">
        <v>122</v>
      </c>
      <c r="D15" s="33" t="s">
        <v>122</v>
      </c>
      <c r="E15" s="33" t="s">
        <v>122</v>
      </c>
    </row>
    <row r="16" spans="2:5" ht="54" customHeight="1" x14ac:dyDescent="0.3">
      <c r="B16" s="26" t="s">
        <v>347</v>
      </c>
      <c r="C16" s="27">
        <v>-410.5</v>
      </c>
      <c r="D16" s="27">
        <v>-545.20000000000005</v>
      </c>
      <c r="E16" s="27">
        <v>-650</v>
      </c>
    </row>
    <row r="17" spans="2:6" ht="54" customHeight="1" x14ac:dyDescent="0.3">
      <c r="B17" s="26" t="s">
        <v>348</v>
      </c>
      <c r="C17" s="27">
        <v>45</v>
      </c>
      <c r="D17" s="27">
        <v>775</v>
      </c>
      <c r="E17" s="27">
        <v>120</v>
      </c>
    </row>
    <row r="18" spans="2:6" ht="54" customHeight="1" x14ac:dyDescent="0.3">
      <c r="B18" s="26" t="s">
        <v>349</v>
      </c>
      <c r="C18" s="27">
        <v>-250</v>
      </c>
      <c r="D18" s="27">
        <v>-180</v>
      </c>
      <c r="E18" s="27">
        <v>-220</v>
      </c>
    </row>
    <row r="19" spans="2:6" ht="54" customHeight="1" x14ac:dyDescent="0.3">
      <c r="B19" s="26" t="s">
        <v>350</v>
      </c>
      <c r="C19" s="27">
        <v>35.5</v>
      </c>
      <c r="D19" s="27">
        <v>42.2</v>
      </c>
      <c r="E19" s="27">
        <v>55</v>
      </c>
    </row>
    <row r="20" spans="2:6" ht="54" customHeight="1" x14ac:dyDescent="0.3">
      <c r="B20" s="29" t="s">
        <v>351</v>
      </c>
      <c r="C20" s="30">
        <f>SUM(C16:C19)</f>
        <v>-580</v>
      </c>
      <c r="D20" s="30">
        <f t="shared" ref="D20:E20" si="2">SUM(D16:D19)</f>
        <v>91.999999999999957</v>
      </c>
      <c r="E20" s="30">
        <f t="shared" si="2"/>
        <v>-695</v>
      </c>
    </row>
    <row r="21" spans="2:6" ht="54" customHeight="1" x14ac:dyDescent="0.3">
      <c r="B21" s="161"/>
      <c r="C21" s="161"/>
      <c r="D21" s="161"/>
      <c r="E21" s="161"/>
    </row>
    <row r="22" spans="2:6" ht="54" customHeight="1" x14ac:dyDescent="0.3">
      <c r="B22" s="32" t="s">
        <v>352</v>
      </c>
      <c r="C22" s="33" t="s">
        <v>122</v>
      </c>
      <c r="D22" s="33" t="s">
        <v>122</v>
      </c>
      <c r="E22" s="33" t="s">
        <v>122</v>
      </c>
    </row>
    <row r="23" spans="2:6" ht="54" customHeight="1" x14ac:dyDescent="0.3">
      <c r="B23" s="26" t="s">
        <v>353</v>
      </c>
      <c r="C23" s="27">
        <v>0</v>
      </c>
      <c r="D23" s="27">
        <v>0</v>
      </c>
      <c r="E23" s="28">
        <v>1000</v>
      </c>
    </row>
    <row r="24" spans="2:6" ht="54" customHeight="1" x14ac:dyDescent="0.3">
      <c r="B24" s="26" t="s">
        <v>354</v>
      </c>
      <c r="C24" s="27">
        <v>185</v>
      </c>
      <c r="D24" s="27">
        <v>241</v>
      </c>
      <c r="E24" s="27">
        <v>-145</v>
      </c>
    </row>
    <row r="25" spans="2:6" ht="54" customHeight="1" x14ac:dyDescent="0.3">
      <c r="B25" s="26" t="s">
        <v>355</v>
      </c>
      <c r="C25" s="27">
        <v>-325.39999999999998</v>
      </c>
      <c r="D25" s="27">
        <v>-394.1</v>
      </c>
      <c r="E25" s="27">
        <v>-430</v>
      </c>
    </row>
    <row r="26" spans="2:6" ht="54" customHeight="1" x14ac:dyDescent="0.3">
      <c r="B26" s="26" t="s">
        <v>356</v>
      </c>
      <c r="C26" s="27">
        <v>-110</v>
      </c>
      <c r="D26" s="27">
        <v>-115</v>
      </c>
      <c r="E26" s="27">
        <v>-135</v>
      </c>
    </row>
    <row r="27" spans="2:6" ht="54" customHeight="1" x14ac:dyDescent="0.3">
      <c r="B27" s="29" t="s">
        <v>357</v>
      </c>
      <c r="C27" s="30">
        <f>SUM(C23:C26)</f>
        <v>-250.39999999999998</v>
      </c>
      <c r="D27" s="30">
        <f t="shared" ref="D27:E27" si="3">SUM(D23:D26)</f>
        <v>-268.10000000000002</v>
      </c>
      <c r="E27" s="30">
        <f t="shared" si="3"/>
        <v>290</v>
      </c>
    </row>
    <row r="28" spans="2:6" ht="54" customHeight="1" x14ac:dyDescent="0.3">
      <c r="B28" s="161"/>
      <c r="C28" s="161"/>
      <c r="D28" s="161"/>
      <c r="E28" s="161"/>
    </row>
    <row r="29" spans="2:6" ht="54" customHeight="1" x14ac:dyDescent="0.3">
      <c r="B29" s="39" t="s">
        <v>358</v>
      </c>
      <c r="C29" s="37">
        <f>C13+C20+C27</f>
        <v>-280.39999999999998</v>
      </c>
      <c r="D29" s="37">
        <f t="shared" ref="D29:E29" si="4">D13+D20+D27</f>
        <v>773.9</v>
      </c>
      <c r="E29" s="37">
        <f t="shared" si="4"/>
        <v>745</v>
      </c>
    </row>
    <row r="30" spans="2:6" ht="54" customHeight="1" x14ac:dyDescent="0.3">
      <c r="B30" s="40" t="s">
        <v>359</v>
      </c>
      <c r="C30" s="38">
        <v>450</v>
      </c>
      <c r="D30" s="38">
        <v>484.6</v>
      </c>
      <c r="E30" s="43">
        <v>658.5</v>
      </c>
    </row>
    <row r="31" spans="2:6" ht="54" customHeight="1" x14ac:dyDescent="0.3">
      <c r="B31" s="41" t="s">
        <v>360</v>
      </c>
      <c r="C31" s="37">
        <f>C29+C30</f>
        <v>169.60000000000002</v>
      </c>
      <c r="D31" s="42">
        <f t="shared" ref="D31:E31" si="5">D29+D30</f>
        <v>1258.5</v>
      </c>
      <c r="E31" s="37">
        <f t="shared" si="5"/>
        <v>1403.5</v>
      </c>
      <c r="F31" s="161"/>
    </row>
    <row r="33" customFormat="1" x14ac:dyDescent="0.3"/>
    <row r="34" customFormat="1" x14ac:dyDescent="0.3"/>
    <row r="35" customFormat="1" x14ac:dyDescent="0.3"/>
  </sheetData>
  <mergeCells count="2">
    <mergeCell ref="B3:E3"/>
    <mergeCell ref="B1:E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12DB3B-7C1C-45FE-ABA7-48658ED6F8AD}">
  <dimension ref="B1:M58"/>
  <sheetViews>
    <sheetView workbookViewId="0">
      <selection activeCell="C15" sqref="C15"/>
    </sheetView>
  </sheetViews>
  <sheetFormatPr defaultColWidth="8.88671875" defaultRowHeight="16.2" x14ac:dyDescent="0.3"/>
  <cols>
    <col min="1" max="1" width="10.6640625" style="7" customWidth="1"/>
    <col min="2" max="2" width="45.44140625" style="7" customWidth="1"/>
    <col min="3" max="3" width="48.33203125" style="7" customWidth="1"/>
    <col min="4" max="4" width="45.44140625" style="7" customWidth="1"/>
    <col min="5" max="5" width="50.33203125" style="7" customWidth="1"/>
    <col min="6" max="6" width="11.88671875" style="7" customWidth="1"/>
    <col min="7" max="16384" width="8.88671875" style="7"/>
  </cols>
  <sheetData>
    <row r="1" spans="2:13" ht="16.2" customHeight="1" x14ac:dyDescent="0.3">
      <c r="B1" s="250" t="s">
        <v>195</v>
      </c>
      <c r="C1" s="250"/>
      <c r="D1" s="250"/>
      <c r="E1" s="250"/>
    </row>
    <row r="2" spans="2:13" ht="16.2" customHeight="1" x14ac:dyDescent="0.3">
      <c r="B2" s="250"/>
      <c r="C2" s="250"/>
      <c r="D2" s="250"/>
      <c r="E2" s="250"/>
    </row>
    <row r="3" spans="2:13" ht="32.4" customHeight="1" x14ac:dyDescent="0.4">
      <c r="B3" s="250" t="s">
        <v>237</v>
      </c>
      <c r="C3" s="250"/>
      <c r="D3" s="250"/>
      <c r="E3" s="250"/>
      <c r="F3" s="5"/>
      <c r="G3" s="5"/>
      <c r="H3" s="5"/>
      <c r="I3" s="5"/>
      <c r="J3" s="5"/>
      <c r="K3" s="3"/>
      <c r="L3" s="3"/>
      <c r="M3" s="3"/>
    </row>
    <row r="4" spans="2:13" x14ac:dyDescent="0.3">
      <c r="F4" s="5"/>
      <c r="G4" s="5"/>
      <c r="H4" s="5"/>
      <c r="I4" s="5"/>
      <c r="J4" s="5"/>
      <c r="K4" s="3"/>
      <c r="L4" s="3"/>
      <c r="M4" s="3"/>
    </row>
    <row r="5" spans="2:13" x14ac:dyDescent="0.3">
      <c r="B5" s="262" t="s">
        <v>361</v>
      </c>
      <c r="C5" s="262"/>
      <c r="D5" s="262"/>
      <c r="E5" s="262"/>
      <c r="F5" s="5"/>
      <c r="G5" s="5"/>
      <c r="H5" s="5"/>
      <c r="I5" s="5"/>
      <c r="J5" s="5"/>
      <c r="K5" s="3"/>
      <c r="L5" s="3"/>
      <c r="M5" s="3"/>
    </row>
    <row r="6" spans="2:13" x14ac:dyDescent="0.3">
      <c r="F6" s="5"/>
      <c r="G6" s="5"/>
      <c r="H6" s="5"/>
      <c r="I6" s="5"/>
      <c r="J6" s="5"/>
      <c r="K6" s="3"/>
      <c r="L6" s="3"/>
      <c r="M6" s="3"/>
    </row>
    <row r="8" spans="2:13" x14ac:dyDescent="0.3">
      <c r="B8" s="7" t="s">
        <v>362</v>
      </c>
      <c r="C8" s="7" t="s">
        <v>363</v>
      </c>
      <c r="D8" s="7" t="s">
        <v>364</v>
      </c>
      <c r="E8" s="8" t="s">
        <v>365</v>
      </c>
    </row>
    <row r="9" spans="2:13" x14ac:dyDescent="0.3">
      <c r="B9" s="7">
        <v>2023</v>
      </c>
      <c r="C9" s="7">
        <f>'KPIL - BALANCE SHEET'!D34</f>
        <v>15751.25</v>
      </c>
      <c r="D9" s="7">
        <f>'KPIL - BALANCE SHEET'!D68</f>
        <v>12600.02</v>
      </c>
      <c r="E9" s="7">
        <f>Table1[[#This Row],[CURRENT ASSETS (IN CR)]]-Table1[[#This Row],[CURRENT LIABILITIES (IN CR)]]</f>
        <v>3151.2299999999996</v>
      </c>
    </row>
    <row r="10" spans="2:13" x14ac:dyDescent="0.3">
      <c r="B10" s="7">
        <v>2024</v>
      </c>
      <c r="C10" s="7">
        <f>'KPIL - BALANCE SHEET'!E34</f>
        <v>18278.93</v>
      </c>
      <c r="D10" s="7">
        <f>'KPIL - BALANCE SHEET'!E68</f>
        <v>14787.63</v>
      </c>
      <c r="E10" s="7">
        <f>Table1[[#This Row],[CURRENT ASSETS (IN CR)]]-Table1[[#This Row],[CURRENT LIABILITIES (IN CR)]]</f>
        <v>3491.3000000000011</v>
      </c>
    </row>
    <row r="11" spans="2:13" x14ac:dyDescent="0.3">
      <c r="B11" s="7">
        <v>2025</v>
      </c>
      <c r="C11" s="7">
        <f>'KPIL - BALANCE SHEET'!F34</f>
        <v>21510.380000000005</v>
      </c>
      <c r="D11" s="7">
        <f>'KPIL - BALANCE SHEET'!F68</f>
        <v>16943.400000000001</v>
      </c>
      <c r="E11" s="7">
        <f>Table1[[#This Row],[CURRENT ASSETS (IN CR)]]-Table1[[#This Row],[CURRENT LIABILITIES (IN CR)]]</f>
        <v>4566.9800000000032</v>
      </c>
    </row>
    <row r="14" spans="2:13" x14ac:dyDescent="0.3">
      <c r="B14" s="48" t="s">
        <v>362</v>
      </c>
      <c r="C14" s="48" t="s">
        <v>366</v>
      </c>
      <c r="D14" s="48" t="s">
        <v>367</v>
      </c>
      <c r="E14" s="48" t="s">
        <v>368</v>
      </c>
    </row>
    <row r="15" spans="2:13" x14ac:dyDescent="0.3">
      <c r="B15" s="50">
        <v>2023</v>
      </c>
      <c r="C15" s="51">
        <f>C9/D9</f>
        <v>1.2500972220679014</v>
      </c>
      <c r="D15" s="51">
        <f>(C9-'KPIL - BALANCE SHEET'!D24)/D9</f>
        <v>1.1525997577781624</v>
      </c>
      <c r="E15" s="51">
        <f>'KPIL - P&amp;L STATEMENT'!C5/E9</f>
        <v>5.192080552673084</v>
      </c>
    </row>
    <row r="16" spans="2:13" x14ac:dyDescent="0.3">
      <c r="B16" s="7">
        <v>2024</v>
      </c>
      <c r="C16" s="9">
        <f>C10/D10</f>
        <v>1.2360959802213067</v>
      </c>
      <c r="D16" s="9">
        <f>(C10-'KPIL - BALANCE SHEET'!E24)/D10</f>
        <v>1.1445762437929541</v>
      </c>
      <c r="E16" s="9">
        <f>'KPIL - P&amp;L STATEMENT'!D5/E10</f>
        <v>5.621524933405893</v>
      </c>
    </row>
    <row r="17" spans="2:5" x14ac:dyDescent="0.3">
      <c r="B17" s="50">
        <v>2025</v>
      </c>
      <c r="C17" s="51">
        <f>C11/D11</f>
        <v>1.2695433029970373</v>
      </c>
      <c r="D17" s="51">
        <f>(C11-'KPIL - BALANCE SHEET'!F24)/D11</f>
        <v>1.1852178429358926</v>
      </c>
      <c r="E17" s="51">
        <f>'KPIL - P&amp;L STATEMENT'!E5/E11</f>
        <v>4.886331886717258</v>
      </c>
    </row>
    <row r="19" spans="2:5" x14ac:dyDescent="0.3">
      <c r="C19" s="9"/>
      <c r="D19" s="9"/>
    </row>
    <row r="21" spans="2:5" x14ac:dyDescent="0.3">
      <c r="B21" s="11" t="s">
        <v>369</v>
      </c>
      <c r="C21" s="10"/>
      <c r="D21" s="10"/>
      <c r="E21" s="10"/>
    </row>
    <row r="22" spans="2:5" ht="31.95" customHeight="1" x14ac:dyDescent="0.3">
      <c r="B22" s="261" t="s">
        <v>370</v>
      </c>
      <c r="C22" s="259" t="s">
        <v>371</v>
      </c>
      <c r="D22" s="259"/>
      <c r="E22" s="259"/>
    </row>
    <row r="23" spans="2:5" ht="28.95" customHeight="1" x14ac:dyDescent="0.3">
      <c r="B23" s="261"/>
      <c r="C23" s="259"/>
      <c r="D23" s="259"/>
      <c r="E23" s="259"/>
    </row>
    <row r="24" spans="2:5" ht="26.4" customHeight="1" x14ac:dyDescent="0.3">
      <c r="B24" s="258" t="s">
        <v>372</v>
      </c>
      <c r="C24" s="259" t="s">
        <v>373</v>
      </c>
      <c r="D24" s="259"/>
      <c r="E24" s="259"/>
    </row>
    <row r="25" spans="2:5" ht="24" customHeight="1" x14ac:dyDescent="0.3">
      <c r="B25" s="258"/>
      <c r="C25" s="259"/>
      <c r="D25" s="259"/>
      <c r="E25" s="259"/>
    </row>
    <row r="26" spans="2:5" ht="27" customHeight="1" x14ac:dyDescent="0.3">
      <c r="B26" s="258" t="s">
        <v>374</v>
      </c>
      <c r="C26" s="259" t="s">
        <v>375</v>
      </c>
      <c r="D26" s="259"/>
      <c r="E26" s="259"/>
    </row>
    <row r="27" spans="2:5" ht="27.6" customHeight="1" x14ac:dyDescent="0.3">
      <c r="B27" s="258"/>
      <c r="C27" s="259"/>
      <c r="D27" s="259"/>
      <c r="E27" s="259"/>
    </row>
    <row r="28" spans="2:5" ht="27" customHeight="1" x14ac:dyDescent="0.3">
      <c r="B28" s="261" t="s">
        <v>376</v>
      </c>
      <c r="C28" s="259" t="s">
        <v>377</v>
      </c>
      <c r="D28" s="259"/>
      <c r="E28" s="259"/>
    </row>
    <row r="29" spans="2:5" ht="28.2" customHeight="1" x14ac:dyDescent="0.3">
      <c r="B29" s="261"/>
      <c r="C29" s="259"/>
      <c r="D29" s="259"/>
      <c r="E29" s="259"/>
    </row>
    <row r="30" spans="2:5" ht="41.4" customHeight="1" x14ac:dyDescent="0.3">
      <c r="B30" s="258" t="s">
        <v>378</v>
      </c>
      <c r="C30" s="259" t="s">
        <v>379</v>
      </c>
      <c r="D30" s="259"/>
      <c r="E30" s="259"/>
    </row>
    <row r="31" spans="2:5" ht="31.2" customHeight="1" x14ac:dyDescent="0.3">
      <c r="B31" s="258"/>
      <c r="C31" s="259"/>
      <c r="D31" s="259"/>
      <c r="E31" s="259"/>
    </row>
    <row r="32" spans="2:5" x14ac:dyDescent="0.3">
      <c r="B32" s="4"/>
      <c r="C32" s="4"/>
      <c r="D32" s="4"/>
      <c r="E32" s="4"/>
    </row>
    <row r="33" spans="2:5" x14ac:dyDescent="0.3">
      <c r="B33" s="260" t="s">
        <v>380</v>
      </c>
      <c r="C33" s="260"/>
      <c r="D33" s="260"/>
      <c r="E33" s="260"/>
    </row>
    <row r="34" spans="2:5" ht="39" customHeight="1" x14ac:dyDescent="0.3">
      <c r="B34" s="259" t="s">
        <v>381</v>
      </c>
      <c r="C34" s="259"/>
      <c r="D34" s="259"/>
      <c r="E34" s="259"/>
    </row>
    <row r="35" spans="2:5" ht="33.6" customHeight="1" x14ac:dyDescent="0.3">
      <c r="B35" s="259"/>
      <c r="C35" s="259"/>
      <c r="D35" s="259"/>
      <c r="E35" s="259"/>
    </row>
    <row r="36" spans="2:5" x14ac:dyDescent="0.3">
      <c r="B36" s="4"/>
      <c r="C36" s="4"/>
      <c r="D36" s="4"/>
      <c r="E36" s="4"/>
    </row>
    <row r="37" spans="2:5" x14ac:dyDescent="0.3">
      <c r="B37" s="4"/>
      <c r="C37" s="4"/>
      <c r="D37" s="4"/>
      <c r="E37" s="4"/>
    </row>
    <row r="38" spans="2:5" x14ac:dyDescent="0.3">
      <c r="B38" s="4"/>
      <c r="C38" s="4"/>
      <c r="D38" s="4"/>
      <c r="E38" s="4"/>
    </row>
    <row r="39" spans="2:5" x14ac:dyDescent="0.3">
      <c r="B39" s="4"/>
      <c r="C39" s="4"/>
      <c r="D39" s="4"/>
      <c r="E39" s="4"/>
    </row>
    <row r="40" spans="2:5" x14ac:dyDescent="0.3">
      <c r="B40" s="4"/>
      <c r="C40" s="4"/>
      <c r="D40" s="4"/>
      <c r="E40" s="4"/>
    </row>
    <row r="41" spans="2:5" x14ac:dyDescent="0.3">
      <c r="B41" s="4"/>
      <c r="C41" s="4"/>
      <c r="D41" s="4"/>
      <c r="E41" s="4"/>
    </row>
    <row r="42" spans="2:5" x14ac:dyDescent="0.3">
      <c r="B42" s="4"/>
      <c r="C42" s="4"/>
      <c r="D42" s="4"/>
      <c r="E42" s="4"/>
    </row>
    <row r="43" spans="2:5" x14ac:dyDescent="0.3">
      <c r="B43" s="4"/>
      <c r="C43" s="4"/>
      <c r="D43" s="4"/>
      <c r="E43" s="4"/>
    </row>
    <row r="44" spans="2:5" x14ac:dyDescent="0.3">
      <c r="B44" s="4"/>
      <c r="C44" s="4"/>
      <c r="D44" s="4"/>
      <c r="E44" s="4"/>
    </row>
    <row r="45" spans="2:5" x14ac:dyDescent="0.3">
      <c r="B45" s="4"/>
      <c r="C45" s="4"/>
      <c r="D45" s="4"/>
      <c r="E45" s="4"/>
    </row>
    <row r="46" spans="2:5" x14ac:dyDescent="0.3">
      <c r="B46" s="4"/>
      <c r="C46" s="4"/>
      <c r="D46" s="4"/>
      <c r="E46" s="4"/>
    </row>
    <row r="47" spans="2:5" x14ac:dyDescent="0.3">
      <c r="B47" s="4"/>
      <c r="C47" s="4"/>
      <c r="D47" s="4"/>
      <c r="E47" s="4"/>
    </row>
    <row r="48" spans="2:5" x14ac:dyDescent="0.3">
      <c r="B48" s="4"/>
      <c r="C48" s="4"/>
      <c r="D48" s="4"/>
      <c r="E48" s="4"/>
    </row>
    <row r="49" spans="2:5" x14ac:dyDescent="0.3">
      <c r="B49" s="4"/>
      <c r="C49" s="4"/>
      <c r="D49" s="4"/>
      <c r="E49" s="4"/>
    </row>
    <row r="50" spans="2:5" x14ac:dyDescent="0.3">
      <c r="B50" s="4"/>
      <c r="C50" s="4"/>
      <c r="D50" s="4"/>
      <c r="E50" s="4"/>
    </row>
    <row r="51" spans="2:5" x14ac:dyDescent="0.3">
      <c r="B51" s="4"/>
      <c r="C51" s="4"/>
      <c r="D51" s="4"/>
      <c r="E51" s="4"/>
    </row>
    <row r="52" spans="2:5" x14ac:dyDescent="0.3">
      <c r="B52" s="4"/>
      <c r="C52" s="4"/>
      <c r="D52" s="4"/>
      <c r="E52" s="4"/>
    </row>
    <row r="53" spans="2:5" x14ac:dyDescent="0.3">
      <c r="B53" s="4"/>
      <c r="C53" s="4"/>
      <c r="D53" s="4"/>
      <c r="E53" s="4"/>
    </row>
    <row r="54" spans="2:5" x14ac:dyDescent="0.3">
      <c r="B54" s="4"/>
      <c r="C54" s="4"/>
      <c r="D54" s="4"/>
      <c r="E54" s="4"/>
    </row>
    <row r="55" spans="2:5" x14ac:dyDescent="0.3">
      <c r="B55" s="4"/>
      <c r="C55" s="4"/>
      <c r="D55" s="4"/>
      <c r="E55" s="4"/>
    </row>
    <row r="56" spans="2:5" x14ac:dyDescent="0.3">
      <c r="B56" s="4"/>
      <c r="C56" s="4"/>
      <c r="D56" s="4"/>
      <c r="E56" s="4"/>
    </row>
    <row r="57" spans="2:5" x14ac:dyDescent="0.3">
      <c r="B57" s="4"/>
      <c r="C57" s="4"/>
      <c r="D57" s="4"/>
      <c r="E57" s="4"/>
    </row>
    <row r="58" spans="2:5" x14ac:dyDescent="0.3">
      <c r="B58" s="4"/>
      <c r="C58" s="4"/>
      <c r="D58" s="4"/>
      <c r="E58" s="4"/>
    </row>
  </sheetData>
  <mergeCells count="15">
    <mergeCell ref="B1:E2"/>
    <mergeCell ref="B3:E3"/>
    <mergeCell ref="B5:E5"/>
    <mergeCell ref="C22:E23"/>
    <mergeCell ref="B22:B23"/>
    <mergeCell ref="B24:B25"/>
    <mergeCell ref="C24:E25"/>
    <mergeCell ref="B33:E33"/>
    <mergeCell ref="B34:E35"/>
    <mergeCell ref="B26:B27"/>
    <mergeCell ref="C26:E27"/>
    <mergeCell ref="B28:B29"/>
    <mergeCell ref="C28:E29"/>
    <mergeCell ref="B30:B31"/>
    <mergeCell ref="C30:E31"/>
  </mergeCells>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75C785-E862-4EC5-BC3D-A1CA54DB2F5E}">
  <dimension ref="B1:F42"/>
  <sheetViews>
    <sheetView topLeftCell="A31" workbookViewId="0">
      <selection activeCell="C24" sqref="C24"/>
    </sheetView>
  </sheetViews>
  <sheetFormatPr defaultRowHeight="15" customHeight="1" x14ac:dyDescent="0.3"/>
  <cols>
    <col min="1" max="1" width="6.44140625" customWidth="1"/>
    <col min="2" max="2" width="52" customWidth="1"/>
    <col min="3" max="3" width="63.5546875" customWidth="1"/>
    <col min="4" max="4" width="39.5546875" customWidth="1"/>
    <col min="5" max="5" width="43.109375" customWidth="1"/>
  </cols>
  <sheetData>
    <row r="1" spans="2:5" ht="14.4" customHeight="1" x14ac:dyDescent="0.3">
      <c r="B1" s="265" t="s">
        <v>195</v>
      </c>
      <c r="C1" s="265"/>
      <c r="D1" s="265"/>
      <c r="E1" s="265"/>
    </row>
    <row r="2" spans="2:5" ht="14.4" customHeight="1" x14ac:dyDescent="0.3">
      <c r="B2" s="265"/>
      <c r="C2" s="265"/>
      <c r="D2" s="265"/>
      <c r="E2" s="265"/>
    </row>
    <row r="3" spans="2:5" ht="24.6" x14ac:dyDescent="0.4">
      <c r="B3" s="265" t="s">
        <v>237</v>
      </c>
      <c r="C3" s="265"/>
      <c r="D3" s="265"/>
      <c r="E3" s="265"/>
    </row>
    <row r="4" spans="2:5" ht="16.2" x14ac:dyDescent="0.3">
      <c r="B4" s="7"/>
      <c r="C4" s="7"/>
      <c r="D4" s="7"/>
      <c r="E4" s="7"/>
    </row>
    <row r="5" spans="2:5" ht="26.4" customHeight="1" x14ac:dyDescent="0.3">
      <c r="B5" s="266" t="s">
        <v>382</v>
      </c>
      <c r="C5" s="266"/>
      <c r="D5" s="266"/>
      <c r="E5" s="266"/>
    </row>
    <row r="6" spans="2:5" ht="16.2" x14ac:dyDescent="0.3">
      <c r="B6" s="7"/>
      <c r="C6" s="7"/>
      <c r="D6" s="7"/>
      <c r="E6" s="7"/>
    </row>
    <row r="7" spans="2:5" ht="14.4" x14ac:dyDescent="0.3">
      <c r="C7" s="161"/>
      <c r="D7" s="161"/>
      <c r="E7" s="161"/>
    </row>
    <row r="8" spans="2:5" ht="23.25" customHeight="1" x14ac:dyDescent="0.3">
      <c r="B8" s="215" t="s">
        <v>383</v>
      </c>
      <c r="C8" s="216" t="s">
        <v>241</v>
      </c>
      <c r="D8" s="216" t="s">
        <v>242</v>
      </c>
      <c r="E8" s="216" t="s">
        <v>384</v>
      </c>
    </row>
    <row r="9" spans="2:5" ht="20.25" customHeight="1" x14ac:dyDescent="0.3">
      <c r="B9" s="263" t="s">
        <v>385</v>
      </c>
      <c r="C9" s="263"/>
      <c r="D9" s="263"/>
      <c r="E9" s="263"/>
    </row>
    <row r="10" spans="2:5" ht="17.25" customHeight="1" x14ac:dyDescent="0.3">
      <c r="B10" s="26" t="s">
        <v>386</v>
      </c>
      <c r="C10" s="27">
        <f>ABS('KPIL -CF STATEMENT'!C16)-'KPIL -CF STATEMENT'!C17</f>
        <v>365.5</v>
      </c>
      <c r="D10" s="27">
        <f>ABS('KPIL -CF STATEMENT'!D16)-'KPIL -CF STATEMENT'!D17</f>
        <v>-229.79999999999995</v>
      </c>
      <c r="E10" s="27">
        <f>ABS('KPIL -CF STATEMENT'!E16)-'KPIL -CF STATEMENT'!E17</f>
        <v>530</v>
      </c>
    </row>
    <row r="11" spans="2:5" ht="20.25" customHeight="1" x14ac:dyDescent="0.3">
      <c r="B11" s="26" t="s">
        <v>387</v>
      </c>
      <c r="C11" s="47">
        <f>(ABS(C10)/'KPIL - P&amp;L STATEMENT'!C7)</f>
        <v>2.228503628406318E-2</v>
      </c>
      <c r="D11" s="47">
        <f>(D10/'KPIL - P&amp;L STATEMENT'!D7)</f>
        <v>-1.1670649991213998E-2</v>
      </c>
      <c r="E11" s="47">
        <f>(ABS(E10)/'KPIL - P&amp;L STATEMENT'!E7)</f>
        <v>2.3683700162568495E-2</v>
      </c>
    </row>
    <row r="12" spans="2:5" ht="20.25" customHeight="1" x14ac:dyDescent="0.3">
      <c r="B12" s="161"/>
      <c r="C12" s="102"/>
      <c r="D12" s="102"/>
      <c r="E12" s="102"/>
    </row>
    <row r="13" spans="2:5" ht="14.4" x14ac:dyDescent="0.3">
      <c r="B13" s="161"/>
      <c r="C13" s="161"/>
      <c r="D13" s="161"/>
      <c r="E13" s="161"/>
    </row>
    <row r="14" spans="2:5" ht="20.25" customHeight="1" x14ac:dyDescent="0.3">
      <c r="C14" s="161"/>
      <c r="D14" s="161"/>
      <c r="E14" s="161"/>
    </row>
    <row r="15" spans="2:5" ht="33.75" customHeight="1" x14ac:dyDescent="0.3">
      <c r="B15" s="215" t="s">
        <v>388</v>
      </c>
      <c r="C15" s="216" t="s">
        <v>241</v>
      </c>
      <c r="D15" s="216" t="s">
        <v>242</v>
      </c>
      <c r="E15" s="216" t="s">
        <v>384</v>
      </c>
    </row>
    <row r="16" spans="2:5" ht="15.6" x14ac:dyDescent="0.3">
      <c r="B16" s="263" t="s">
        <v>389</v>
      </c>
      <c r="C16" s="263"/>
      <c r="D16" s="263"/>
      <c r="E16" s="263"/>
    </row>
    <row r="17" spans="2:5" ht="20.25" customHeight="1" x14ac:dyDescent="0.3">
      <c r="B17" s="180" t="s">
        <v>390</v>
      </c>
      <c r="C17" s="181">
        <f>'KPIL - P&amp;L STATEMENT'!C56/100</f>
        <v>0.32189175707694334</v>
      </c>
      <c r="D17" s="181">
        <f>'KPIL - P&amp;L STATEMENT'!D56/100</f>
        <v>0.26425077368473648</v>
      </c>
      <c r="E17" s="182">
        <f>'KPIL - P&amp;L STATEMENT'!E56/100</f>
        <v>0.31056149732620486</v>
      </c>
    </row>
    <row r="18" spans="2:5" ht="19.5" customHeight="1" x14ac:dyDescent="0.3">
      <c r="B18" s="119" t="s">
        <v>391</v>
      </c>
      <c r="C18" s="98">
        <f>'KPIL - P&amp;L STATEMENT'!C55*(1-'KPIL - Corporate Finance (B)'!C17)</f>
        <v>751.52702238433471</v>
      </c>
      <c r="D18" s="98">
        <f>'KPIL - P&amp;L STATEMENT'!D55*(1-'KPIL - Corporate Finance (B)'!D17)</f>
        <v>897.07695916941032</v>
      </c>
      <c r="E18" s="172">
        <f>'KPIL - P&amp;L STATEMENT'!E55*(1-'KPIL - Corporate Finance (B)'!E17)</f>
        <v>964.75197994651876</v>
      </c>
    </row>
    <row r="19" spans="2:5" ht="16.5" customHeight="1" x14ac:dyDescent="0.3">
      <c r="B19" s="119" t="s">
        <v>392</v>
      </c>
      <c r="C19" s="28">
        <f>'KPIL - BALANCE SHEET'!D49+'KPIL - BALANCE SHEET'!D50+'KPIL - BALANCE SHEET'!D60+'KPIL - BALANCE SHEET'!D61</f>
        <v>3786.13</v>
      </c>
      <c r="D19" s="28">
        <f>'KPIL - BALANCE SHEET'!E49+'KPIL - BALANCE SHEET'!E50+'KPIL - BALANCE SHEET'!E60+'KPIL - BALANCE SHEET'!E61</f>
        <v>4008.2</v>
      </c>
      <c r="E19" s="120">
        <f>'KPIL - BALANCE SHEET'!F49+'KPIL - BALANCE SHEET'!F50+'KPIL - BALANCE SHEET'!F60+'KPIL - BALANCE SHEET'!F61</f>
        <v>4313.51</v>
      </c>
    </row>
    <row r="20" spans="2:5" ht="16.5" customHeight="1" x14ac:dyDescent="0.3">
      <c r="B20" s="119" t="s">
        <v>393</v>
      </c>
      <c r="C20" s="28">
        <f>'KPIL - BALANCE SHEET'!D45</f>
        <v>4693.8599999999997</v>
      </c>
      <c r="D20" s="28">
        <f>'KPIL - BALANCE SHEET'!E45</f>
        <v>5112.8099999999995</v>
      </c>
      <c r="E20" s="120">
        <f>'KPIL - BALANCE SHEET'!F45</f>
        <v>6468.86</v>
      </c>
    </row>
    <row r="21" spans="2:5" ht="15.75" customHeight="1" x14ac:dyDescent="0.3">
      <c r="B21" s="119" t="s">
        <v>394</v>
      </c>
      <c r="C21" s="28">
        <f>C19+C20-'KPIL - BALANCE SHEET'!D27</f>
        <v>7523.5599999999995</v>
      </c>
      <c r="D21" s="28">
        <f>D19+D20-'KPIL - BALANCE SHEET'!E27</f>
        <v>8111.6799999999985</v>
      </c>
      <c r="E21" s="120">
        <f>E19+E20-'KPIL - BALANCE SHEET'!F27</f>
        <v>9180.6799999999985</v>
      </c>
    </row>
    <row r="22" spans="2:5" ht="15.75" customHeight="1" x14ac:dyDescent="0.3">
      <c r="B22" s="121" t="s">
        <v>395</v>
      </c>
      <c r="C22" s="122">
        <f>C18/C21</f>
        <v>9.9889815776618346E-2</v>
      </c>
      <c r="D22" s="122">
        <f>D18/D21</f>
        <v>0.11059077270915649</v>
      </c>
      <c r="E22" s="123">
        <f>E18/E21</f>
        <v>0.10508502419717482</v>
      </c>
    </row>
    <row r="23" spans="2:5" ht="15.75" customHeight="1" x14ac:dyDescent="0.3">
      <c r="B23" s="124"/>
      <c r="C23" s="173"/>
      <c r="D23" s="173"/>
      <c r="E23" s="102"/>
    </row>
    <row r="24" spans="2:5" ht="14.4" x14ac:dyDescent="0.3">
      <c r="B24" s="42"/>
      <c r="C24" s="161"/>
      <c r="D24" s="161"/>
      <c r="E24" s="161"/>
    </row>
    <row r="25" spans="2:5" ht="18.75" customHeight="1" x14ac:dyDescent="0.3">
      <c r="B25" s="219" t="s">
        <v>396</v>
      </c>
      <c r="C25" s="161"/>
      <c r="D25" s="161"/>
      <c r="E25" s="161"/>
    </row>
    <row r="26" spans="2:5" ht="22.5" customHeight="1" x14ac:dyDescent="0.3">
      <c r="B26" s="184" t="s">
        <v>397</v>
      </c>
      <c r="C26" s="185" t="s">
        <v>398</v>
      </c>
      <c r="D26" s="267" t="s">
        <v>399</v>
      </c>
      <c r="E26" s="268"/>
    </row>
    <row r="27" spans="2:5" ht="41.25" customHeight="1" x14ac:dyDescent="0.3">
      <c r="B27" s="110" t="s">
        <v>400</v>
      </c>
      <c r="C27" s="174" t="s">
        <v>401</v>
      </c>
      <c r="D27" s="272" t="s">
        <v>402</v>
      </c>
      <c r="E27" s="272"/>
    </row>
    <row r="28" spans="2:5" ht="45.75" customHeight="1" x14ac:dyDescent="0.3">
      <c r="B28" s="113" t="s">
        <v>403</v>
      </c>
      <c r="C28" s="183" t="s">
        <v>404</v>
      </c>
      <c r="D28" s="273" t="s">
        <v>405</v>
      </c>
      <c r="E28" s="273"/>
    </row>
    <row r="29" spans="2:5" ht="35.25" customHeight="1" x14ac:dyDescent="0.3">
      <c r="B29" s="114" t="s">
        <v>403</v>
      </c>
      <c r="C29" s="117" t="s">
        <v>406</v>
      </c>
      <c r="D29" s="273" t="s">
        <v>407</v>
      </c>
      <c r="E29" s="273"/>
    </row>
    <row r="30" spans="2:5" ht="35.25" customHeight="1" x14ac:dyDescent="0.3">
      <c r="B30" s="115" t="s">
        <v>403</v>
      </c>
      <c r="C30" s="112" t="s">
        <v>408</v>
      </c>
      <c r="D30" s="275" t="s">
        <v>409</v>
      </c>
      <c r="E30" s="275"/>
    </row>
    <row r="31" spans="2:5" ht="35.25" customHeight="1" x14ac:dyDescent="0.3">
      <c r="B31" s="116" t="s">
        <v>410</v>
      </c>
      <c r="C31" s="112" t="s">
        <v>411</v>
      </c>
      <c r="D31" s="273" t="s">
        <v>412</v>
      </c>
      <c r="E31" s="273"/>
    </row>
    <row r="32" spans="2:5" ht="16.5" customHeight="1" x14ac:dyDescent="0.3">
      <c r="B32" s="179"/>
      <c r="C32" s="62"/>
      <c r="D32" s="117"/>
      <c r="E32" s="117"/>
    </row>
    <row r="33" spans="2:6" ht="19.5" customHeight="1" x14ac:dyDescent="0.3">
      <c r="B33" s="218" t="s">
        <v>413</v>
      </c>
      <c r="C33" s="62"/>
      <c r="D33" s="117"/>
      <c r="E33" s="117"/>
    </row>
    <row r="34" spans="2:6" ht="41.25" customHeight="1" x14ac:dyDescent="0.3">
      <c r="B34" s="186" t="s">
        <v>241</v>
      </c>
      <c r="C34" s="269" t="s">
        <v>414</v>
      </c>
      <c r="D34" s="270"/>
      <c r="E34" s="270"/>
    </row>
    <row r="35" spans="2:6" ht="41.25" customHeight="1" x14ac:dyDescent="0.3">
      <c r="B35" s="187" t="s">
        <v>242</v>
      </c>
      <c r="C35" s="271" t="s">
        <v>415</v>
      </c>
      <c r="D35" s="270"/>
      <c r="E35" s="270"/>
    </row>
    <row r="36" spans="2:6" ht="41.25" customHeight="1" x14ac:dyDescent="0.3">
      <c r="B36" s="187" t="s">
        <v>384</v>
      </c>
      <c r="C36" s="271" t="s">
        <v>416</v>
      </c>
      <c r="D36" s="270"/>
      <c r="E36" s="270"/>
    </row>
    <row r="37" spans="2:6" ht="21" customHeight="1" x14ac:dyDescent="0.3">
      <c r="B37" s="161"/>
      <c r="C37" s="161"/>
      <c r="D37" s="161"/>
      <c r="E37" s="161"/>
    </row>
    <row r="38" spans="2:6" ht="14.4" x14ac:dyDescent="0.3">
      <c r="B38" s="161"/>
      <c r="C38" s="161"/>
      <c r="D38" s="274"/>
      <c r="E38" s="274"/>
    </row>
    <row r="39" spans="2:6" ht="21.75" customHeight="1" x14ac:dyDescent="0.35">
      <c r="B39" s="217" t="s">
        <v>417</v>
      </c>
      <c r="C39" s="209"/>
      <c r="D39" s="264"/>
      <c r="E39" s="264"/>
    </row>
    <row r="40" spans="2:6" ht="14.4" x14ac:dyDescent="0.3">
      <c r="B40" s="188" t="s">
        <v>418</v>
      </c>
      <c r="C40" s="188" t="s">
        <v>419</v>
      </c>
      <c r="D40" s="209"/>
      <c r="E40" s="209"/>
    </row>
    <row r="41" spans="2:6" ht="36.75" customHeight="1" x14ac:dyDescent="0.3">
      <c r="B41" s="210" t="s">
        <v>420</v>
      </c>
      <c r="C41" s="210" t="s">
        <v>421</v>
      </c>
      <c r="D41" s="117"/>
      <c r="E41" s="117"/>
      <c r="F41" s="118"/>
    </row>
    <row r="42" spans="2:6" ht="27" customHeight="1" x14ac:dyDescent="0.3">
      <c r="B42" s="210" t="s">
        <v>422</v>
      </c>
      <c r="C42" s="210" t="s">
        <v>423</v>
      </c>
      <c r="D42" s="117"/>
      <c r="E42" s="117"/>
      <c r="F42" s="118"/>
    </row>
  </sheetData>
  <mergeCells count="16">
    <mergeCell ref="B9:E9"/>
    <mergeCell ref="D39:E39"/>
    <mergeCell ref="B1:E2"/>
    <mergeCell ref="B3:E3"/>
    <mergeCell ref="B5:E5"/>
    <mergeCell ref="D26:E26"/>
    <mergeCell ref="C34:E34"/>
    <mergeCell ref="C35:E35"/>
    <mergeCell ref="C36:E36"/>
    <mergeCell ref="B16:E16"/>
    <mergeCell ref="D27:E27"/>
    <mergeCell ref="D28:E28"/>
    <mergeCell ref="D29:E29"/>
    <mergeCell ref="D38:E38"/>
    <mergeCell ref="D30:E30"/>
    <mergeCell ref="D31:E3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DDD98D-7E63-4428-BE69-255A4BFA3C29}">
  <dimension ref="B1:P63"/>
  <sheetViews>
    <sheetView workbookViewId="0">
      <selection activeCell="N1" sqref="N1:N2"/>
    </sheetView>
  </sheetViews>
  <sheetFormatPr defaultColWidth="9.109375" defaultRowHeight="13.8" x14ac:dyDescent="0.25"/>
  <cols>
    <col min="1" max="1" width="3.77734375" style="146" customWidth="1"/>
    <col min="2" max="2" width="13" style="146" customWidth="1"/>
    <col min="3" max="3" width="15.44140625" style="146" customWidth="1"/>
    <col min="4" max="4" width="16.109375" style="146" customWidth="1"/>
    <col min="5" max="5" width="17.33203125" style="146" customWidth="1"/>
    <col min="6" max="6" width="14.33203125" style="146" customWidth="1"/>
    <col min="7" max="7" width="11.6640625" style="146" customWidth="1"/>
    <col min="8" max="8" width="15.21875" style="146" customWidth="1"/>
    <col min="9" max="9" width="21.6640625" style="146" customWidth="1"/>
    <col min="10" max="10" width="17.6640625" style="146" customWidth="1"/>
    <col min="11" max="11" width="21.44140625" style="146" customWidth="1"/>
    <col min="12" max="12" width="18.33203125" style="146" customWidth="1"/>
    <col min="13" max="13" width="18.5546875" style="146" customWidth="1"/>
    <col min="14" max="14" width="17.88671875" style="146" customWidth="1"/>
    <col min="15" max="15" width="15.33203125" style="146" customWidth="1"/>
    <col min="16" max="16384" width="9.109375" style="146"/>
  </cols>
  <sheetData>
    <row r="1" spans="2:16" ht="33.75" customHeight="1" x14ac:dyDescent="0.25">
      <c r="B1" s="279" t="s">
        <v>424</v>
      </c>
      <c r="C1" s="279"/>
      <c r="D1" s="279"/>
      <c r="E1" s="279"/>
      <c r="F1" s="279"/>
      <c r="G1" s="279"/>
      <c r="H1" s="279"/>
      <c r="I1" s="279"/>
      <c r="J1" s="279"/>
      <c r="K1" s="279"/>
      <c r="L1" s="279"/>
      <c r="M1" s="279"/>
      <c r="N1" s="169"/>
      <c r="O1" s="166"/>
      <c r="P1" s="166"/>
    </row>
    <row r="2" spans="2:16" ht="33.75" customHeight="1" x14ac:dyDescent="0.25">
      <c r="B2" s="283" t="s">
        <v>237</v>
      </c>
      <c r="C2" s="283"/>
      <c r="D2" s="283"/>
      <c r="E2" s="283"/>
      <c r="F2" s="283"/>
      <c r="G2" s="283"/>
      <c r="H2" s="283"/>
      <c r="I2" s="283"/>
      <c r="J2" s="283"/>
      <c r="K2" s="283"/>
      <c r="L2" s="283"/>
      <c r="M2" s="283"/>
      <c r="N2" s="170"/>
      <c r="O2" s="167"/>
      <c r="P2" s="167"/>
    </row>
    <row r="3" spans="2:16" ht="20.25" customHeight="1" x14ac:dyDescent="0.25">
      <c r="B3" s="147"/>
      <c r="C3" s="162"/>
      <c r="D3" s="162"/>
      <c r="E3" s="162"/>
      <c r="F3" s="162"/>
    </row>
    <row r="4" spans="2:16" ht="21.75" customHeight="1" x14ac:dyDescent="0.25">
      <c r="B4" s="284" t="s">
        <v>425</v>
      </c>
      <c r="C4" s="284"/>
      <c r="D4" s="284"/>
      <c r="E4" s="284"/>
      <c r="F4" s="284"/>
      <c r="G4" s="284"/>
      <c r="H4" s="284"/>
      <c r="I4" s="284"/>
      <c r="J4" s="284"/>
      <c r="K4" s="284"/>
      <c r="L4" s="284"/>
      <c r="M4" s="284"/>
      <c r="N4" s="171"/>
      <c r="O4" s="168"/>
      <c r="P4" s="168"/>
    </row>
    <row r="5" spans="2:16" x14ac:dyDescent="0.25">
      <c r="B5" s="282"/>
      <c r="C5" s="282"/>
      <c r="D5" s="282"/>
      <c r="E5" s="282"/>
      <c r="F5" s="282"/>
    </row>
    <row r="7" spans="2:16" ht="15" customHeight="1" x14ac:dyDescent="0.25">
      <c r="B7" s="280" t="s">
        <v>426</v>
      </c>
      <c r="C7" s="280"/>
      <c r="D7" s="280"/>
      <c r="E7" s="280"/>
      <c r="G7" s="280" t="s">
        <v>427</v>
      </c>
      <c r="H7" s="280"/>
      <c r="I7" s="280"/>
      <c r="J7" s="280"/>
      <c r="K7" s="280"/>
      <c r="L7" s="280"/>
      <c r="M7" s="280"/>
    </row>
    <row r="8" spans="2:16" x14ac:dyDescent="0.25">
      <c r="B8" s="211" t="s">
        <v>428</v>
      </c>
      <c r="C8" s="211" t="s">
        <v>429</v>
      </c>
      <c r="D8" s="211" t="s">
        <v>430</v>
      </c>
      <c r="E8" s="211" t="s">
        <v>431</v>
      </c>
      <c r="G8" s="221" t="s">
        <v>432</v>
      </c>
      <c r="H8" s="221" t="s">
        <v>392</v>
      </c>
      <c r="I8" s="221" t="s">
        <v>433</v>
      </c>
      <c r="J8" s="221" t="s">
        <v>434</v>
      </c>
      <c r="K8" s="221" t="s">
        <v>435</v>
      </c>
      <c r="L8" s="221" t="s">
        <v>436</v>
      </c>
      <c r="M8" s="221" t="s">
        <v>437</v>
      </c>
    </row>
    <row r="9" spans="2:16" x14ac:dyDescent="0.25">
      <c r="B9" s="211" t="s">
        <v>438</v>
      </c>
      <c r="C9" s="164">
        <v>3667</v>
      </c>
      <c r="D9" s="164">
        <v>317</v>
      </c>
      <c r="E9" s="164">
        <v>88</v>
      </c>
      <c r="G9" s="163" t="s">
        <v>439</v>
      </c>
      <c r="H9" s="163">
        <f>'KPIL - BALANCE SHEET'!D49+'KPIL - BALANCE SHEET'!D50+'KPIL - BALANCE SHEET'!D60+'KPIL - BALANCE SHEET'!D61</f>
        <v>3786.13</v>
      </c>
      <c r="I9" s="163">
        <f>'KPIL - BALANCE SHEET'!D27</f>
        <v>956.43</v>
      </c>
      <c r="J9" s="163">
        <f>H9-I9</f>
        <v>2829.7000000000003</v>
      </c>
      <c r="K9" s="163">
        <f>'KPIL - BALANCE SHEET'!D45</f>
        <v>4693.8599999999997</v>
      </c>
      <c r="L9" s="220">
        <f>H9/K9</f>
        <v>0.80661332038024147</v>
      </c>
      <c r="M9" s="220">
        <f>H9/(H9+K9)</f>
        <v>0.44647812084684063</v>
      </c>
    </row>
    <row r="10" spans="2:16" x14ac:dyDescent="0.25">
      <c r="B10" s="211" t="s">
        <v>440</v>
      </c>
      <c r="C10" s="164">
        <v>3798</v>
      </c>
      <c r="D10" s="164">
        <v>354</v>
      </c>
      <c r="E10" s="164">
        <v>98</v>
      </c>
      <c r="G10" s="163" t="s">
        <v>441</v>
      </c>
      <c r="H10" s="163">
        <f>'KPIL - BALANCE SHEET'!E49+'KPIL - BALANCE SHEET'!E50+'KPIL - BALANCE SHEET'!E60+'KPIL - BALANCE SHEET'!E61</f>
        <v>4008.2</v>
      </c>
      <c r="I10" s="163">
        <f>'KPIL - BALANCE SHEET'!E27</f>
        <v>1009.33</v>
      </c>
      <c r="J10" s="163">
        <f t="shared" ref="J10:J11" si="0">H10-I10</f>
        <v>2998.87</v>
      </c>
      <c r="K10" s="163">
        <f>'KPIL - BALANCE SHEET'!E45</f>
        <v>5112.8099999999995</v>
      </c>
      <c r="L10" s="220">
        <f t="shared" ref="L10:L11" si="1">H10/K10</f>
        <v>0.78395246449604039</v>
      </c>
      <c r="M10" s="220">
        <f t="shared" ref="M10:M11" si="2">H10/(H10+K10)</f>
        <v>0.43944694721308281</v>
      </c>
    </row>
    <row r="11" spans="2:16" x14ac:dyDescent="0.25">
      <c r="B11" s="211" t="s">
        <v>442</v>
      </c>
      <c r="C11" s="164">
        <v>4004</v>
      </c>
      <c r="D11" s="164">
        <v>376</v>
      </c>
      <c r="E11" s="164">
        <v>109</v>
      </c>
      <c r="G11" s="163" t="s">
        <v>243</v>
      </c>
      <c r="H11" s="163">
        <f>'KPIL - BALANCE SHEET'!F49+'KPIL - BALANCE SHEET'!F50+'KPIL - BALANCE SHEET'!F60+'KPIL - BALANCE SHEET'!F61</f>
        <v>4313.51</v>
      </c>
      <c r="I11" s="163">
        <f>'KPIL - BALANCE SHEET'!F27</f>
        <v>1601.69</v>
      </c>
      <c r="J11" s="163">
        <f t="shared" si="0"/>
        <v>2711.82</v>
      </c>
      <c r="K11" s="163">
        <f>'KPIL - BALANCE SHEET'!F45</f>
        <v>6468.86</v>
      </c>
      <c r="L11" s="220">
        <f t="shared" si="1"/>
        <v>0.6668114629161862</v>
      </c>
      <c r="M11" s="220">
        <f t="shared" si="2"/>
        <v>0.40005212212157443</v>
      </c>
    </row>
    <row r="12" spans="2:16" x14ac:dyDescent="0.25">
      <c r="B12" s="211" t="s">
        <v>443</v>
      </c>
      <c r="C12" s="164">
        <v>4882</v>
      </c>
      <c r="D12" s="164">
        <v>454</v>
      </c>
      <c r="E12" s="164">
        <v>140</v>
      </c>
    </row>
    <row r="13" spans="2:16" ht="15" customHeight="1" x14ac:dyDescent="0.25">
      <c r="B13" s="211" t="s">
        <v>444</v>
      </c>
      <c r="C13" s="164">
        <v>4241</v>
      </c>
      <c r="D13" s="164">
        <v>400</v>
      </c>
      <c r="E13" s="164">
        <v>113</v>
      </c>
      <c r="G13" s="280" t="s">
        <v>445</v>
      </c>
      <c r="H13" s="280"/>
      <c r="I13" s="280"/>
      <c r="J13" s="280"/>
      <c r="K13" s="280"/>
    </row>
    <row r="14" spans="2:16" x14ac:dyDescent="0.25">
      <c r="B14" s="211" t="s">
        <v>446</v>
      </c>
      <c r="C14" s="164">
        <v>4518.4399999999996</v>
      </c>
      <c r="D14" s="164">
        <v>382.93</v>
      </c>
      <c r="E14" s="164">
        <v>89.89</v>
      </c>
      <c r="G14" s="221" t="s">
        <v>432</v>
      </c>
      <c r="H14" s="221" t="s">
        <v>447</v>
      </c>
      <c r="I14" s="221" t="s">
        <v>448</v>
      </c>
      <c r="J14" s="221" t="s">
        <v>449</v>
      </c>
      <c r="K14" s="221" t="s">
        <v>450</v>
      </c>
    </row>
    <row r="15" spans="2:16" x14ac:dyDescent="0.25">
      <c r="B15" s="211" t="s">
        <v>451</v>
      </c>
      <c r="C15" s="164">
        <v>4895.82</v>
      </c>
      <c r="D15" s="164">
        <v>437.35</v>
      </c>
      <c r="E15" s="164">
        <v>144.07</v>
      </c>
      <c r="G15" s="163" t="s">
        <v>439</v>
      </c>
      <c r="H15" s="163">
        <f>'KPIL -CF STATEMENT'!C13</f>
        <v>550</v>
      </c>
      <c r="I15" s="163">
        <f>ABS('KPIL - Corporate Finance (B)'!C10)</f>
        <v>365.5</v>
      </c>
      <c r="J15" s="163">
        <f t="shared" ref="J15:J17" si="3">H15/I15</f>
        <v>1.5047879616963065</v>
      </c>
      <c r="K15" s="163">
        <f>H15-I15</f>
        <v>184.5</v>
      </c>
    </row>
    <row r="16" spans="2:16" x14ac:dyDescent="0.25">
      <c r="B16" s="211" t="s">
        <v>452</v>
      </c>
      <c r="C16" s="164">
        <v>5971.27</v>
      </c>
      <c r="D16" s="164">
        <v>472.27</v>
      </c>
      <c r="E16" s="164">
        <v>168.68</v>
      </c>
      <c r="G16" s="163" t="s">
        <v>441</v>
      </c>
      <c r="H16" s="163">
        <f>'KPIL -CF STATEMENT'!D13</f>
        <v>950</v>
      </c>
      <c r="I16" s="163">
        <f>ABS('KPIL - Corporate Finance (B)'!D10)</f>
        <v>229.79999999999995</v>
      </c>
      <c r="J16" s="163">
        <f t="shared" si="3"/>
        <v>4.1340295909486517</v>
      </c>
      <c r="K16" s="163">
        <f>H16-I16</f>
        <v>720.2</v>
      </c>
    </row>
    <row r="17" spans="2:13" x14ac:dyDescent="0.25">
      <c r="B17" s="211" t="s">
        <v>453</v>
      </c>
      <c r="C17" s="164">
        <v>4586.6000000000004</v>
      </c>
      <c r="D17" s="164">
        <v>300.79000000000002</v>
      </c>
      <c r="E17" s="164">
        <v>83.95</v>
      </c>
      <c r="G17" s="163" t="s">
        <v>243</v>
      </c>
      <c r="H17" s="165">
        <f>'KPIL -CF STATEMENT'!E13</f>
        <v>1150</v>
      </c>
      <c r="I17" s="163">
        <f>ABS('KPIL - Corporate Finance (B)'!E10)</f>
        <v>530</v>
      </c>
      <c r="J17" s="163">
        <f t="shared" si="3"/>
        <v>2.1698113207547172</v>
      </c>
      <c r="K17" s="165">
        <f>H17-I17</f>
        <v>620</v>
      </c>
    </row>
    <row r="18" spans="2:13" x14ac:dyDescent="0.25">
      <c r="B18" s="211" t="s">
        <v>454</v>
      </c>
      <c r="C18" s="164">
        <v>4929.93</v>
      </c>
      <c r="D18" s="164">
        <v>455.4</v>
      </c>
      <c r="E18" s="164">
        <v>125.56</v>
      </c>
    </row>
    <row r="19" spans="2:13" ht="14.25" customHeight="1" x14ac:dyDescent="0.25">
      <c r="B19" s="211" t="s">
        <v>455</v>
      </c>
      <c r="C19" s="164">
        <v>5732.48</v>
      </c>
      <c r="D19" s="164">
        <v>489.49</v>
      </c>
      <c r="E19" s="164">
        <v>139.59</v>
      </c>
      <c r="K19" s="276" t="s">
        <v>456</v>
      </c>
      <c r="L19" s="276"/>
      <c r="M19" s="276"/>
    </row>
    <row r="20" spans="2:13" ht="15" customHeight="1" x14ac:dyDescent="0.25">
      <c r="B20" s="211" t="s">
        <v>457</v>
      </c>
      <c r="C20" s="164">
        <v>7066.77</v>
      </c>
      <c r="D20" s="164">
        <v>550.91999999999996</v>
      </c>
      <c r="E20" s="164">
        <v>218.17</v>
      </c>
      <c r="G20" s="280" t="s">
        <v>458</v>
      </c>
      <c r="H20" s="280"/>
      <c r="I20" s="280"/>
      <c r="K20" s="276"/>
      <c r="L20" s="276"/>
      <c r="M20" s="276"/>
    </row>
    <row r="21" spans="2:13" x14ac:dyDescent="0.25">
      <c r="G21" s="221" t="s">
        <v>432</v>
      </c>
      <c r="H21" s="221" t="s">
        <v>448</v>
      </c>
      <c r="I21" s="221" t="s">
        <v>459</v>
      </c>
      <c r="K21" s="276"/>
      <c r="L21" s="276"/>
      <c r="M21" s="276"/>
    </row>
    <row r="22" spans="2:13" x14ac:dyDescent="0.25">
      <c r="G22" s="163" t="s">
        <v>439</v>
      </c>
      <c r="H22" s="163">
        <f>I15</f>
        <v>365.5</v>
      </c>
      <c r="I22" s="163">
        <f>H9-3837.78</f>
        <v>-51.650000000000091</v>
      </c>
      <c r="K22" s="189"/>
      <c r="L22" s="189"/>
      <c r="M22" s="189"/>
    </row>
    <row r="23" spans="2:13" x14ac:dyDescent="0.25">
      <c r="G23" s="163" t="s">
        <v>441</v>
      </c>
      <c r="H23" s="163">
        <f>I16</f>
        <v>229.79999999999995</v>
      </c>
      <c r="I23" s="163">
        <f>H10-H9</f>
        <v>222.06999999999971</v>
      </c>
      <c r="K23" s="285" t="s">
        <v>541</v>
      </c>
      <c r="L23" s="286"/>
      <c r="M23" s="286"/>
    </row>
    <row r="24" spans="2:13" x14ac:dyDescent="0.25">
      <c r="G24" s="163" t="s">
        <v>243</v>
      </c>
      <c r="H24" s="163">
        <f>I17</f>
        <v>530</v>
      </c>
      <c r="I24" s="163">
        <f>H11-H10</f>
        <v>305.3100000000004</v>
      </c>
    </row>
    <row r="25" spans="2:13" ht="33" customHeight="1" x14ac:dyDescent="0.25"/>
    <row r="26" spans="2:13" x14ac:dyDescent="0.25">
      <c r="B26" s="280" t="s">
        <v>460</v>
      </c>
      <c r="C26" s="280"/>
      <c r="D26" s="280"/>
      <c r="E26" s="280"/>
      <c r="F26" s="280"/>
      <c r="G26" s="280"/>
    </row>
    <row r="27" spans="2:13" ht="11.25" customHeight="1" x14ac:dyDescent="0.25">
      <c r="B27" s="277" t="s">
        <v>461</v>
      </c>
      <c r="C27" s="277"/>
      <c r="D27" s="277"/>
      <c r="E27" s="277"/>
      <c r="F27" s="277"/>
      <c r="G27" s="277"/>
    </row>
    <row r="28" spans="2:13" x14ac:dyDescent="0.25">
      <c r="B28" s="277"/>
      <c r="C28" s="277"/>
      <c r="D28" s="277"/>
      <c r="E28" s="277"/>
      <c r="F28" s="277"/>
      <c r="G28" s="277"/>
    </row>
    <row r="29" spans="2:13" x14ac:dyDescent="0.25">
      <c r="B29" s="277"/>
      <c r="C29" s="277"/>
      <c r="D29" s="277"/>
      <c r="E29" s="277"/>
      <c r="F29" s="277"/>
      <c r="G29" s="277"/>
    </row>
    <row r="30" spans="2:13" x14ac:dyDescent="0.25">
      <c r="B30" s="277"/>
      <c r="C30" s="277"/>
      <c r="D30" s="277"/>
      <c r="E30" s="277"/>
      <c r="F30" s="277"/>
      <c r="G30" s="277"/>
    </row>
    <row r="31" spans="2:13" x14ac:dyDescent="0.25">
      <c r="B31" s="277"/>
      <c r="C31" s="277"/>
      <c r="D31" s="277"/>
      <c r="E31" s="277"/>
      <c r="F31" s="277"/>
      <c r="G31" s="277"/>
    </row>
    <row r="32" spans="2:13" ht="36" customHeight="1" x14ac:dyDescent="0.25">
      <c r="B32" s="277"/>
      <c r="C32" s="277"/>
      <c r="D32" s="277"/>
      <c r="E32" s="277"/>
      <c r="F32" s="277"/>
      <c r="G32" s="277"/>
    </row>
    <row r="33" spans="2:7" ht="15.75" customHeight="1" x14ac:dyDescent="0.25">
      <c r="B33" s="287"/>
      <c r="C33" s="287"/>
      <c r="D33" s="287"/>
      <c r="E33" s="287"/>
      <c r="F33" s="287"/>
      <c r="G33" s="287"/>
    </row>
    <row r="34" spans="2:7" x14ac:dyDescent="0.25">
      <c r="B34" s="280" t="s">
        <v>462</v>
      </c>
      <c r="C34" s="280"/>
      <c r="D34" s="280"/>
      <c r="E34" s="280"/>
      <c r="F34" s="280"/>
      <c r="G34" s="280"/>
    </row>
    <row r="35" spans="2:7" ht="16.5" customHeight="1" x14ac:dyDescent="0.25">
      <c r="B35" s="277" t="s">
        <v>463</v>
      </c>
      <c r="C35" s="277"/>
      <c r="D35" s="277"/>
      <c r="E35" s="277"/>
      <c r="F35" s="277"/>
      <c r="G35" s="277"/>
    </row>
    <row r="36" spans="2:7" ht="33.75" customHeight="1" x14ac:dyDescent="0.25">
      <c r="B36" s="277"/>
      <c r="C36" s="277"/>
      <c r="D36" s="277"/>
      <c r="E36" s="277"/>
      <c r="F36" s="277"/>
      <c r="G36" s="277"/>
    </row>
    <row r="37" spans="2:7" ht="34.5" customHeight="1" x14ac:dyDescent="0.25">
      <c r="B37" s="277"/>
      <c r="C37" s="277"/>
      <c r="D37" s="277"/>
      <c r="E37" s="277"/>
      <c r="F37" s="277"/>
      <c r="G37" s="277"/>
    </row>
    <row r="38" spans="2:7" x14ac:dyDescent="0.25">
      <c r="B38" s="281"/>
      <c r="C38" s="281"/>
      <c r="D38" s="281"/>
      <c r="E38" s="281"/>
      <c r="F38" s="281"/>
      <c r="G38" s="281"/>
    </row>
    <row r="39" spans="2:7" x14ac:dyDescent="0.25">
      <c r="B39" s="280" t="s">
        <v>464</v>
      </c>
      <c r="C39" s="280"/>
      <c r="D39" s="280"/>
      <c r="E39" s="280"/>
      <c r="F39" s="280"/>
      <c r="G39" s="280"/>
    </row>
    <row r="40" spans="2:7" ht="16.5" customHeight="1" x14ac:dyDescent="0.25">
      <c r="B40" s="278" t="s">
        <v>465</v>
      </c>
      <c r="C40" s="278"/>
      <c r="D40" s="278"/>
      <c r="E40" s="278"/>
      <c r="F40" s="278"/>
      <c r="G40" s="278"/>
    </row>
    <row r="41" spans="2:7" ht="33.75" customHeight="1" x14ac:dyDescent="0.25">
      <c r="B41" s="278"/>
      <c r="C41" s="278"/>
      <c r="D41" s="278"/>
      <c r="E41" s="278"/>
      <c r="F41" s="278"/>
      <c r="G41" s="278"/>
    </row>
    <row r="42" spans="2:7" ht="32.25" customHeight="1" x14ac:dyDescent="0.25">
      <c r="B42" s="278"/>
      <c r="C42" s="278"/>
      <c r="D42" s="278"/>
      <c r="E42" s="278"/>
      <c r="F42" s="278"/>
      <c r="G42" s="278"/>
    </row>
    <row r="43" spans="2:7" x14ac:dyDescent="0.25">
      <c r="B43" s="281"/>
      <c r="C43" s="281"/>
      <c r="D43" s="281"/>
      <c r="E43" s="281"/>
      <c r="F43" s="281"/>
      <c r="G43" s="281"/>
    </row>
    <row r="44" spans="2:7" x14ac:dyDescent="0.25">
      <c r="B44" s="280" t="s">
        <v>466</v>
      </c>
      <c r="C44" s="280"/>
      <c r="D44" s="280"/>
      <c r="E44" s="280"/>
      <c r="F44" s="280"/>
      <c r="G44" s="280"/>
    </row>
    <row r="45" spans="2:7" ht="48.75" customHeight="1" x14ac:dyDescent="0.25">
      <c r="B45" s="278" t="s">
        <v>467</v>
      </c>
      <c r="C45" s="278"/>
      <c r="D45" s="278"/>
      <c r="E45" s="278"/>
      <c r="F45" s="278"/>
      <c r="G45" s="278"/>
    </row>
    <row r="46" spans="2:7" ht="49.5" customHeight="1" x14ac:dyDescent="0.25">
      <c r="B46" s="278"/>
      <c r="C46" s="278"/>
      <c r="D46" s="278"/>
      <c r="E46" s="278"/>
      <c r="F46" s="278"/>
      <c r="G46" s="278"/>
    </row>
    <row r="47" spans="2:7" ht="54" customHeight="1" x14ac:dyDescent="0.25">
      <c r="B47" s="278"/>
      <c r="C47" s="278"/>
      <c r="D47" s="278"/>
      <c r="E47" s="278"/>
      <c r="F47" s="278"/>
      <c r="G47" s="278"/>
    </row>
    <row r="48" spans="2:7" x14ac:dyDescent="0.25">
      <c r="B48" s="281"/>
      <c r="C48" s="281"/>
      <c r="D48" s="281"/>
      <c r="E48" s="281"/>
      <c r="F48" s="281"/>
      <c r="G48" s="281"/>
    </row>
    <row r="49" spans="2:14" x14ac:dyDescent="0.25">
      <c r="B49" s="280" t="s">
        <v>468</v>
      </c>
      <c r="C49" s="280"/>
      <c r="D49" s="280"/>
      <c r="E49" s="280"/>
      <c r="F49" s="280"/>
      <c r="G49" s="280"/>
    </row>
    <row r="50" spans="2:14" ht="34.5" customHeight="1" x14ac:dyDescent="0.25">
      <c r="B50" s="278" t="s">
        <v>469</v>
      </c>
      <c r="C50" s="278"/>
      <c r="D50" s="278"/>
      <c r="E50" s="278"/>
      <c r="F50" s="278"/>
      <c r="G50" s="278"/>
    </row>
    <row r="51" spans="2:14" ht="40.5" customHeight="1" x14ac:dyDescent="0.25">
      <c r="B51" s="278"/>
      <c r="C51" s="278"/>
      <c r="D51" s="278"/>
      <c r="E51" s="278"/>
      <c r="F51" s="278"/>
      <c r="G51" s="278"/>
    </row>
    <row r="52" spans="2:14" ht="34.5" customHeight="1" x14ac:dyDescent="0.25">
      <c r="B52" s="278"/>
      <c r="C52" s="278"/>
      <c r="D52" s="278"/>
      <c r="E52" s="278"/>
      <c r="F52" s="278"/>
      <c r="G52" s="278"/>
    </row>
    <row r="53" spans="2:14" x14ac:dyDescent="0.25">
      <c r="B53" s="281"/>
      <c r="C53" s="281"/>
      <c r="D53" s="281"/>
      <c r="E53" s="281"/>
      <c r="F53" s="281"/>
      <c r="G53" s="281"/>
    </row>
    <row r="54" spans="2:14" x14ac:dyDescent="0.25">
      <c r="B54" s="280" t="s">
        <v>470</v>
      </c>
      <c r="C54" s="280"/>
      <c r="D54" s="280"/>
      <c r="E54" s="280"/>
      <c r="F54" s="280"/>
      <c r="G54" s="280"/>
      <c r="I54" s="280" t="s">
        <v>471</v>
      </c>
      <c r="J54" s="280"/>
      <c r="K54" s="280"/>
      <c r="L54" s="280"/>
      <c r="M54" s="280"/>
      <c r="N54" s="280"/>
    </row>
    <row r="55" spans="2:14" ht="30.75" customHeight="1" x14ac:dyDescent="0.25">
      <c r="B55" s="278" t="s">
        <v>472</v>
      </c>
      <c r="C55" s="278"/>
      <c r="D55" s="278"/>
      <c r="E55" s="278"/>
      <c r="F55" s="278"/>
      <c r="G55" s="278"/>
      <c r="I55" s="278" t="s">
        <v>473</v>
      </c>
      <c r="J55" s="278"/>
      <c r="K55" s="278"/>
      <c r="L55" s="278"/>
      <c r="M55" s="278"/>
      <c r="N55" s="278"/>
    </row>
    <row r="56" spans="2:14" ht="30" customHeight="1" x14ac:dyDescent="0.25">
      <c r="B56" s="278"/>
      <c r="C56" s="278"/>
      <c r="D56" s="278"/>
      <c r="E56" s="278"/>
      <c r="F56" s="278"/>
      <c r="G56" s="278"/>
      <c r="I56" s="278"/>
      <c r="J56" s="278"/>
      <c r="K56" s="278"/>
      <c r="L56" s="278"/>
      <c r="M56" s="278"/>
      <c r="N56" s="278"/>
    </row>
    <row r="57" spans="2:14" ht="33" customHeight="1" x14ac:dyDescent="0.25">
      <c r="B57" s="278"/>
      <c r="C57" s="278"/>
      <c r="D57" s="278"/>
      <c r="E57" s="278"/>
      <c r="F57" s="278"/>
      <c r="G57" s="278"/>
      <c r="I57" s="278"/>
      <c r="J57" s="278"/>
      <c r="K57" s="278"/>
      <c r="L57" s="278"/>
      <c r="M57" s="278"/>
      <c r="N57" s="278"/>
    </row>
    <row r="58" spans="2:14" x14ac:dyDescent="0.25">
      <c r="B58" s="281"/>
      <c r="C58" s="281"/>
      <c r="D58" s="281"/>
      <c r="E58" s="281"/>
      <c r="F58" s="281"/>
      <c r="G58" s="281"/>
    </row>
    <row r="60" spans="2:14" ht="45.75" customHeight="1" x14ac:dyDescent="0.25"/>
    <row r="61" spans="2:14" ht="45" customHeight="1" x14ac:dyDescent="0.25"/>
    <row r="62" spans="2:14" ht="31.5" customHeight="1" x14ac:dyDescent="0.25"/>
    <row r="63" spans="2:14" x14ac:dyDescent="0.25">
      <c r="B63" s="281"/>
      <c r="C63" s="281"/>
      <c r="D63" s="281"/>
      <c r="E63" s="281"/>
      <c r="F63" s="281"/>
      <c r="G63" s="281"/>
    </row>
  </sheetData>
  <mergeCells count="31">
    <mergeCell ref="K23:M23"/>
    <mergeCell ref="I55:N57"/>
    <mergeCell ref="B44:G44"/>
    <mergeCell ref="B49:G49"/>
    <mergeCell ref="B54:G54"/>
    <mergeCell ref="I54:N54"/>
    <mergeCell ref="B33:G33"/>
    <mergeCell ref="B63:G63"/>
    <mergeCell ref="B58:G58"/>
    <mergeCell ref="B53:G53"/>
    <mergeCell ref="B43:G43"/>
    <mergeCell ref="B48:G48"/>
    <mergeCell ref="B45:G47"/>
    <mergeCell ref="B50:G52"/>
    <mergeCell ref="B55:G57"/>
    <mergeCell ref="K19:M21"/>
    <mergeCell ref="B35:G37"/>
    <mergeCell ref="B40:G42"/>
    <mergeCell ref="B1:M1"/>
    <mergeCell ref="B34:G34"/>
    <mergeCell ref="B39:G39"/>
    <mergeCell ref="B38:G38"/>
    <mergeCell ref="B5:F5"/>
    <mergeCell ref="B7:E7"/>
    <mergeCell ref="G7:M7"/>
    <mergeCell ref="G13:K13"/>
    <mergeCell ref="B2:M2"/>
    <mergeCell ref="B4:M4"/>
    <mergeCell ref="B26:G26"/>
    <mergeCell ref="B27:G32"/>
    <mergeCell ref="G20:I20"/>
  </mergeCells>
  <pageMargins left="0.7" right="0.7" top="0.75" bottom="0.75" header="0.3" footer="0.3"/>
  <pageSetup orientation="portrait" r:id="rId1"/>
  <drawing r:id="rId2"/>
  <tableParts count="4">
    <tablePart r:id="rId3"/>
    <tablePart r:id="rId4"/>
    <tablePart r:id="rId5"/>
    <tablePart r:id="rId6"/>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731E83-AFA8-4DC8-968F-BACD0942DF3B}">
  <dimension ref="B1:Z67"/>
  <sheetViews>
    <sheetView topLeftCell="A56" workbookViewId="0">
      <selection activeCell="D22" sqref="D22:E22"/>
    </sheetView>
  </sheetViews>
  <sheetFormatPr defaultRowHeight="15" customHeight="1" x14ac:dyDescent="0.3"/>
  <cols>
    <col min="2" max="2" width="55.88671875" customWidth="1"/>
    <col min="3" max="3" width="50.109375" customWidth="1"/>
    <col min="4" max="4" width="44" customWidth="1"/>
    <col min="5" max="5" width="43.109375" customWidth="1"/>
  </cols>
  <sheetData>
    <row r="1" spans="2:5" ht="15" customHeight="1" x14ac:dyDescent="0.3">
      <c r="B1" s="265" t="s">
        <v>195</v>
      </c>
      <c r="C1" s="265"/>
      <c r="D1" s="265"/>
      <c r="E1" s="265"/>
    </row>
    <row r="2" spans="2:5" ht="15" customHeight="1" x14ac:dyDescent="0.3">
      <c r="B2" s="265"/>
      <c r="C2" s="265"/>
      <c r="D2" s="265"/>
      <c r="E2" s="265"/>
    </row>
    <row r="3" spans="2:5" ht="24.6" x14ac:dyDescent="0.4">
      <c r="B3" s="265" t="s">
        <v>237</v>
      </c>
      <c r="C3" s="265"/>
      <c r="D3" s="265"/>
      <c r="E3" s="265"/>
    </row>
    <row r="5" spans="2:5" ht="17.399999999999999" x14ac:dyDescent="0.3">
      <c r="B5" s="266" t="s">
        <v>474</v>
      </c>
      <c r="C5" s="266"/>
      <c r="D5" s="266"/>
      <c r="E5" s="266"/>
    </row>
    <row r="6" spans="2:5" ht="14.4" x14ac:dyDescent="0.3"/>
    <row r="7" spans="2:5" ht="14.4" x14ac:dyDescent="0.3"/>
    <row r="8" spans="2:5" ht="23.25" customHeight="1" x14ac:dyDescent="0.45">
      <c r="B8" s="148" t="s">
        <v>475</v>
      </c>
      <c r="C8" s="148"/>
      <c r="D8" s="321" t="s">
        <v>476</v>
      </c>
      <c r="E8" s="321"/>
    </row>
    <row r="9" spans="2:5" ht="27" customHeight="1" x14ac:dyDescent="0.45">
      <c r="B9" s="149" t="s">
        <v>477</v>
      </c>
      <c r="C9" s="150">
        <v>7.0999999999999994E-2</v>
      </c>
      <c r="D9" s="322" t="s">
        <v>478</v>
      </c>
      <c r="E9" s="322"/>
    </row>
    <row r="10" spans="2:5" ht="23.4" x14ac:dyDescent="0.45">
      <c r="B10" s="149" t="s">
        <v>479</v>
      </c>
      <c r="C10" s="149">
        <v>0.85</v>
      </c>
      <c r="D10" s="323" t="s">
        <v>480</v>
      </c>
      <c r="E10" s="323"/>
    </row>
    <row r="11" spans="2:5" ht="23.4" x14ac:dyDescent="0.45">
      <c r="B11" s="149" t="s">
        <v>481</v>
      </c>
      <c r="C11" s="150">
        <v>7.0800000000000002E-2</v>
      </c>
      <c r="D11" s="323" t="s">
        <v>482</v>
      </c>
      <c r="E11" s="323"/>
    </row>
    <row r="12" spans="2:5" ht="23.4" x14ac:dyDescent="0.45">
      <c r="B12" s="151" t="s">
        <v>483</v>
      </c>
      <c r="C12" s="152">
        <f xml:space="preserve"> C9 + C10*C11</f>
        <v>0.13117999999999999</v>
      </c>
      <c r="D12" s="324" t="s">
        <v>484</v>
      </c>
      <c r="E12" s="324"/>
    </row>
    <row r="13" spans="2:5" ht="23.4" x14ac:dyDescent="0.45">
      <c r="B13" s="153"/>
      <c r="C13" s="153"/>
      <c r="D13" s="325"/>
      <c r="E13" s="325"/>
    </row>
    <row r="14" spans="2:5" ht="23.4" x14ac:dyDescent="0.45">
      <c r="B14" s="153"/>
      <c r="C14" s="153"/>
      <c r="D14" s="153"/>
      <c r="E14" s="153"/>
    </row>
    <row r="15" spans="2:5" ht="23.4" x14ac:dyDescent="0.45">
      <c r="B15" s="148" t="s">
        <v>485</v>
      </c>
      <c r="C15" s="148"/>
      <c r="D15" s="321" t="s">
        <v>476</v>
      </c>
      <c r="E15" s="321"/>
    </row>
    <row r="16" spans="2:5" ht="23.4" x14ac:dyDescent="0.45">
      <c r="B16" s="149" t="s">
        <v>486</v>
      </c>
      <c r="C16" s="156">
        <f>'KPIL - P&amp;L STATEMENT'!E13</f>
        <v>576.53</v>
      </c>
      <c r="D16" s="320" t="s">
        <v>487</v>
      </c>
      <c r="E16" s="320"/>
    </row>
    <row r="17" spans="2:26" ht="23.4" x14ac:dyDescent="0.45">
      <c r="B17" s="149" t="s">
        <v>488</v>
      </c>
      <c r="C17" s="149">
        <f>'KPIL - BALANCE SHEET'!F49+'KPIL - BALANCE SHEET'!F50+'KPIL - BALANCE SHEET'!F60+'KPIL - BALANCE SHEET'!F61</f>
        <v>4313.51</v>
      </c>
      <c r="D17" s="317" t="s">
        <v>487</v>
      </c>
      <c r="E17" s="317"/>
    </row>
    <row r="18" spans="2:26" ht="23.4" x14ac:dyDescent="0.45">
      <c r="B18" s="149" t="s">
        <v>489</v>
      </c>
      <c r="C18" s="150">
        <f xml:space="preserve"> C16/C17</f>
        <v>0.13365681312898312</v>
      </c>
      <c r="D18" s="317" t="s">
        <v>490</v>
      </c>
      <c r="E18" s="317"/>
    </row>
    <row r="19" spans="2:26" ht="23.4" x14ac:dyDescent="0.45">
      <c r="B19" s="154" t="s">
        <v>491</v>
      </c>
      <c r="C19" s="155">
        <f>'KPIL - P&amp;L STATEMENT'!E56/100</f>
        <v>0.31056149732620486</v>
      </c>
      <c r="D19" s="318" t="s">
        <v>492</v>
      </c>
      <c r="E19" s="318"/>
    </row>
    <row r="20" spans="2:26" ht="23.4" x14ac:dyDescent="0.45">
      <c r="B20" s="151" t="s">
        <v>191</v>
      </c>
      <c r="C20" s="152">
        <f xml:space="preserve"> C18*(1-C19)</f>
        <v>9.2148153115797368E-2</v>
      </c>
      <c r="D20" s="319" t="s">
        <v>493</v>
      </c>
      <c r="E20" s="319"/>
    </row>
    <row r="21" spans="2:26" ht="18" x14ac:dyDescent="0.35">
      <c r="B21" s="143"/>
      <c r="C21" s="143"/>
      <c r="D21" s="301"/>
      <c r="E21" s="301"/>
    </row>
    <row r="22" spans="2:26" ht="18" x14ac:dyDescent="0.35">
      <c r="B22" s="143"/>
      <c r="C22" s="143"/>
      <c r="D22" s="301"/>
      <c r="E22" s="301"/>
    </row>
    <row r="23" spans="2:26" ht="23.4" x14ac:dyDescent="0.45">
      <c r="B23" s="148" t="s">
        <v>494</v>
      </c>
      <c r="C23" s="191" t="s">
        <v>495</v>
      </c>
      <c r="D23" s="195" t="s">
        <v>496</v>
      </c>
      <c r="E23" s="194" t="s">
        <v>476</v>
      </c>
    </row>
    <row r="24" spans="2:26" ht="46.8" x14ac:dyDescent="0.45">
      <c r="B24" s="190" t="s">
        <v>497</v>
      </c>
      <c r="C24" s="192">
        <v>170772546</v>
      </c>
      <c r="D24" s="193"/>
      <c r="E24" s="197" t="s">
        <v>487</v>
      </c>
    </row>
    <row r="25" spans="2:26" ht="23.4" x14ac:dyDescent="0.45">
      <c r="B25" s="149" t="s">
        <v>498</v>
      </c>
      <c r="C25" s="192">
        <v>974.5</v>
      </c>
      <c r="D25" s="193"/>
      <c r="E25" s="198" t="s">
        <v>499</v>
      </c>
    </row>
    <row r="26" spans="2:26" ht="23.4" x14ac:dyDescent="0.45">
      <c r="B26" s="149" t="s">
        <v>500</v>
      </c>
      <c r="C26" s="192">
        <f>(C24*C25)/10000000</f>
        <v>16641.784607699999</v>
      </c>
      <c r="D26" s="193">
        <f xml:space="preserve"> C26/(C26+C27)</f>
        <v>0.79415655657663686</v>
      </c>
      <c r="E26" s="199"/>
    </row>
    <row r="27" spans="2:26" ht="23.4" x14ac:dyDescent="0.45">
      <c r="B27" s="149" t="s">
        <v>488</v>
      </c>
      <c r="C27" s="192">
        <f>C17</f>
        <v>4313.51</v>
      </c>
      <c r="D27" s="193">
        <f>C27/(C27+C26)</f>
        <v>0.20584344342336305</v>
      </c>
      <c r="E27" s="199"/>
    </row>
    <row r="28" spans="2:26" ht="18" x14ac:dyDescent="0.35">
      <c r="B28" s="143"/>
      <c r="C28" s="143"/>
      <c r="D28" s="301"/>
      <c r="E28" s="301"/>
    </row>
    <row r="29" spans="2:26" ht="48" customHeight="1" x14ac:dyDescent="0.3">
      <c r="B29" s="157" t="s">
        <v>501</v>
      </c>
      <c r="C29" s="158">
        <f>D26*C12 + D27*C20</f>
        <v>0.12314555023418225</v>
      </c>
      <c r="D29" s="302" t="s">
        <v>502</v>
      </c>
      <c r="E29" s="303"/>
      <c r="Z29" t="s">
        <v>503</v>
      </c>
    </row>
    <row r="30" spans="2:26" ht="14.4" x14ac:dyDescent="0.3"/>
    <row r="32" spans="2:26" ht="62.25" customHeight="1" x14ac:dyDescent="0.3">
      <c r="B32" s="306" t="s">
        <v>504</v>
      </c>
      <c r="C32" s="307"/>
      <c r="D32" s="307"/>
      <c r="E32" s="307"/>
    </row>
    <row r="33" spans="2:5" ht="22.5" customHeight="1" x14ac:dyDescent="0.3">
      <c r="B33" s="203"/>
      <c r="C33" s="200"/>
      <c r="D33" s="200"/>
      <c r="E33" s="200"/>
    </row>
    <row r="34" spans="2:5" ht="19.5" customHeight="1" x14ac:dyDescent="0.3">
      <c r="B34" s="308" t="s">
        <v>505</v>
      </c>
      <c r="C34" s="309"/>
      <c r="D34" s="310" t="s">
        <v>506</v>
      </c>
      <c r="E34" s="311"/>
    </row>
    <row r="35" spans="2:5" ht="19.5" customHeight="1" x14ac:dyDescent="0.45">
      <c r="B35" s="202" t="s">
        <v>507</v>
      </c>
      <c r="C35" s="204">
        <f>'KPIL - P&amp;L STATEMENT'!E27/'KPIL - BALANCE SHEET'!F45</f>
        <v>8.7692421848671279E-2</v>
      </c>
      <c r="D35" s="312"/>
      <c r="E35" s="313"/>
    </row>
    <row r="36" spans="2:5" ht="19.5" customHeight="1" x14ac:dyDescent="0.45">
      <c r="B36" s="201" t="s">
        <v>508</v>
      </c>
      <c r="C36" s="205">
        <f>ABS('KPIL -CF STATEMENT'!E26)/'KPIL - P&amp;L STATEMENT'!E27</f>
        <v>0.23798191337458535</v>
      </c>
      <c r="D36" s="312"/>
      <c r="E36" s="313"/>
    </row>
    <row r="37" spans="2:5" ht="19.5" customHeight="1" x14ac:dyDescent="0.45">
      <c r="B37" s="201" t="s">
        <v>509</v>
      </c>
      <c r="C37" s="205">
        <f>1-C36</f>
        <v>0.7620180866254147</v>
      </c>
      <c r="D37" s="312"/>
      <c r="E37" s="313"/>
    </row>
    <row r="38" spans="2:5" ht="19.5" customHeight="1" x14ac:dyDescent="0.45">
      <c r="B38" s="201" t="s">
        <v>510</v>
      </c>
      <c r="C38" s="205">
        <f>C36*C37</f>
        <v>0.18134652228115672</v>
      </c>
      <c r="D38" s="314"/>
      <c r="E38" s="315"/>
    </row>
    <row r="39" spans="2:5" ht="62.25" customHeight="1" x14ac:dyDescent="0.3">
      <c r="B39" s="200"/>
      <c r="C39" s="200"/>
      <c r="D39" s="200"/>
      <c r="E39" s="200"/>
    </row>
    <row r="40" spans="2:5" ht="43.5" customHeight="1" x14ac:dyDescent="0.3">
      <c r="B40" s="289" t="s">
        <v>511</v>
      </c>
      <c r="C40" s="290"/>
      <c r="D40" s="290"/>
      <c r="E40" s="290"/>
    </row>
    <row r="41" spans="2:5" ht="142.5" customHeight="1" x14ac:dyDescent="0.3">
      <c r="B41" s="316" t="s">
        <v>512</v>
      </c>
      <c r="C41" s="316"/>
      <c r="D41" s="316"/>
      <c r="E41" s="316"/>
    </row>
    <row r="42" spans="2:5" ht="163.5" customHeight="1" x14ac:dyDescent="0.3">
      <c r="B42" s="304" t="s">
        <v>513</v>
      </c>
      <c r="C42" s="305"/>
      <c r="D42" s="305"/>
      <c r="E42" s="305"/>
    </row>
    <row r="43" spans="2:5" ht="37.5" customHeight="1" x14ac:dyDescent="0.3"/>
    <row r="44" spans="2:5" ht="42" customHeight="1" x14ac:dyDescent="0.3">
      <c r="B44" s="289" t="s">
        <v>514</v>
      </c>
      <c r="C44" s="290"/>
      <c r="D44" s="290"/>
      <c r="E44" s="290"/>
    </row>
    <row r="45" spans="2:5" ht="15" customHeight="1" x14ac:dyDescent="0.45">
      <c r="B45" s="148" t="s">
        <v>514</v>
      </c>
      <c r="C45" s="148" t="s">
        <v>515</v>
      </c>
      <c r="D45" s="148" t="s">
        <v>516</v>
      </c>
      <c r="E45" s="148" t="s">
        <v>517</v>
      </c>
    </row>
    <row r="46" spans="2:5" ht="20.25" customHeight="1" x14ac:dyDescent="0.45">
      <c r="B46" s="149" t="s">
        <v>518</v>
      </c>
      <c r="C46" s="156">
        <f>'KPIL - P&amp;L STATEMENT'!D5</f>
        <v>19626.43</v>
      </c>
      <c r="D46" s="156">
        <f>'KPIL - P&amp;L STATEMENT'!E5</f>
        <v>22315.78</v>
      </c>
      <c r="E46" s="159">
        <f>(D46-C46)/C46</f>
        <v>0.13702695803566917</v>
      </c>
    </row>
    <row r="47" spans="2:5" ht="23.4" x14ac:dyDescent="0.45">
      <c r="B47" s="149" t="s">
        <v>519</v>
      </c>
      <c r="C47" s="156">
        <f>'KPIL - P&amp;L STATEMENT'!D55</f>
        <v>1219.2699999999986</v>
      </c>
      <c r="D47" s="156">
        <f>'KPIL - P&amp;L STATEMENT'!E55</f>
        <v>1399.3299999999956</v>
      </c>
      <c r="E47" s="159">
        <f>(D47-C47)/C47</f>
        <v>0.14767852895584832</v>
      </c>
    </row>
    <row r="48" spans="2:5" ht="14.4" x14ac:dyDescent="0.3"/>
    <row r="49" spans="2:5" ht="48.75" customHeight="1" x14ac:dyDescent="0.3">
      <c r="B49" s="212" t="s">
        <v>520</v>
      </c>
      <c r="C49" s="196">
        <f>E47/E46</f>
        <v>1.0777333969378964</v>
      </c>
      <c r="D49" s="300" t="s">
        <v>521</v>
      </c>
      <c r="E49" s="300"/>
    </row>
    <row r="50" spans="2:5" ht="65.25" customHeight="1" x14ac:dyDescent="0.3">
      <c r="B50" s="288" t="s">
        <v>522</v>
      </c>
      <c r="C50" s="288"/>
      <c r="D50" s="288"/>
      <c r="E50" s="288"/>
    </row>
    <row r="51" spans="2:5" ht="31.5" customHeight="1" x14ac:dyDescent="0.3">
      <c r="B51" s="160"/>
      <c r="C51" s="160"/>
      <c r="D51" s="160"/>
      <c r="E51" s="160"/>
    </row>
    <row r="52" spans="2:5" ht="31.5" customHeight="1" x14ac:dyDescent="0.3">
      <c r="B52" s="289" t="s">
        <v>523</v>
      </c>
      <c r="C52" s="290"/>
      <c r="D52" s="290"/>
      <c r="E52" s="290"/>
    </row>
    <row r="53" spans="2:5" ht="23.4" x14ac:dyDescent="0.45">
      <c r="B53" s="292" t="s">
        <v>180</v>
      </c>
      <c r="C53" s="292"/>
      <c r="D53" s="293" t="s">
        <v>524</v>
      </c>
      <c r="E53" s="294"/>
    </row>
    <row r="54" spans="2:5" ht="23.4" x14ac:dyDescent="0.45">
      <c r="B54" s="291" t="s">
        <v>519</v>
      </c>
      <c r="C54" s="291"/>
      <c r="D54" s="295">
        <f>D47</f>
        <v>1399.3299999999956</v>
      </c>
      <c r="E54" s="295"/>
    </row>
    <row r="55" spans="2:5" ht="23.4" x14ac:dyDescent="0.45">
      <c r="B55" s="296" t="s">
        <v>525</v>
      </c>
      <c r="C55" s="297"/>
      <c r="D55" s="298">
        <f>'KPIL - P&amp;L STATEMENT'!E22</f>
        <v>822.79999999999563</v>
      </c>
      <c r="E55" s="299"/>
    </row>
    <row r="56" spans="2:5" ht="14.4" x14ac:dyDescent="0.3"/>
    <row r="57" spans="2:5" ht="23.4" x14ac:dyDescent="0.45">
      <c r="B57" s="213" t="s">
        <v>526</v>
      </c>
      <c r="C57" s="156">
        <f>D54/D55</f>
        <v>1.7006927564414231</v>
      </c>
      <c r="D57" s="291" t="s">
        <v>527</v>
      </c>
      <c r="E57" s="291"/>
    </row>
    <row r="58" spans="2:5" ht="54.75" customHeight="1" x14ac:dyDescent="0.3">
      <c r="B58" s="288" t="s">
        <v>528</v>
      </c>
      <c r="C58" s="288"/>
      <c r="D58" s="288"/>
      <c r="E58" s="288"/>
    </row>
    <row r="59" spans="2:5" ht="14.4" x14ac:dyDescent="0.3"/>
    <row r="61" spans="2:5" ht="14.4" x14ac:dyDescent="0.3"/>
    <row r="62" spans="2:5" ht="14.4" x14ac:dyDescent="0.3"/>
    <row r="64" spans="2:5" ht="17.25" customHeight="1" x14ac:dyDescent="0.3"/>
    <row r="65" ht="16.5" customHeight="1" x14ac:dyDescent="0.3"/>
    <row r="66" ht="19.5" customHeight="1" x14ac:dyDescent="0.3"/>
    <row r="67" ht="18.75" customHeight="1" x14ac:dyDescent="0.3"/>
  </sheetData>
  <mergeCells count="37">
    <mergeCell ref="B1:E2"/>
    <mergeCell ref="B3:E3"/>
    <mergeCell ref="B5:E5"/>
    <mergeCell ref="D13:E13"/>
    <mergeCell ref="D15:E15"/>
    <mergeCell ref="D16:E16"/>
    <mergeCell ref="D17:E17"/>
    <mergeCell ref="D8:E8"/>
    <mergeCell ref="D9:E9"/>
    <mergeCell ref="D10:E10"/>
    <mergeCell ref="D11:E11"/>
    <mergeCell ref="D12:E12"/>
    <mergeCell ref="D18:E18"/>
    <mergeCell ref="D19:E19"/>
    <mergeCell ref="D20:E20"/>
    <mergeCell ref="D21:E21"/>
    <mergeCell ref="D22:E22"/>
    <mergeCell ref="D49:E49"/>
    <mergeCell ref="D28:E28"/>
    <mergeCell ref="D29:E29"/>
    <mergeCell ref="B44:E44"/>
    <mergeCell ref="B42:E42"/>
    <mergeCell ref="B32:E32"/>
    <mergeCell ref="B40:E40"/>
    <mergeCell ref="B34:C34"/>
    <mergeCell ref="D34:E38"/>
    <mergeCell ref="B41:E41"/>
    <mergeCell ref="B50:E50"/>
    <mergeCell ref="B58:E58"/>
    <mergeCell ref="B52:E52"/>
    <mergeCell ref="D57:E57"/>
    <mergeCell ref="B53:C53"/>
    <mergeCell ref="B54:C54"/>
    <mergeCell ref="D53:E53"/>
    <mergeCell ref="D54:E54"/>
    <mergeCell ref="B55:C55"/>
    <mergeCell ref="D55:E55"/>
  </mergeCells>
  <hyperlinks>
    <hyperlink ref="D10" r:id="rId1" xr:uid="{58B2AAE2-9BB1-4221-90D2-901D795C6A1F}"/>
    <hyperlink ref="D11" r:id="rId2" xr:uid="{D85C8607-6B7B-45B4-A3E3-AAF0B72C1CD4}"/>
    <hyperlink ref="D9" r:id="rId3" xr:uid="{BA57D052-9A8F-4265-9070-53C1423E3178}"/>
    <hyperlink ref="D9:E9" r:id="rId4" display="RBI Rate" xr:uid="{778A2919-0F07-4A7F-98B7-66FB6659EE18}"/>
    <hyperlink ref="E24" r:id="rId5" xr:uid="{03F440AA-4C51-48B0-AE52-F9E8BDBF88E4}"/>
    <hyperlink ref="D17:E17" r:id="rId6" display="Annual Report" xr:uid="{67DEFF2B-D440-4DEB-880F-77E32F99FFA4}"/>
    <hyperlink ref="D16:E16" r:id="rId7" display="Annual Report" xr:uid="{A543E947-8CC4-4F9A-ADC7-E97E94D2A1A0}"/>
    <hyperlink ref="E25" r:id="rId8" xr:uid="{4A3366C4-542E-4F8F-A697-282025CD3646}"/>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438E3-2D4F-46C8-9337-C3A04EC4C1BB}">
  <dimension ref="B2:L16"/>
  <sheetViews>
    <sheetView tabSelected="1" workbookViewId="0">
      <selection activeCell="I20" sqref="I20"/>
    </sheetView>
  </sheetViews>
  <sheetFormatPr defaultColWidth="9.109375" defaultRowHeight="13.8" x14ac:dyDescent="0.25"/>
  <cols>
    <col min="1" max="1" width="9.109375" style="146"/>
    <col min="2" max="2" width="18.33203125" style="146" customWidth="1"/>
    <col min="3" max="3" width="18.44140625" style="146" customWidth="1"/>
    <col min="4" max="4" width="18.33203125" style="146" customWidth="1"/>
    <col min="5" max="5" width="9.109375" style="146"/>
    <col min="6" max="6" width="18.44140625" style="146" customWidth="1"/>
    <col min="7" max="8" width="18.33203125" style="146" customWidth="1"/>
    <col min="9" max="10" width="18.5546875" style="146" customWidth="1"/>
    <col min="11" max="11" width="18.33203125" style="146" customWidth="1"/>
    <col min="12" max="12" width="18.5546875" style="146" customWidth="1"/>
    <col min="13" max="16384" width="9.109375" style="146"/>
  </cols>
  <sheetData>
    <row r="2" spans="2:12" x14ac:dyDescent="0.25">
      <c r="B2" s="328" t="s">
        <v>529</v>
      </c>
      <c r="C2" s="328"/>
      <c r="D2" s="328"/>
      <c r="E2" s="328"/>
      <c r="F2" s="328"/>
      <c r="G2" s="327" t="s">
        <v>476</v>
      </c>
      <c r="H2" s="327"/>
      <c r="I2" s="327"/>
      <c r="J2" s="327"/>
      <c r="K2" s="327"/>
      <c r="L2" s="327"/>
    </row>
    <row r="3" spans="2:12" ht="31.5" customHeight="1" x14ac:dyDescent="0.3">
      <c r="B3" s="329" t="s">
        <v>530</v>
      </c>
      <c r="C3" s="329"/>
      <c r="D3" s="329"/>
      <c r="E3" s="329"/>
      <c r="F3" s="329"/>
      <c r="G3" s="330" t="s">
        <v>531</v>
      </c>
      <c r="H3" s="330"/>
      <c r="I3" s="330"/>
      <c r="J3" s="330"/>
      <c r="K3" s="330"/>
      <c r="L3" s="330"/>
    </row>
    <row r="4" spans="2:12" ht="24.75" customHeight="1" x14ac:dyDescent="0.3">
      <c r="B4" s="329" t="s">
        <v>532</v>
      </c>
      <c r="C4" s="329"/>
      <c r="D4" s="329"/>
      <c r="E4" s="329"/>
      <c r="F4" s="329"/>
      <c r="G4" s="332" t="s">
        <v>533</v>
      </c>
      <c r="H4" s="332"/>
      <c r="I4" s="332"/>
      <c r="J4" s="332"/>
      <c r="K4" s="332"/>
      <c r="L4" s="332"/>
    </row>
    <row r="5" spans="2:12" ht="20.25" customHeight="1" x14ac:dyDescent="0.25">
      <c r="B5" s="331" t="s">
        <v>534</v>
      </c>
      <c r="C5" s="331"/>
      <c r="D5" s="331"/>
      <c r="E5" s="331"/>
      <c r="F5" s="331"/>
      <c r="G5" s="330" t="s">
        <v>535</v>
      </c>
      <c r="H5" s="330"/>
      <c r="I5" s="330"/>
      <c r="J5" s="330"/>
      <c r="K5" s="330"/>
      <c r="L5" s="330"/>
    </row>
    <row r="6" spans="2:12" x14ac:dyDescent="0.25">
      <c r="B6" s="331"/>
      <c r="C6" s="331"/>
      <c r="D6" s="331"/>
      <c r="E6" s="331"/>
      <c r="F6" s="331"/>
      <c r="G6" s="330"/>
      <c r="H6" s="330"/>
      <c r="I6" s="330"/>
      <c r="J6" s="330"/>
      <c r="K6" s="330"/>
      <c r="L6" s="330"/>
    </row>
    <row r="7" spans="2:12" ht="30" customHeight="1" x14ac:dyDescent="0.3">
      <c r="B7" s="331" t="s">
        <v>536</v>
      </c>
      <c r="C7" s="331"/>
      <c r="D7" s="331"/>
      <c r="E7" s="331"/>
      <c r="F7" s="331"/>
      <c r="G7" s="330" t="s">
        <v>537</v>
      </c>
      <c r="H7" s="330"/>
      <c r="I7" s="330"/>
      <c r="J7" s="330"/>
      <c r="K7" s="330"/>
      <c r="L7" s="330"/>
    </row>
    <row r="8" spans="2:12" x14ac:dyDescent="0.25">
      <c r="B8" s="331" t="s">
        <v>538</v>
      </c>
      <c r="C8" s="331"/>
      <c r="D8" s="331"/>
      <c r="E8" s="331"/>
      <c r="F8" s="331"/>
      <c r="G8" s="332" t="s">
        <v>539</v>
      </c>
      <c r="H8" s="332"/>
      <c r="I8" s="332"/>
      <c r="J8" s="332"/>
      <c r="K8" s="332"/>
      <c r="L8" s="332"/>
    </row>
    <row r="9" spans="2:12" x14ac:dyDescent="0.25">
      <c r="B9" s="331"/>
      <c r="C9" s="331"/>
      <c r="D9" s="331"/>
      <c r="E9" s="331"/>
      <c r="F9" s="331"/>
      <c r="G9" s="332"/>
      <c r="H9" s="332"/>
      <c r="I9" s="332"/>
      <c r="J9" s="332"/>
      <c r="K9" s="332"/>
      <c r="L9" s="332"/>
    </row>
    <row r="10" spans="2:12" x14ac:dyDescent="0.25">
      <c r="B10" s="222"/>
      <c r="C10" s="222"/>
      <c r="D10" s="222"/>
      <c r="E10" s="222"/>
      <c r="F10" s="222"/>
      <c r="G10" s="222"/>
      <c r="H10" s="222"/>
      <c r="I10" s="222"/>
      <c r="J10" s="222"/>
      <c r="K10" s="222"/>
      <c r="L10" s="222"/>
    </row>
    <row r="12" spans="2:12" ht="13.8" customHeight="1" x14ac:dyDescent="0.25">
      <c r="B12" s="326" t="s">
        <v>540</v>
      </c>
      <c r="C12" s="326"/>
      <c r="D12" s="326"/>
      <c r="E12" s="326"/>
      <c r="F12" s="326"/>
    </row>
    <row r="13" spans="2:12" x14ac:dyDescent="0.25">
      <c r="B13" s="326"/>
      <c r="C13" s="326"/>
      <c r="D13" s="326"/>
      <c r="E13" s="326"/>
      <c r="F13" s="326"/>
    </row>
    <row r="14" spans="2:12" x14ac:dyDescent="0.25">
      <c r="B14" s="326"/>
      <c r="C14" s="326"/>
      <c r="D14" s="326"/>
      <c r="E14" s="326"/>
      <c r="F14" s="326"/>
    </row>
    <row r="15" spans="2:12" x14ac:dyDescent="0.25">
      <c r="B15" s="223"/>
      <c r="C15" s="223"/>
      <c r="D15" s="223"/>
      <c r="E15" s="223"/>
      <c r="F15" s="223"/>
    </row>
    <row r="16" spans="2:12" x14ac:dyDescent="0.25">
      <c r="B16" s="223"/>
      <c r="C16" s="223"/>
      <c r="D16" s="223"/>
      <c r="E16" s="223"/>
      <c r="F16" s="223"/>
    </row>
  </sheetData>
  <mergeCells count="13">
    <mergeCell ref="B12:F14"/>
    <mergeCell ref="G2:L2"/>
    <mergeCell ref="B2:F2"/>
    <mergeCell ref="B3:F3"/>
    <mergeCell ref="G3:L3"/>
    <mergeCell ref="B5:F6"/>
    <mergeCell ref="B7:F7"/>
    <mergeCell ref="G7:L7"/>
    <mergeCell ref="B8:F9"/>
    <mergeCell ref="G8:L9"/>
    <mergeCell ref="B4:F4"/>
    <mergeCell ref="G4:L4"/>
    <mergeCell ref="G5:L6"/>
  </mergeCells>
  <hyperlinks>
    <hyperlink ref="G4:L4" r:id="rId1" display="https://www.indiabonds.com/bond-directory/INE733E07JW2-ntpc-limited/" xr:uid="{D3F8FD0A-7B8F-4E51-9476-D738D2B49FB6}"/>
    <hyperlink ref="G8:L9" r:id="rId2" display="https://kalpataruprojects.com/investors/financials/annual-reports/annual-reports" xr:uid="{2C8639F7-7402-4D5D-8F57-2DCBA101D597}"/>
    <hyperlink ref="G3:L3" r:id="rId3" display="https://www.nseindia.com/get-quote/equity/NTPC/NTPC-Limited , https://finance.yahoo.com/quote/%5ENSEI/history/?period1=1682640000&amp;period2=1775779200&amp;frequency=1wk" xr:uid="{FE6D8325-DC73-494E-B497-E7009B998A5B}"/>
    <hyperlink ref="G5:L6" r:id="rId4" display="https://finance.yahoo.com/quote/NTPC.NS/balance-sheet/" xr:uid="{5F9A99A3-198E-4556-A6BE-518609F72A9E}"/>
    <hyperlink ref="G7:L7" r:id="rId5" display="https://finance.yahoo.com/quote/NTPC.NS/financials/ " xr:uid="{F8B4DEF8-D955-4AED-8B3D-8994A42470DD}"/>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TITLE</vt:lpstr>
      <vt:lpstr>NTPC - Weekly Returns</vt:lpstr>
      <vt:lpstr>NTPC - Cost of Equity</vt:lpstr>
      <vt:lpstr>NTPC - Cost of Debt</vt:lpstr>
      <vt:lpstr>NTPC - WACC</vt:lpstr>
      <vt:lpstr>KPIL - Corporate Governance</vt:lpstr>
      <vt:lpstr>KPIL - BALANCE SHEET</vt:lpstr>
      <vt:lpstr>KPIL - P&amp;L STATEMENT</vt:lpstr>
      <vt:lpstr>KPIL -CF STATEMENT</vt:lpstr>
      <vt:lpstr>KPIL - Corporate Finance (A)</vt:lpstr>
      <vt:lpstr>KPIL - Corporate Finance (B)</vt:lpstr>
      <vt:lpstr>KPIL - Corporate Finance (C)</vt:lpstr>
      <vt:lpstr>KPIL - Corporate Finance (D)</vt:lpstr>
      <vt:lpstr>Data Collection &amp; References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DRISHYA MUSADDI</dc:creator>
  <cp:keywords/>
  <dc:description/>
  <cp:lastModifiedBy>DRISHYA MUSADDI</cp:lastModifiedBy>
  <cp:revision/>
  <dcterms:created xsi:type="dcterms:W3CDTF">2015-06-05T18:17:20Z</dcterms:created>
  <dcterms:modified xsi:type="dcterms:W3CDTF">2026-07-28T14:46:40Z</dcterms:modified>
  <cp:category/>
  <cp:contentStatus/>
</cp:coreProperties>
</file>